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helen1/Desktop/ACTL4001/Assignment/"/>
    </mc:Choice>
  </mc:AlternateContent>
  <xr:revisionPtr revIDLastSave="0" documentId="8_{13EEFF35-EF0A-154B-A8CE-D05DFBC7B262}" xr6:coauthVersionLast="47" xr6:coauthVersionMax="47" xr10:uidLastSave="{00000000-0000-0000-0000-000000000000}"/>
  <bookViews>
    <workbookView xWindow="0" yWindow="500" windowWidth="28800" windowHeight="16140" firstSheet="14" activeTab="21" xr2:uid="{68DB03EA-A589-3A4B-87F1-81F674E2E122}"/>
  </bookViews>
  <sheets>
    <sheet name="Cardio App" sheetId="8" r:id="rId1"/>
    <sheet name="Cancer prevention" sheetId="9" r:id="rId2"/>
    <sheet name="Total Costs_Both Incentives" sheetId="15" r:id="rId3"/>
    <sheet name="Smoker Count" sheetId="25" r:id="rId4"/>
    <sheet name="Death Benefits" sheetId="20" r:id="rId5"/>
    <sheet name="Policies in force" sheetId="10" r:id="rId6"/>
    <sheet name="Lapses" sheetId="13" r:id="rId7"/>
    <sheet name="male lifetable" sheetId="3" r:id="rId8"/>
    <sheet name="Male SPWL (before)" sheetId="21" r:id="rId9"/>
    <sheet name="Male SPWL(after)" sheetId="16" r:id="rId10"/>
    <sheet name="Sensitivity Analysis 1" sheetId="26" r:id="rId11"/>
    <sheet name="Male T20 (before)" sheetId="23" r:id="rId12"/>
    <sheet name="Male T20 (after)" sheetId="18" r:id="rId13"/>
    <sheet name="Sensitivity Analysis 2" sheetId="27" r:id="rId14"/>
    <sheet name="Female Lifetable" sheetId="17" r:id="rId15"/>
    <sheet name="Female SPWL (before)" sheetId="22" r:id="rId16"/>
    <sheet name="Female SPWL (after)" sheetId="19" r:id="rId17"/>
    <sheet name="Sensitivity Analysis 3" sheetId="28" r:id="rId18"/>
    <sheet name="Female T20 (before)" sheetId="24" r:id="rId19"/>
    <sheet name="Female T20 (after)" sheetId="14" r:id="rId20"/>
    <sheet name="Sensitivity Analysis 4" sheetId="29" r:id="rId21"/>
    <sheet name="Senstivity Analysis for All" sheetId="30" r:id="rId22"/>
  </sheets>
  <definedNames>
    <definedName name="solver_adj" localSheetId="16" hidden="1">'Female SPWL (after)'!$B$10</definedName>
    <definedName name="solver_adj" localSheetId="19" hidden="1">'Female T20 (after)'!$B$10</definedName>
    <definedName name="solver_adj" localSheetId="9" hidden="1">'Male SPWL(after)'!$B$10</definedName>
    <definedName name="solver_adj" localSheetId="12" hidden="1">'Male T20 (after)'!$B$10</definedName>
    <definedName name="solver_adj" localSheetId="20" hidden="1">'Sensitivity Analysis 4'!$E$10</definedName>
    <definedName name="solver_cvg" localSheetId="16" hidden="1">0.0001</definedName>
    <definedName name="solver_cvg" localSheetId="19" hidden="1">0.0001</definedName>
    <definedName name="solver_cvg" localSheetId="9" hidden="1">0.0001</definedName>
    <definedName name="solver_cvg" localSheetId="12" hidden="1">0.0001</definedName>
    <definedName name="solver_cvg" localSheetId="20" hidden="1">0.0001</definedName>
    <definedName name="solver_drv" localSheetId="16" hidden="1">1</definedName>
    <definedName name="solver_drv" localSheetId="19" hidden="1">1</definedName>
    <definedName name="solver_drv" localSheetId="9" hidden="1">1</definedName>
    <definedName name="solver_drv" localSheetId="12" hidden="1">1</definedName>
    <definedName name="solver_drv" localSheetId="20" hidden="1">1</definedName>
    <definedName name="solver_eng" localSheetId="16" hidden="1">1</definedName>
    <definedName name="solver_eng" localSheetId="19" hidden="1">1</definedName>
    <definedName name="solver_eng" localSheetId="9" hidden="1">1</definedName>
    <definedName name="solver_eng" localSheetId="12" hidden="1">1</definedName>
    <definedName name="solver_eng" localSheetId="20" hidden="1">1</definedName>
    <definedName name="solver_itr" localSheetId="16" hidden="1">2147483647</definedName>
    <definedName name="solver_itr" localSheetId="19" hidden="1">2147483647</definedName>
    <definedName name="solver_itr" localSheetId="9" hidden="1">2147483647</definedName>
    <definedName name="solver_itr" localSheetId="12" hidden="1">2147483647</definedName>
    <definedName name="solver_itr" localSheetId="20" hidden="1">2147483647</definedName>
    <definedName name="solver_lin" localSheetId="16" hidden="1">2</definedName>
    <definedName name="solver_lin" localSheetId="19" hidden="1">2</definedName>
    <definedName name="solver_lin" localSheetId="9" hidden="1">2</definedName>
    <definedName name="solver_lin" localSheetId="12" hidden="1">2</definedName>
    <definedName name="solver_lin" localSheetId="20" hidden="1">2</definedName>
    <definedName name="solver_mip" localSheetId="16" hidden="1">2147483647</definedName>
    <definedName name="solver_mip" localSheetId="19" hidden="1">2147483647</definedName>
    <definedName name="solver_mip" localSheetId="9" hidden="1">2147483647</definedName>
    <definedName name="solver_mip" localSheetId="12" hidden="1">2147483647</definedName>
    <definedName name="solver_mip" localSheetId="20" hidden="1">2147483647</definedName>
    <definedName name="solver_mni" localSheetId="16" hidden="1">30</definedName>
    <definedName name="solver_mni" localSheetId="19" hidden="1">30</definedName>
    <definedName name="solver_mni" localSheetId="9" hidden="1">30</definedName>
    <definedName name="solver_mni" localSheetId="12" hidden="1">30</definedName>
    <definedName name="solver_mni" localSheetId="20" hidden="1">30</definedName>
    <definedName name="solver_mrt" localSheetId="16" hidden="1">0.075</definedName>
    <definedName name="solver_mrt" localSheetId="19" hidden="1">0.075</definedName>
    <definedName name="solver_mrt" localSheetId="9" hidden="1">0.075</definedName>
    <definedName name="solver_mrt" localSheetId="12" hidden="1">0.075</definedName>
    <definedName name="solver_mrt" localSheetId="20" hidden="1">0.075</definedName>
    <definedName name="solver_msl" localSheetId="16" hidden="1">2</definedName>
    <definedName name="solver_msl" localSheetId="19" hidden="1">2</definedName>
    <definedName name="solver_msl" localSheetId="9" hidden="1">2</definedName>
    <definedName name="solver_msl" localSheetId="12" hidden="1">2</definedName>
    <definedName name="solver_msl" localSheetId="20" hidden="1">2</definedName>
    <definedName name="solver_neg" localSheetId="16" hidden="1">1</definedName>
    <definedName name="solver_neg" localSheetId="19" hidden="1">1</definedName>
    <definedName name="solver_neg" localSheetId="9" hidden="1">1</definedName>
    <definedName name="solver_neg" localSheetId="12" hidden="1">1</definedName>
    <definedName name="solver_neg" localSheetId="20" hidden="1">1</definedName>
    <definedName name="solver_nod" localSheetId="16" hidden="1">2147483647</definedName>
    <definedName name="solver_nod" localSheetId="19" hidden="1">2147483647</definedName>
    <definedName name="solver_nod" localSheetId="9" hidden="1">2147483647</definedName>
    <definedName name="solver_nod" localSheetId="12" hidden="1">2147483647</definedName>
    <definedName name="solver_nod" localSheetId="20" hidden="1">2147483647</definedName>
    <definedName name="solver_num" localSheetId="16" hidden="1">0</definedName>
    <definedName name="solver_num" localSheetId="19" hidden="1">0</definedName>
    <definedName name="solver_num" localSheetId="9" hidden="1">0</definedName>
    <definedName name="solver_num" localSheetId="12" hidden="1">0</definedName>
    <definedName name="solver_num" localSheetId="20" hidden="1">0</definedName>
    <definedName name="solver_opt" localSheetId="16" hidden="1">'Female SPWL (after)'!$B$9</definedName>
    <definedName name="solver_opt" localSheetId="19" hidden="1">'Female T20 (after)'!$B$9</definedName>
    <definedName name="solver_opt" localSheetId="9" hidden="1">'Male SPWL(after)'!$B$9</definedName>
    <definedName name="solver_opt" localSheetId="12" hidden="1">'Male T20 (after)'!$B$9</definedName>
    <definedName name="solver_opt" localSheetId="20" hidden="1">'Sensitivity Analysis 4'!$E$9</definedName>
    <definedName name="solver_pre" localSheetId="16" hidden="1">0.000001</definedName>
    <definedName name="solver_pre" localSheetId="19" hidden="1">0.000001</definedName>
    <definedName name="solver_pre" localSheetId="9" hidden="1">0.000001</definedName>
    <definedName name="solver_pre" localSheetId="12" hidden="1">0.000001</definedName>
    <definedName name="solver_pre" localSheetId="20" hidden="1">0.000001</definedName>
    <definedName name="solver_rbv" localSheetId="16" hidden="1">1</definedName>
    <definedName name="solver_rbv" localSheetId="19" hidden="1">1</definedName>
    <definedName name="solver_rbv" localSheetId="9" hidden="1">1</definedName>
    <definedName name="solver_rbv" localSheetId="12" hidden="1">1</definedName>
    <definedName name="solver_rbv" localSheetId="20" hidden="1">1</definedName>
    <definedName name="solver_rlx" localSheetId="16" hidden="1">2</definedName>
    <definedName name="solver_rlx" localSheetId="19" hidden="1">2</definedName>
    <definedName name="solver_rlx" localSheetId="9" hidden="1">2</definedName>
    <definedName name="solver_rlx" localSheetId="12" hidden="1">2</definedName>
    <definedName name="solver_rlx" localSheetId="20" hidden="1">2</definedName>
    <definedName name="solver_rsd" localSheetId="16" hidden="1">0</definedName>
    <definedName name="solver_rsd" localSheetId="19" hidden="1">0</definedName>
    <definedName name="solver_rsd" localSheetId="9" hidden="1">0</definedName>
    <definedName name="solver_rsd" localSheetId="12" hidden="1">0</definedName>
    <definedName name="solver_rsd" localSheetId="20" hidden="1">0</definedName>
    <definedName name="solver_scl" localSheetId="16" hidden="1">1</definedName>
    <definedName name="solver_scl" localSheetId="19" hidden="1">1</definedName>
    <definedName name="solver_scl" localSheetId="9" hidden="1">1</definedName>
    <definedName name="solver_scl" localSheetId="12" hidden="1">1</definedName>
    <definedName name="solver_scl" localSheetId="20" hidden="1">1</definedName>
    <definedName name="solver_sho" localSheetId="16" hidden="1">2</definedName>
    <definedName name="solver_sho" localSheetId="19" hidden="1">2</definedName>
    <definedName name="solver_sho" localSheetId="9" hidden="1">2</definedName>
    <definedName name="solver_sho" localSheetId="12" hidden="1">2</definedName>
    <definedName name="solver_sho" localSheetId="20" hidden="1">2</definedName>
    <definedName name="solver_ssz" localSheetId="16" hidden="1">100</definedName>
    <definedName name="solver_ssz" localSheetId="19" hidden="1">100</definedName>
    <definedName name="solver_ssz" localSheetId="9" hidden="1">100</definedName>
    <definedName name="solver_ssz" localSheetId="12" hidden="1">100</definedName>
    <definedName name="solver_ssz" localSheetId="20" hidden="1">100</definedName>
    <definedName name="solver_tim" localSheetId="16" hidden="1">2147483647</definedName>
    <definedName name="solver_tim" localSheetId="19" hidden="1">2147483647</definedName>
    <definedName name="solver_tim" localSheetId="9" hidden="1">2147483647</definedName>
    <definedName name="solver_tim" localSheetId="12" hidden="1">2147483647</definedName>
    <definedName name="solver_tim" localSheetId="20" hidden="1">2147483647</definedName>
    <definedName name="solver_tol" localSheetId="16" hidden="1">0.01</definedName>
    <definedName name="solver_tol" localSheetId="19" hidden="1">0.01</definedName>
    <definedName name="solver_tol" localSheetId="9" hidden="1">0.01</definedName>
    <definedName name="solver_tol" localSheetId="12" hidden="1">0.01</definedName>
    <definedName name="solver_tol" localSheetId="20" hidden="1">0.01</definedName>
    <definedName name="solver_typ" localSheetId="16" hidden="1">3</definedName>
    <definedName name="solver_typ" localSheetId="19" hidden="1">3</definedName>
    <definedName name="solver_typ" localSheetId="9" hidden="1">3</definedName>
    <definedName name="solver_typ" localSheetId="12" hidden="1">3</definedName>
    <definedName name="solver_typ" localSheetId="20" hidden="1">3</definedName>
    <definedName name="solver_val" localSheetId="16" hidden="1">0.1</definedName>
    <definedName name="solver_val" localSheetId="19" hidden="1">0.1</definedName>
    <definedName name="solver_val" localSheetId="9" hidden="1">0.15</definedName>
    <definedName name="solver_val" localSheetId="12" hidden="1">0.1</definedName>
    <definedName name="solver_val" localSheetId="20" hidden="1">0.1</definedName>
    <definedName name="solver_ver" localSheetId="16" hidden="1">2</definedName>
    <definedName name="solver_ver" localSheetId="19" hidden="1">2</definedName>
    <definedName name="solver_ver" localSheetId="9" hidden="1">2</definedName>
    <definedName name="solver_ver" localSheetId="12" hidden="1">2</definedName>
    <definedName name="solver_ver" localSheetId="20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4" l="1"/>
  <c r="B1" i="18"/>
  <c r="B14" i="18"/>
  <c r="E4" i="25"/>
  <c r="D4" i="25"/>
  <c r="B10" i="23"/>
  <c r="N42" i="23" s="1"/>
  <c r="Z42" i="23" s="1"/>
  <c r="C26" i="28"/>
  <c r="C27" i="28" s="1"/>
  <c r="AM24" i="29"/>
  <c r="D26" i="27"/>
  <c r="D27" i="27" s="1"/>
  <c r="D28" i="27" s="1"/>
  <c r="D29" i="27" s="1"/>
  <c r="D30" i="27" s="1"/>
  <c r="D31" i="27" s="1"/>
  <c r="D32" i="27" s="1"/>
  <c r="D33" i="27" s="1"/>
  <c r="D34" i="27" s="1"/>
  <c r="D35" i="27" s="1"/>
  <c r="D36" i="27" s="1"/>
  <c r="D37" i="27" s="1"/>
  <c r="D38" i="27" s="1"/>
  <c r="D39" i="27" s="1"/>
  <c r="D40" i="27" s="1"/>
  <c r="D41" i="27" s="1"/>
  <c r="D42" i="27" s="1"/>
  <c r="D43" i="27" s="1"/>
  <c r="D44" i="27" s="1"/>
  <c r="D45" i="27" s="1"/>
  <c r="D25" i="29"/>
  <c r="D26" i="29" s="1"/>
  <c r="D27" i="29" s="1"/>
  <c r="D28" i="29" s="1"/>
  <c r="D29" i="29" s="1"/>
  <c r="D30" i="29" s="1"/>
  <c r="D31" i="29" s="1"/>
  <c r="D32" i="29" s="1"/>
  <c r="D33" i="29" s="1"/>
  <c r="D34" i="29" s="1"/>
  <c r="D35" i="29" s="1"/>
  <c r="D36" i="29" s="1"/>
  <c r="D37" i="29" s="1"/>
  <c r="D38" i="29" s="1"/>
  <c r="D39" i="29" s="1"/>
  <c r="D40" i="29" s="1"/>
  <c r="D41" i="29" s="1"/>
  <c r="D42" i="29" s="1"/>
  <c r="D43" i="29" s="1"/>
  <c r="D44" i="29" s="1"/>
  <c r="C25" i="29"/>
  <c r="C26" i="29" s="1"/>
  <c r="C27" i="29" s="1"/>
  <c r="C28" i="29" s="1"/>
  <c r="C29" i="29" s="1"/>
  <c r="C30" i="29" s="1"/>
  <c r="C31" i="29" s="1"/>
  <c r="C32" i="29" s="1"/>
  <c r="C33" i="29" s="1"/>
  <c r="C34" i="29" s="1"/>
  <c r="C35" i="29" s="1"/>
  <c r="C36" i="29" s="1"/>
  <c r="C37" i="29" s="1"/>
  <c r="C38" i="29" s="1"/>
  <c r="C39" i="29" s="1"/>
  <c r="C40" i="29" s="1"/>
  <c r="C41" i="29" s="1"/>
  <c r="C42" i="29" s="1"/>
  <c r="C43" i="29" s="1"/>
  <c r="C44" i="29" s="1"/>
  <c r="B1" i="23"/>
  <c r="H19" i="22"/>
  <c r="B5" i="21"/>
  <c r="O22" i="21"/>
  <c r="B11" i="21"/>
  <c r="D26" i="28"/>
  <c r="D27" i="28" s="1"/>
  <c r="D28" i="28" s="1"/>
  <c r="D29" i="28" s="1"/>
  <c r="D30" i="28" s="1"/>
  <c r="D31" i="28" s="1"/>
  <c r="D32" i="28" s="1"/>
  <c r="D33" i="28" s="1"/>
  <c r="D34" i="28" s="1"/>
  <c r="D35" i="28" s="1"/>
  <c r="D36" i="28" s="1"/>
  <c r="D37" i="28" s="1"/>
  <c r="D38" i="28" s="1"/>
  <c r="D39" i="28" s="1"/>
  <c r="D40" i="28" s="1"/>
  <c r="D41" i="28" s="1"/>
  <c r="D42" i="28" s="1"/>
  <c r="D43" i="28" s="1"/>
  <c r="D44" i="28" s="1"/>
  <c r="D45" i="28" s="1"/>
  <c r="D46" i="28" s="1"/>
  <c r="D47" i="28" s="1"/>
  <c r="D48" i="28" s="1"/>
  <c r="D49" i="28" s="1"/>
  <c r="D50" i="28" s="1"/>
  <c r="D51" i="28" s="1"/>
  <c r="D52" i="28" s="1"/>
  <c r="D53" i="28" s="1"/>
  <c r="D54" i="28" s="1"/>
  <c r="D55" i="28" s="1"/>
  <c r="D56" i="28" s="1"/>
  <c r="D57" i="28" s="1"/>
  <c r="D58" i="28" s="1"/>
  <c r="D59" i="28" s="1"/>
  <c r="D60" i="28" s="1"/>
  <c r="D61" i="28" s="1"/>
  <c r="D62" i="28" s="1"/>
  <c r="D63" i="28" s="1"/>
  <c r="D64" i="28" s="1"/>
  <c r="D65" i="28" s="1"/>
  <c r="D66" i="28" s="1"/>
  <c r="D67" i="28" s="1"/>
  <c r="D68" i="28" s="1"/>
  <c r="D69" i="28" s="1"/>
  <c r="D70" i="28" s="1"/>
  <c r="D71" i="28" s="1"/>
  <c r="D72" i="28" s="1"/>
  <c r="D73" i="28" s="1"/>
  <c r="D74" i="28" s="1"/>
  <c r="D75" i="28" s="1"/>
  <c r="B11" i="22"/>
  <c r="D26" i="26"/>
  <c r="D27" i="26" s="1"/>
  <c r="D28" i="26" s="1"/>
  <c r="D29" i="26" s="1"/>
  <c r="D30" i="26" s="1"/>
  <c r="D31" i="26" s="1"/>
  <c r="D32" i="26" s="1"/>
  <c r="D33" i="26" s="1"/>
  <c r="D34" i="26" s="1"/>
  <c r="D35" i="26" s="1"/>
  <c r="D36" i="26" s="1"/>
  <c r="D37" i="26" s="1"/>
  <c r="D38" i="26" s="1"/>
  <c r="D39" i="26" s="1"/>
  <c r="D40" i="26" s="1"/>
  <c r="D41" i="26" s="1"/>
  <c r="D42" i="26" s="1"/>
  <c r="D43" i="26" s="1"/>
  <c r="D44" i="26" s="1"/>
  <c r="D45" i="26" s="1"/>
  <c r="D46" i="26" s="1"/>
  <c r="D47" i="26" s="1"/>
  <c r="D48" i="26" s="1"/>
  <c r="D49" i="26" s="1"/>
  <c r="D50" i="26" s="1"/>
  <c r="D51" i="26" s="1"/>
  <c r="D52" i="26" s="1"/>
  <c r="D53" i="26" s="1"/>
  <c r="D54" i="26" s="1"/>
  <c r="D55" i="26" s="1"/>
  <c r="D56" i="26" s="1"/>
  <c r="D57" i="26" s="1"/>
  <c r="D58" i="26" s="1"/>
  <c r="D59" i="26" s="1"/>
  <c r="D60" i="26" s="1"/>
  <c r="D61" i="26" s="1"/>
  <c r="D62" i="26" s="1"/>
  <c r="D63" i="26" s="1"/>
  <c r="D64" i="26" s="1"/>
  <c r="D65" i="26" s="1"/>
  <c r="D66" i="26" s="1"/>
  <c r="D67" i="26" s="1"/>
  <c r="D68" i="26" s="1"/>
  <c r="D69" i="26" s="1"/>
  <c r="D70" i="26" s="1"/>
  <c r="D71" i="26" s="1"/>
  <c r="D72" i="26" s="1"/>
  <c r="D73" i="26" s="1"/>
  <c r="D74" i="26" s="1"/>
  <c r="D75" i="26" s="1"/>
  <c r="D76" i="26" s="1"/>
  <c r="C26" i="26"/>
  <c r="C27" i="26" s="1"/>
  <c r="C28" i="26" s="1"/>
  <c r="C29" i="26" s="1"/>
  <c r="C30" i="26" s="1"/>
  <c r="C31" i="26" s="1"/>
  <c r="C32" i="26" s="1"/>
  <c r="C33" i="26" s="1"/>
  <c r="C34" i="26" s="1"/>
  <c r="C35" i="26" s="1"/>
  <c r="C36" i="26" s="1"/>
  <c r="C37" i="26" s="1"/>
  <c r="C38" i="26" s="1"/>
  <c r="C39" i="26" s="1"/>
  <c r="C40" i="26" s="1"/>
  <c r="C41" i="26" s="1"/>
  <c r="C42" i="26" s="1"/>
  <c r="C43" i="26" s="1"/>
  <c r="C44" i="26" s="1"/>
  <c r="C45" i="26" s="1"/>
  <c r="C46" i="26" s="1"/>
  <c r="C47" i="26" s="1"/>
  <c r="C48" i="26" s="1"/>
  <c r="C49" i="26" s="1"/>
  <c r="C50" i="26" s="1"/>
  <c r="C51" i="26" s="1"/>
  <c r="C52" i="26" s="1"/>
  <c r="C53" i="26" s="1"/>
  <c r="C54" i="26" s="1"/>
  <c r="C55" i="26" s="1"/>
  <c r="C56" i="26" s="1"/>
  <c r="C57" i="26" s="1"/>
  <c r="C58" i="26" s="1"/>
  <c r="C59" i="26" s="1"/>
  <c r="C60" i="26" s="1"/>
  <c r="C61" i="26" s="1"/>
  <c r="C62" i="26" s="1"/>
  <c r="C63" i="26" s="1"/>
  <c r="C64" i="26" s="1"/>
  <c r="C65" i="26" s="1"/>
  <c r="C66" i="26" s="1"/>
  <c r="C67" i="26" s="1"/>
  <c r="C68" i="26" s="1"/>
  <c r="C69" i="26" s="1"/>
  <c r="C70" i="26" s="1"/>
  <c r="C71" i="26" s="1"/>
  <c r="C72" i="26" s="1"/>
  <c r="C73" i="26" s="1"/>
  <c r="C74" i="26" s="1"/>
  <c r="C75" i="26" s="1"/>
  <c r="C76" i="26" s="1"/>
  <c r="M14" i="15"/>
  <c r="C2" i="3"/>
  <c r="D2" i="3" s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B1" i="21"/>
  <c r="B12" i="21" s="1"/>
  <c r="Q41" i="29"/>
  <c r="AA41" i="29" s="1"/>
  <c r="B61" i="29"/>
  <c r="E10" i="27"/>
  <c r="Q44" i="27" s="1"/>
  <c r="AC44" i="27" s="1"/>
  <c r="AD44" i="29"/>
  <c r="W44" i="29"/>
  <c r="R44" i="29"/>
  <c r="AB44" i="29" s="1"/>
  <c r="L44" i="29"/>
  <c r="AD43" i="29"/>
  <c r="R43" i="29"/>
  <c r="AB43" i="29" s="1"/>
  <c r="L43" i="29"/>
  <c r="AD42" i="29"/>
  <c r="R42" i="29"/>
  <c r="AB42" i="29" s="1"/>
  <c r="L42" i="29"/>
  <c r="AD41" i="29"/>
  <c r="R41" i="29"/>
  <c r="AB41" i="29" s="1"/>
  <c r="L41" i="29"/>
  <c r="AD40" i="29"/>
  <c r="R40" i="29"/>
  <c r="AB40" i="29" s="1"/>
  <c r="L40" i="29"/>
  <c r="AD39" i="29"/>
  <c r="R39" i="29"/>
  <c r="AB39" i="29" s="1"/>
  <c r="L39" i="29"/>
  <c r="AD38" i="29"/>
  <c r="R38" i="29"/>
  <c r="AB38" i="29" s="1"/>
  <c r="Q38" i="29"/>
  <c r="AA38" i="29" s="1"/>
  <c r="L38" i="29"/>
  <c r="AD37" i="29"/>
  <c r="R37" i="29"/>
  <c r="AB37" i="29" s="1"/>
  <c r="Q37" i="29"/>
  <c r="AA37" i="29" s="1"/>
  <c r="L37" i="29"/>
  <c r="AD36" i="29"/>
  <c r="R36" i="29"/>
  <c r="AB36" i="29" s="1"/>
  <c r="Q36" i="29"/>
  <c r="AA36" i="29" s="1"/>
  <c r="L36" i="29"/>
  <c r="AD35" i="29"/>
  <c r="R35" i="29"/>
  <c r="AB35" i="29" s="1"/>
  <c r="Q35" i="29"/>
  <c r="AA35" i="29" s="1"/>
  <c r="L35" i="29"/>
  <c r="AD34" i="29"/>
  <c r="R34" i="29"/>
  <c r="AB34" i="29" s="1"/>
  <c r="Q34" i="29"/>
  <c r="AA34" i="29" s="1"/>
  <c r="L34" i="29"/>
  <c r="AD33" i="29"/>
  <c r="R33" i="29"/>
  <c r="AB33" i="29" s="1"/>
  <c r="Q33" i="29"/>
  <c r="AA33" i="29" s="1"/>
  <c r="L33" i="29"/>
  <c r="AD32" i="29"/>
  <c r="R32" i="29"/>
  <c r="AB32" i="29" s="1"/>
  <c r="Q32" i="29"/>
  <c r="AA32" i="29" s="1"/>
  <c r="L32" i="29"/>
  <c r="AD31" i="29"/>
  <c r="R31" i="29"/>
  <c r="AB31" i="29" s="1"/>
  <c r="Q31" i="29"/>
  <c r="AA31" i="29" s="1"/>
  <c r="L31" i="29"/>
  <c r="AD30" i="29"/>
  <c r="R30" i="29"/>
  <c r="AB30" i="29" s="1"/>
  <c r="Q30" i="29"/>
  <c r="AA30" i="29" s="1"/>
  <c r="L30" i="29"/>
  <c r="AD29" i="29"/>
  <c r="R29" i="29"/>
  <c r="AB29" i="29" s="1"/>
  <c r="Q29" i="29"/>
  <c r="AA29" i="29" s="1"/>
  <c r="L29" i="29"/>
  <c r="AD28" i="29"/>
  <c r="R28" i="29"/>
  <c r="AB28" i="29" s="1"/>
  <c r="Q28" i="29"/>
  <c r="AA28" i="29" s="1"/>
  <c r="L28" i="29"/>
  <c r="AD27" i="29"/>
  <c r="R27" i="29"/>
  <c r="AB27" i="29" s="1"/>
  <c r="Q27" i="29"/>
  <c r="AA27" i="29" s="1"/>
  <c r="L27" i="29"/>
  <c r="AD26" i="29"/>
  <c r="R26" i="29"/>
  <c r="AB26" i="29" s="1"/>
  <c r="Q26" i="29"/>
  <c r="AA26" i="29" s="1"/>
  <c r="L26" i="29"/>
  <c r="AD25" i="29"/>
  <c r="R25" i="29"/>
  <c r="AB25" i="29" s="1"/>
  <c r="Q25" i="29"/>
  <c r="AA25" i="29" s="1"/>
  <c r="L25" i="29"/>
  <c r="AD24" i="29"/>
  <c r="Q24" i="29"/>
  <c r="AA24" i="29" s="1"/>
  <c r="N24" i="29"/>
  <c r="L24" i="29"/>
  <c r="J24" i="29"/>
  <c r="J25" i="29" s="1"/>
  <c r="J26" i="29" s="1"/>
  <c r="J27" i="29" s="1"/>
  <c r="J28" i="29" s="1"/>
  <c r="J29" i="29" s="1"/>
  <c r="J30" i="29" s="1"/>
  <c r="J31" i="29" s="1"/>
  <c r="J32" i="29" s="1"/>
  <c r="J33" i="29" s="1"/>
  <c r="J34" i="29" s="1"/>
  <c r="J35" i="29" s="1"/>
  <c r="J36" i="29" s="1"/>
  <c r="J37" i="29" s="1"/>
  <c r="J38" i="29" s="1"/>
  <c r="J39" i="29" s="1"/>
  <c r="J40" i="29" s="1"/>
  <c r="J41" i="29" s="1"/>
  <c r="J42" i="29" s="1"/>
  <c r="J43" i="29" s="1"/>
  <c r="J44" i="29" s="1"/>
  <c r="A24" i="29"/>
  <c r="A25" i="29" s="1"/>
  <c r="A26" i="29" s="1"/>
  <c r="B26" i="29" s="1"/>
  <c r="E14" i="29"/>
  <c r="E5" i="29"/>
  <c r="AJ42" i="29" s="1"/>
  <c r="E3" i="29"/>
  <c r="R24" i="29" s="1"/>
  <c r="AB24" i="29" s="1"/>
  <c r="E1" i="29"/>
  <c r="E3" i="28"/>
  <c r="R25" i="28" s="1"/>
  <c r="AB25" i="28" s="1"/>
  <c r="B3" i="19"/>
  <c r="O25" i="19" s="1"/>
  <c r="Y25" i="19" s="1"/>
  <c r="E1" i="28"/>
  <c r="B1" i="19"/>
  <c r="E5" i="28"/>
  <c r="AJ25" i="28" s="1"/>
  <c r="S26" i="28"/>
  <c r="S27" i="28"/>
  <c r="S28" i="28"/>
  <c r="S29" i="28"/>
  <c r="S30" i="28"/>
  <c r="S31" i="28"/>
  <c r="S32" i="28"/>
  <c r="S33" i="28"/>
  <c r="S34" i="28"/>
  <c r="S35" i="28"/>
  <c r="S36" i="28"/>
  <c r="S37" i="28"/>
  <c r="S38" i="28"/>
  <c r="S39" i="28"/>
  <c r="S40" i="28"/>
  <c r="S41" i="28"/>
  <c r="S42" i="28"/>
  <c r="S43" i="28"/>
  <c r="S44" i="28"/>
  <c r="S45" i="28"/>
  <c r="S46" i="28"/>
  <c r="S47" i="28"/>
  <c r="S48" i="28"/>
  <c r="S49" i="28"/>
  <c r="S50" i="28"/>
  <c r="S51" i="28"/>
  <c r="S52" i="28"/>
  <c r="S53" i="28"/>
  <c r="S54" i="28"/>
  <c r="S55" i="28"/>
  <c r="S56" i="28"/>
  <c r="S57" i="28"/>
  <c r="S58" i="28"/>
  <c r="S59" i="28"/>
  <c r="S60" i="28"/>
  <c r="S61" i="28"/>
  <c r="S62" i="28"/>
  <c r="S63" i="28"/>
  <c r="S64" i="28"/>
  <c r="S65" i="28"/>
  <c r="S66" i="28"/>
  <c r="S67" i="28"/>
  <c r="S68" i="28"/>
  <c r="S69" i="28"/>
  <c r="S70" i="28"/>
  <c r="S71" i="28"/>
  <c r="S72" i="28"/>
  <c r="S73" i="28"/>
  <c r="S74" i="28"/>
  <c r="S75" i="28"/>
  <c r="S25" i="28"/>
  <c r="R27" i="28"/>
  <c r="AB27" i="28" s="1"/>
  <c r="R28" i="28"/>
  <c r="AB28" i="28" s="1"/>
  <c r="AE28" i="28" s="1"/>
  <c r="R29" i="28"/>
  <c r="AB29" i="28" s="1"/>
  <c r="R30" i="28"/>
  <c r="AB30" i="28" s="1"/>
  <c r="R31" i="28"/>
  <c r="AB31" i="28" s="1"/>
  <c r="R32" i="28"/>
  <c r="AB32" i="28" s="1"/>
  <c r="AE32" i="28" s="1"/>
  <c r="R33" i="28"/>
  <c r="AB33" i="28" s="1"/>
  <c r="R34" i="28"/>
  <c r="AB34" i="28" s="1"/>
  <c r="R35" i="28"/>
  <c r="AB35" i="28" s="1"/>
  <c r="R36" i="28"/>
  <c r="AB36" i="28" s="1"/>
  <c r="AE36" i="28" s="1"/>
  <c r="R37" i="28"/>
  <c r="AB37" i="28" s="1"/>
  <c r="R38" i="28"/>
  <c r="AB38" i="28" s="1"/>
  <c r="R39" i="28"/>
  <c r="AB39" i="28" s="1"/>
  <c r="R40" i="28"/>
  <c r="AB40" i="28" s="1"/>
  <c r="AE40" i="28" s="1"/>
  <c r="R41" i="28"/>
  <c r="AB41" i="28" s="1"/>
  <c r="R42" i="28"/>
  <c r="AB42" i="28" s="1"/>
  <c r="R43" i="28"/>
  <c r="AB43" i="28" s="1"/>
  <c r="R44" i="28"/>
  <c r="AB44" i="28" s="1"/>
  <c r="AE44" i="28" s="1"/>
  <c r="R45" i="28"/>
  <c r="AB45" i="28" s="1"/>
  <c r="R46" i="28"/>
  <c r="AB46" i="28" s="1"/>
  <c r="R47" i="28"/>
  <c r="AB47" i="28" s="1"/>
  <c r="R48" i="28"/>
  <c r="AB48" i="28" s="1"/>
  <c r="AE48" i="28" s="1"/>
  <c r="R49" i="28"/>
  <c r="AB49" i="28" s="1"/>
  <c r="R50" i="28"/>
  <c r="AB50" i="28" s="1"/>
  <c r="R51" i="28"/>
  <c r="AB51" i="28" s="1"/>
  <c r="R52" i="28"/>
  <c r="AB52" i="28" s="1"/>
  <c r="AE52" i="28" s="1"/>
  <c r="R53" i="28"/>
  <c r="AB53" i="28" s="1"/>
  <c r="R54" i="28"/>
  <c r="AB54" i="28" s="1"/>
  <c r="R55" i="28"/>
  <c r="AB55" i="28" s="1"/>
  <c r="R56" i="28"/>
  <c r="AB56" i="28" s="1"/>
  <c r="AE56" i="28" s="1"/>
  <c r="R57" i="28"/>
  <c r="AB57" i="28" s="1"/>
  <c r="R58" i="28"/>
  <c r="AB58" i="28" s="1"/>
  <c r="R59" i="28"/>
  <c r="AB59" i="28" s="1"/>
  <c r="R60" i="28"/>
  <c r="AB60" i="28" s="1"/>
  <c r="AE60" i="28" s="1"/>
  <c r="R61" i="28"/>
  <c r="AB61" i="28" s="1"/>
  <c r="R62" i="28"/>
  <c r="AB62" i="28" s="1"/>
  <c r="R63" i="28"/>
  <c r="AB63" i="28" s="1"/>
  <c r="R64" i="28"/>
  <c r="AB64" i="28" s="1"/>
  <c r="AE64" i="28" s="1"/>
  <c r="R65" i="28"/>
  <c r="AB65" i="28" s="1"/>
  <c r="R66" i="28"/>
  <c r="AB66" i="28" s="1"/>
  <c r="R67" i="28"/>
  <c r="AB67" i="28" s="1"/>
  <c r="R68" i="28"/>
  <c r="AB68" i="28" s="1"/>
  <c r="AE68" i="28" s="1"/>
  <c r="R69" i="28"/>
  <c r="AB69" i="28" s="1"/>
  <c r="R70" i="28"/>
  <c r="AB70" i="28" s="1"/>
  <c r="R71" i="28"/>
  <c r="AB71" i="28" s="1"/>
  <c r="R72" i="28"/>
  <c r="AB72" i="28" s="1"/>
  <c r="AE72" i="28" s="1"/>
  <c r="R73" i="28"/>
  <c r="AB73" i="28" s="1"/>
  <c r="R74" i="28"/>
  <c r="AB74" i="28" s="1"/>
  <c r="R75" i="28"/>
  <c r="AB75" i="28" s="1"/>
  <c r="R26" i="28"/>
  <c r="AB26" i="28" s="1"/>
  <c r="L26" i="28"/>
  <c r="L27" i="28"/>
  <c r="L28" i="28"/>
  <c r="L29" i="28"/>
  <c r="L30" i="28"/>
  <c r="L31" i="28"/>
  <c r="L32" i="28"/>
  <c r="L33" i="28"/>
  <c r="L34" i="28"/>
  <c r="L35" i="28"/>
  <c r="L36" i="28"/>
  <c r="L37" i="28"/>
  <c r="L38" i="28"/>
  <c r="L39" i="28"/>
  <c r="L40" i="28"/>
  <c r="L41" i="28"/>
  <c r="L42" i="28"/>
  <c r="L43" i="28"/>
  <c r="L44" i="28"/>
  <c r="L45" i="28"/>
  <c r="L46" i="28"/>
  <c r="L47" i="28"/>
  <c r="L48" i="28"/>
  <c r="L49" i="28"/>
  <c r="L50" i="28"/>
  <c r="L51" i="28"/>
  <c r="L52" i="28"/>
  <c r="L53" i="28"/>
  <c r="L54" i="28"/>
  <c r="L55" i="28"/>
  <c r="L56" i="28"/>
  <c r="L57" i="28"/>
  <c r="L58" i="28"/>
  <c r="L59" i="28"/>
  <c r="L60" i="28"/>
  <c r="L61" i="28"/>
  <c r="L62" i="28"/>
  <c r="L63" i="28"/>
  <c r="L64" i="28"/>
  <c r="L65" i="28"/>
  <c r="L66" i="28"/>
  <c r="L67" i="28"/>
  <c r="L68" i="28"/>
  <c r="L69" i="28"/>
  <c r="L70" i="28"/>
  <c r="L71" i="28"/>
  <c r="L72" i="28"/>
  <c r="L73" i="28"/>
  <c r="L74" i="28"/>
  <c r="L75" i="28"/>
  <c r="L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25" i="28"/>
  <c r="E25" i="28" s="1"/>
  <c r="F25" i="28" s="1"/>
  <c r="C26" i="27"/>
  <c r="C27" i="27" s="1"/>
  <c r="C28" i="27" s="1"/>
  <c r="C29" i="27" s="1"/>
  <c r="C30" i="27" s="1"/>
  <c r="C31" i="27" s="1"/>
  <c r="C32" i="27" s="1"/>
  <c r="C33" i="27" s="1"/>
  <c r="C34" i="27" s="1"/>
  <c r="C35" i="27" s="1"/>
  <c r="C36" i="27" s="1"/>
  <c r="C37" i="27" s="1"/>
  <c r="C38" i="27" s="1"/>
  <c r="C39" i="27" s="1"/>
  <c r="C40" i="27" s="1"/>
  <c r="C41" i="27" s="1"/>
  <c r="C42" i="27" s="1"/>
  <c r="C43" i="27" s="1"/>
  <c r="C44" i="27" s="1"/>
  <c r="C45" i="27" s="1"/>
  <c r="AF45" i="27"/>
  <c r="Y45" i="27"/>
  <c r="R45" i="27"/>
  <c r="AD45" i="27" s="1"/>
  <c r="L45" i="27"/>
  <c r="T45" i="27" s="1"/>
  <c r="AF44" i="27"/>
  <c r="Y44" i="27"/>
  <c r="R44" i="27"/>
  <c r="AD44" i="27" s="1"/>
  <c r="L44" i="27"/>
  <c r="T44" i="27" s="1"/>
  <c r="AF43" i="27"/>
  <c r="R43" i="27"/>
  <c r="AD43" i="27" s="1"/>
  <c r="L43" i="27"/>
  <c r="T43" i="27" s="1"/>
  <c r="AF42" i="27"/>
  <c r="R42" i="27"/>
  <c r="AD42" i="27" s="1"/>
  <c r="L42" i="27"/>
  <c r="T42" i="27" s="1"/>
  <c r="AF41" i="27"/>
  <c r="R41" i="27"/>
  <c r="AD41" i="27" s="1"/>
  <c r="L41" i="27"/>
  <c r="T41" i="27" s="1"/>
  <c r="AF40" i="27"/>
  <c r="R40" i="27"/>
  <c r="AD40" i="27" s="1"/>
  <c r="L40" i="27"/>
  <c r="T40" i="27" s="1"/>
  <c r="AF39" i="27"/>
  <c r="R39" i="27"/>
  <c r="AD39" i="27" s="1"/>
  <c r="L39" i="27"/>
  <c r="T39" i="27" s="1"/>
  <c r="AF38" i="27"/>
  <c r="R38" i="27"/>
  <c r="AD38" i="27" s="1"/>
  <c r="L38" i="27"/>
  <c r="T38" i="27" s="1"/>
  <c r="AF37" i="27"/>
  <c r="R37" i="27"/>
  <c r="AD37" i="27" s="1"/>
  <c r="L37" i="27"/>
  <c r="T37" i="27" s="1"/>
  <c r="AF36" i="27"/>
  <c r="R36" i="27"/>
  <c r="AD36" i="27" s="1"/>
  <c r="L36" i="27"/>
  <c r="T36" i="27" s="1"/>
  <c r="AF35" i="27"/>
  <c r="R35" i="27"/>
  <c r="AD35" i="27" s="1"/>
  <c r="L35" i="27"/>
  <c r="T35" i="27" s="1"/>
  <c r="AF34" i="27"/>
  <c r="R34" i="27"/>
  <c r="AD34" i="27" s="1"/>
  <c r="L34" i="27"/>
  <c r="T34" i="27" s="1"/>
  <c r="AF33" i="27"/>
  <c r="R33" i="27"/>
  <c r="AD33" i="27" s="1"/>
  <c r="L33" i="27"/>
  <c r="T33" i="27" s="1"/>
  <c r="AF32" i="27"/>
  <c r="R32" i="27"/>
  <c r="AD32" i="27" s="1"/>
  <c r="L32" i="27"/>
  <c r="T32" i="27" s="1"/>
  <c r="AF31" i="27"/>
  <c r="R31" i="27"/>
  <c r="AD31" i="27" s="1"/>
  <c r="L31" i="27"/>
  <c r="T31" i="27" s="1"/>
  <c r="AF30" i="27"/>
  <c r="R30" i="27"/>
  <c r="AD30" i="27" s="1"/>
  <c r="L30" i="27"/>
  <c r="T30" i="27" s="1"/>
  <c r="AF29" i="27"/>
  <c r="R29" i="27"/>
  <c r="AD29" i="27" s="1"/>
  <c r="L29" i="27"/>
  <c r="T29" i="27" s="1"/>
  <c r="AF28" i="27"/>
  <c r="R28" i="27"/>
  <c r="AD28" i="27" s="1"/>
  <c r="L28" i="27"/>
  <c r="T28" i="27" s="1"/>
  <c r="AF27" i="27"/>
  <c r="R27" i="27"/>
  <c r="AD27" i="27" s="1"/>
  <c r="L27" i="27"/>
  <c r="T27" i="27" s="1"/>
  <c r="AF26" i="27"/>
  <c r="R26" i="27"/>
  <c r="AD26" i="27" s="1"/>
  <c r="L26" i="27"/>
  <c r="T26" i="27" s="1"/>
  <c r="AF25" i="27"/>
  <c r="N25" i="27"/>
  <c r="L25" i="27"/>
  <c r="T25" i="27" s="1"/>
  <c r="J25" i="27"/>
  <c r="J26" i="27" s="1"/>
  <c r="J27" i="27" s="1"/>
  <c r="J28" i="27" s="1"/>
  <c r="J29" i="27" s="1"/>
  <c r="J30" i="27" s="1"/>
  <c r="J31" i="27" s="1"/>
  <c r="J32" i="27" s="1"/>
  <c r="J33" i="27" s="1"/>
  <c r="J34" i="27" s="1"/>
  <c r="J35" i="27" s="1"/>
  <c r="J36" i="27" s="1"/>
  <c r="J37" i="27" s="1"/>
  <c r="J38" i="27" s="1"/>
  <c r="J39" i="27" s="1"/>
  <c r="J40" i="27" s="1"/>
  <c r="J41" i="27" s="1"/>
  <c r="J42" i="27" s="1"/>
  <c r="J43" i="27" s="1"/>
  <c r="J44" i="27" s="1"/>
  <c r="J45" i="27" s="1"/>
  <c r="A25" i="27"/>
  <c r="A26" i="27" s="1"/>
  <c r="B26" i="27" s="1"/>
  <c r="E14" i="27"/>
  <c r="E5" i="27"/>
  <c r="AL35" i="27" s="1"/>
  <c r="E3" i="27"/>
  <c r="R25" i="27" s="1"/>
  <c r="AD25" i="27" s="1"/>
  <c r="AN76" i="26"/>
  <c r="AF76" i="26"/>
  <c r="R76" i="26"/>
  <c r="AD76" i="26" s="1"/>
  <c r="Q76" i="26"/>
  <c r="AC76" i="26" s="1"/>
  <c r="L76" i="26"/>
  <c r="T76" i="26" s="1"/>
  <c r="AN75" i="26"/>
  <c r="AF75" i="26"/>
  <c r="R75" i="26"/>
  <c r="AD75" i="26" s="1"/>
  <c r="Q75" i="26"/>
  <c r="AC75" i="26" s="1"/>
  <c r="L75" i="26"/>
  <c r="T75" i="26" s="1"/>
  <c r="AN74" i="26"/>
  <c r="AF74" i="26"/>
  <c r="R74" i="26"/>
  <c r="AD74" i="26" s="1"/>
  <c r="Q74" i="26"/>
  <c r="AC74" i="26" s="1"/>
  <c r="L74" i="26"/>
  <c r="T74" i="26" s="1"/>
  <c r="AN73" i="26"/>
  <c r="AF73" i="26"/>
  <c r="R73" i="26"/>
  <c r="AD73" i="26" s="1"/>
  <c r="Q73" i="26"/>
  <c r="AC73" i="26" s="1"/>
  <c r="L73" i="26"/>
  <c r="T73" i="26" s="1"/>
  <c r="AN72" i="26"/>
  <c r="AF72" i="26"/>
  <c r="R72" i="26"/>
  <c r="AD72" i="26" s="1"/>
  <c r="Q72" i="26"/>
  <c r="AC72" i="26" s="1"/>
  <c r="L72" i="26"/>
  <c r="T72" i="26" s="1"/>
  <c r="AN71" i="26"/>
  <c r="AF71" i="26"/>
  <c r="R71" i="26"/>
  <c r="AD71" i="26" s="1"/>
  <c r="Q71" i="26"/>
  <c r="AC71" i="26" s="1"/>
  <c r="L71" i="26"/>
  <c r="T71" i="26" s="1"/>
  <c r="AN70" i="26"/>
  <c r="AF70" i="26"/>
  <c r="R70" i="26"/>
  <c r="AD70" i="26" s="1"/>
  <c r="Q70" i="26"/>
  <c r="AC70" i="26" s="1"/>
  <c r="L70" i="26"/>
  <c r="T70" i="26" s="1"/>
  <c r="AN69" i="26"/>
  <c r="AF69" i="26"/>
  <c r="R69" i="26"/>
  <c r="AD69" i="26" s="1"/>
  <c r="Q69" i="26"/>
  <c r="AC69" i="26" s="1"/>
  <c r="L69" i="26"/>
  <c r="T69" i="26" s="1"/>
  <c r="AN68" i="26"/>
  <c r="AF68" i="26"/>
  <c r="T68" i="26"/>
  <c r="R68" i="26"/>
  <c r="AD68" i="26" s="1"/>
  <c r="Q68" i="26"/>
  <c r="AC68" i="26" s="1"/>
  <c r="L68" i="26"/>
  <c r="AN67" i="26"/>
  <c r="AF67" i="26"/>
  <c r="R67" i="26"/>
  <c r="AD67" i="26" s="1"/>
  <c r="Q67" i="26"/>
  <c r="AC67" i="26" s="1"/>
  <c r="L67" i="26"/>
  <c r="T67" i="26" s="1"/>
  <c r="AN66" i="26"/>
  <c r="AF66" i="26"/>
  <c r="R66" i="26"/>
  <c r="AD66" i="26" s="1"/>
  <c r="Q66" i="26"/>
  <c r="AC66" i="26" s="1"/>
  <c r="L66" i="26"/>
  <c r="T66" i="26" s="1"/>
  <c r="AN65" i="26"/>
  <c r="AF65" i="26"/>
  <c r="R65" i="26"/>
  <c r="AD65" i="26" s="1"/>
  <c r="Q65" i="26"/>
  <c r="AC65" i="26" s="1"/>
  <c r="L65" i="26"/>
  <c r="T65" i="26" s="1"/>
  <c r="AN64" i="26"/>
  <c r="AF64" i="26"/>
  <c r="R64" i="26"/>
  <c r="AD64" i="26" s="1"/>
  <c r="Q64" i="26"/>
  <c r="AC64" i="26" s="1"/>
  <c r="L64" i="26"/>
  <c r="T64" i="26" s="1"/>
  <c r="AN63" i="26"/>
  <c r="AF63" i="26"/>
  <c r="R63" i="26"/>
  <c r="AD63" i="26" s="1"/>
  <c r="Q63" i="26"/>
  <c r="AC63" i="26" s="1"/>
  <c r="L63" i="26"/>
  <c r="T63" i="26" s="1"/>
  <c r="AN62" i="26"/>
  <c r="AF62" i="26"/>
  <c r="R62" i="26"/>
  <c r="AD62" i="26" s="1"/>
  <c r="Q62" i="26"/>
  <c r="AC62" i="26" s="1"/>
  <c r="L62" i="26"/>
  <c r="T62" i="26" s="1"/>
  <c r="AN61" i="26"/>
  <c r="AF61" i="26"/>
  <c r="R61" i="26"/>
  <c r="AD61" i="26" s="1"/>
  <c r="Q61" i="26"/>
  <c r="AC61" i="26" s="1"/>
  <c r="L61" i="26"/>
  <c r="T61" i="26" s="1"/>
  <c r="AN60" i="26"/>
  <c r="AF60" i="26"/>
  <c r="R60" i="26"/>
  <c r="AD60" i="26" s="1"/>
  <c r="Q60" i="26"/>
  <c r="AC60" i="26" s="1"/>
  <c r="L60" i="26"/>
  <c r="T60" i="26" s="1"/>
  <c r="AN59" i="26"/>
  <c r="AF59" i="26"/>
  <c r="R59" i="26"/>
  <c r="AD59" i="26" s="1"/>
  <c r="Q59" i="26"/>
  <c r="AC59" i="26" s="1"/>
  <c r="L59" i="26"/>
  <c r="T59" i="26" s="1"/>
  <c r="AN58" i="26"/>
  <c r="AF58" i="26"/>
  <c r="R58" i="26"/>
  <c r="AD58" i="26" s="1"/>
  <c r="Q58" i="26"/>
  <c r="AC58" i="26" s="1"/>
  <c r="L58" i="26"/>
  <c r="T58" i="26" s="1"/>
  <c r="AN57" i="26"/>
  <c r="AF57" i="26"/>
  <c r="R57" i="26"/>
  <c r="AD57" i="26" s="1"/>
  <c r="Q57" i="26"/>
  <c r="AC57" i="26" s="1"/>
  <c r="L57" i="26"/>
  <c r="T57" i="26" s="1"/>
  <c r="AN56" i="26"/>
  <c r="AF56" i="26"/>
  <c r="R56" i="26"/>
  <c r="AD56" i="26" s="1"/>
  <c r="Q56" i="26"/>
  <c r="AC56" i="26" s="1"/>
  <c r="L56" i="26"/>
  <c r="T56" i="26" s="1"/>
  <c r="AN55" i="26"/>
  <c r="AF55" i="26"/>
  <c r="R55" i="26"/>
  <c r="AD55" i="26" s="1"/>
  <c r="Q55" i="26"/>
  <c r="AC55" i="26" s="1"/>
  <c r="L55" i="26"/>
  <c r="T55" i="26" s="1"/>
  <c r="AN54" i="26"/>
  <c r="AF54" i="26"/>
  <c r="R54" i="26"/>
  <c r="AD54" i="26" s="1"/>
  <c r="Q54" i="26"/>
  <c r="AC54" i="26" s="1"/>
  <c r="L54" i="26"/>
  <c r="T54" i="26" s="1"/>
  <c r="AN53" i="26"/>
  <c r="AF53" i="26"/>
  <c r="R53" i="26"/>
  <c r="AD53" i="26" s="1"/>
  <c r="Q53" i="26"/>
  <c r="AC53" i="26" s="1"/>
  <c r="L53" i="26"/>
  <c r="T53" i="26" s="1"/>
  <c r="AN52" i="26"/>
  <c r="AF52" i="26"/>
  <c r="R52" i="26"/>
  <c r="AD52" i="26" s="1"/>
  <c r="Q52" i="26"/>
  <c r="AC52" i="26" s="1"/>
  <c r="L52" i="26"/>
  <c r="T52" i="26" s="1"/>
  <c r="AN51" i="26"/>
  <c r="AF51" i="26"/>
  <c r="R51" i="26"/>
  <c r="AD51" i="26" s="1"/>
  <c r="Q51" i="26"/>
  <c r="AC51" i="26" s="1"/>
  <c r="L51" i="26"/>
  <c r="T51" i="26" s="1"/>
  <c r="AN50" i="26"/>
  <c r="AF50" i="26"/>
  <c r="R50" i="26"/>
  <c r="AD50" i="26" s="1"/>
  <c r="Q50" i="26"/>
  <c r="AC50" i="26" s="1"/>
  <c r="L50" i="26"/>
  <c r="T50" i="26" s="1"/>
  <c r="AN49" i="26"/>
  <c r="AF49" i="26"/>
  <c r="R49" i="26"/>
  <c r="AD49" i="26" s="1"/>
  <c r="Q49" i="26"/>
  <c r="AC49" i="26" s="1"/>
  <c r="L49" i="26"/>
  <c r="T49" i="26" s="1"/>
  <c r="AN48" i="26"/>
  <c r="AF48" i="26"/>
  <c r="R48" i="26"/>
  <c r="AD48" i="26" s="1"/>
  <c r="Q48" i="26"/>
  <c r="AC48" i="26" s="1"/>
  <c r="L48" i="26"/>
  <c r="T48" i="26" s="1"/>
  <c r="AN47" i="26"/>
  <c r="AF47" i="26"/>
  <c r="R47" i="26"/>
  <c r="AD47" i="26" s="1"/>
  <c r="Q47" i="26"/>
  <c r="AC47" i="26" s="1"/>
  <c r="L47" i="26"/>
  <c r="T47" i="26" s="1"/>
  <c r="AN46" i="26"/>
  <c r="AF46" i="26"/>
  <c r="R46" i="26"/>
  <c r="AD46" i="26" s="1"/>
  <c r="Q46" i="26"/>
  <c r="AC46" i="26" s="1"/>
  <c r="L46" i="26"/>
  <c r="T46" i="26" s="1"/>
  <c r="AN45" i="26"/>
  <c r="AF45" i="26"/>
  <c r="R45" i="26"/>
  <c r="AD45" i="26" s="1"/>
  <c r="Q45" i="26"/>
  <c r="AC45" i="26" s="1"/>
  <c r="L45" i="26"/>
  <c r="T45" i="26" s="1"/>
  <c r="AN44" i="26"/>
  <c r="AF44" i="26"/>
  <c r="R44" i="26"/>
  <c r="AD44" i="26" s="1"/>
  <c r="Q44" i="26"/>
  <c r="AC44" i="26" s="1"/>
  <c r="L44" i="26"/>
  <c r="T44" i="26" s="1"/>
  <c r="AN43" i="26"/>
  <c r="AF43" i="26"/>
  <c r="R43" i="26"/>
  <c r="AD43" i="26" s="1"/>
  <c r="Q43" i="26"/>
  <c r="AC43" i="26" s="1"/>
  <c r="L43" i="26"/>
  <c r="T43" i="26" s="1"/>
  <c r="AN42" i="26"/>
  <c r="AF42" i="26"/>
  <c r="R42" i="26"/>
  <c r="AD42" i="26" s="1"/>
  <c r="Q42" i="26"/>
  <c r="AC42" i="26" s="1"/>
  <c r="L42" i="26"/>
  <c r="T42" i="26" s="1"/>
  <c r="AN41" i="26"/>
  <c r="AF41" i="26"/>
  <c r="R41" i="26"/>
  <c r="AD41" i="26" s="1"/>
  <c r="Q41" i="26"/>
  <c r="AC41" i="26" s="1"/>
  <c r="L41" i="26"/>
  <c r="T41" i="26" s="1"/>
  <c r="AN40" i="26"/>
  <c r="AF40" i="26"/>
  <c r="R40" i="26"/>
  <c r="AD40" i="26" s="1"/>
  <c r="Q40" i="26"/>
  <c r="AC40" i="26" s="1"/>
  <c r="L40" i="26"/>
  <c r="T40" i="26" s="1"/>
  <c r="AN39" i="26"/>
  <c r="AF39" i="26"/>
  <c r="R39" i="26"/>
  <c r="AD39" i="26" s="1"/>
  <c r="Q39" i="26"/>
  <c r="AC39" i="26" s="1"/>
  <c r="L39" i="26"/>
  <c r="T39" i="26" s="1"/>
  <c r="AN38" i="26"/>
  <c r="AF38" i="26"/>
  <c r="R38" i="26"/>
  <c r="AD38" i="26" s="1"/>
  <c r="Q38" i="26"/>
  <c r="AC38" i="26" s="1"/>
  <c r="L38" i="26"/>
  <c r="T38" i="26" s="1"/>
  <c r="AN37" i="26"/>
  <c r="AF37" i="26"/>
  <c r="R37" i="26"/>
  <c r="AD37" i="26" s="1"/>
  <c r="Q37" i="26"/>
  <c r="AC37" i="26" s="1"/>
  <c r="L37" i="26"/>
  <c r="T37" i="26" s="1"/>
  <c r="AN36" i="26"/>
  <c r="AF36" i="26"/>
  <c r="R36" i="26"/>
  <c r="AD36" i="26" s="1"/>
  <c r="Q36" i="26"/>
  <c r="AC36" i="26" s="1"/>
  <c r="L36" i="26"/>
  <c r="T36" i="26" s="1"/>
  <c r="AN35" i="26"/>
  <c r="AF35" i="26"/>
  <c r="R35" i="26"/>
  <c r="AD35" i="26" s="1"/>
  <c r="Q35" i="26"/>
  <c r="AC35" i="26" s="1"/>
  <c r="L35" i="26"/>
  <c r="T35" i="26" s="1"/>
  <c r="AN34" i="26"/>
  <c r="AF34" i="26"/>
  <c r="R34" i="26"/>
  <c r="AD34" i="26" s="1"/>
  <c r="Q34" i="26"/>
  <c r="AC34" i="26" s="1"/>
  <c r="L34" i="26"/>
  <c r="T34" i="26" s="1"/>
  <c r="AN33" i="26"/>
  <c r="AF33" i="26"/>
  <c r="R33" i="26"/>
  <c r="AD33" i="26" s="1"/>
  <c r="Q33" i="26"/>
  <c r="AC33" i="26" s="1"/>
  <c r="L33" i="26"/>
  <c r="T33" i="26" s="1"/>
  <c r="AN32" i="26"/>
  <c r="AF32" i="26"/>
  <c r="R32" i="26"/>
  <c r="AD32" i="26" s="1"/>
  <c r="Q32" i="26"/>
  <c r="AC32" i="26" s="1"/>
  <c r="L32" i="26"/>
  <c r="T32" i="26" s="1"/>
  <c r="AN31" i="26"/>
  <c r="AF31" i="26"/>
  <c r="R31" i="26"/>
  <c r="AD31" i="26" s="1"/>
  <c r="Q31" i="26"/>
  <c r="AC31" i="26" s="1"/>
  <c r="L31" i="26"/>
  <c r="T31" i="26" s="1"/>
  <c r="AN30" i="26"/>
  <c r="AF30" i="26"/>
  <c r="R30" i="26"/>
  <c r="AD30" i="26" s="1"/>
  <c r="Q30" i="26"/>
  <c r="AC30" i="26" s="1"/>
  <c r="L30" i="26"/>
  <c r="T30" i="26" s="1"/>
  <c r="AN29" i="26"/>
  <c r="AF29" i="26"/>
  <c r="R29" i="26"/>
  <c r="AD29" i="26" s="1"/>
  <c r="Q29" i="26"/>
  <c r="AC29" i="26" s="1"/>
  <c r="L29" i="26"/>
  <c r="T29" i="26" s="1"/>
  <c r="AN28" i="26"/>
  <c r="AF28" i="26"/>
  <c r="R28" i="26"/>
  <c r="AD28" i="26" s="1"/>
  <c r="Q28" i="26"/>
  <c r="AC28" i="26" s="1"/>
  <c r="L28" i="26"/>
  <c r="T28" i="26" s="1"/>
  <c r="AN27" i="26"/>
  <c r="AF27" i="26"/>
  <c r="R27" i="26"/>
  <c r="AD27" i="26" s="1"/>
  <c r="Q27" i="26"/>
  <c r="AC27" i="26" s="1"/>
  <c r="L27" i="26"/>
  <c r="T27" i="26" s="1"/>
  <c r="AN26" i="26"/>
  <c r="AF26" i="26"/>
  <c r="R26" i="26"/>
  <c r="AD26" i="26" s="1"/>
  <c r="Q26" i="26"/>
  <c r="AC26" i="26" s="1"/>
  <c r="L26" i="26"/>
  <c r="T26" i="26" s="1"/>
  <c r="AN25" i="26"/>
  <c r="AF25" i="26"/>
  <c r="Q25" i="26"/>
  <c r="AC25" i="26" s="1"/>
  <c r="L25" i="26"/>
  <c r="T25" i="26" s="1"/>
  <c r="J25" i="26"/>
  <c r="S25" i="26" s="1"/>
  <c r="A25" i="26"/>
  <c r="B25" i="26" s="1"/>
  <c r="E25" i="26" s="1"/>
  <c r="E5" i="26"/>
  <c r="AL41" i="26" s="1"/>
  <c r="E3" i="26"/>
  <c r="R25" i="26" s="1"/>
  <c r="AD25" i="26" s="1"/>
  <c r="B1" i="14"/>
  <c r="AK25" i="18"/>
  <c r="AL25" i="18" s="1"/>
  <c r="AC26" i="18"/>
  <c r="AC27" i="18"/>
  <c r="AC28" i="18"/>
  <c r="AC29" i="18"/>
  <c r="AC30" i="18"/>
  <c r="AC31" i="18"/>
  <c r="AC32" i="18"/>
  <c r="AC33" i="18"/>
  <c r="AC34" i="18"/>
  <c r="AC35" i="18"/>
  <c r="AC36" i="18"/>
  <c r="AC37" i="18"/>
  <c r="AC38" i="18"/>
  <c r="AC39" i="18"/>
  <c r="AC40" i="18"/>
  <c r="AC41" i="18"/>
  <c r="AC42" i="18"/>
  <c r="AC43" i="18"/>
  <c r="AC44" i="18"/>
  <c r="O27" i="18"/>
  <c r="AA27" i="18" s="1"/>
  <c r="O28" i="18"/>
  <c r="AA28" i="18" s="1"/>
  <c r="O29" i="18"/>
  <c r="AA29" i="18" s="1"/>
  <c r="O30" i="18"/>
  <c r="AA30" i="18" s="1"/>
  <c r="O31" i="18"/>
  <c r="AA31" i="18" s="1"/>
  <c r="O32" i="18"/>
  <c r="AA32" i="18" s="1"/>
  <c r="O33" i="18"/>
  <c r="AA33" i="18" s="1"/>
  <c r="O34" i="18"/>
  <c r="AA34" i="18" s="1"/>
  <c r="O35" i="18"/>
  <c r="AA35" i="18" s="1"/>
  <c r="O36" i="18"/>
  <c r="AA36" i="18" s="1"/>
  <c r="O37" i="18"/>
  <c r="AA37" i="18" s="1"/>
  <c r="O38" i="18"/>
  <c r="AA38" i="18" s="1"/>
  <c r="O39" i="18"/>
  <c r="AA39" i="18" s="1"/>
  <c r="O40" i="18"/>
  <c r="AA40" i="18" s="1"/>
  <c r="O41" i="18"/>
  <c r="AA41" i="18" s="1"/>
  <c r="O42" i="18"/>
  <c r="AA42" i="18" s="1"/>
  <c r="O43" i="18"/>
  <c r="AA43" i="18" s="1"/>
  <c r="O44" i="18"/>
  <c r="AA44" i="18" s="1"/>
  <c r="N26" i="18"/>
  <c r="Z26" i="18" s="1"/>
  <c r="N27" i="18"/>
  <c r="Z27" i="18" s="1"/>
  <c r="N28" i="18"/>
  <c r="Z28" i="18" s="1"/>
  <c r="N29" i="18"/>
  <c r="Z29" i="18" s="1"/>
  <c r="N30" i="18"/>
  <c r="Z30" i="18" s="1"/>
  <c r="N31" i="18"/>
  <c r="Z31" i="18" s="1"/>
  <c r="N32" i="18"/>
  <c r="Z32" i="18" s="1"/>
  <c r="N33" i="18"/>
  <c r="Z33" i="18" s="1"/>
  <c r="N34" i="18"/>
  <c r="Z34" i="18" s="1"/>
  <c r="N35" i="18"/>
  <c r="Z35" i="18" s="1"/>
  <c r="N36" i="18"/>
  <c r="Z36" i="18" s="1"/>
  <c r="N37" i="18"/>
  <c r="Z37" i="18" s="1"/>
  <c r="N38" i="18"/>
  <c r="Z38" i="18" s="1"/>
  <c r="N39" i="18"/>
  <c r="Z39" i="18" s="1"/>
  <c r="N40" i="18"/>
  <c r="Z40" i="18" s="1"/>
  <c r="N41" i="18"/>
  <c r="Z41" i="18" s="1"/>
  <c r="N42" i="18"/>
  <c r="Z42" i="18" s="1"/>
  <c r="N43" i="18"/>
  <c r="Z43" i="18" s="1"/>
  <c r="N44" i="18"/>
  <c r="Z44" i="18" s="1"/>
  <c r="O26" i="18"/>
  <c r="AA26" i="18" s="1"/>
  <c r="AC25" i="18"/>
  <c r="V44" i="18"/>
  <c r="N25" i="18"/>
  <c r="Z25" i="18" s="1"/>
  <c r="K25" i="18"/>
  <c r="I26" i="18"/>
  <c r="Q26" i="18" s="1"/>
  <c r="I27" i="18"/>
  <c r="Q27" i="18" s="1"/>
  <c r="I28" i="18"/>
  <c r="Q28" i="18" s="1"/>
  <c r="I29" i="18"/>
  <c r="Q29" i="18" s="1"/>
  <c r="I30" i="18"/>
  <c r="Q30" i="18" s="1"/>
  <c r="I31" i="18"/>
  <c r="Q31" i="18" s="1"/>
  <c r="I32" i="18"/>
  <c r="Q32" i="18" s="1"/>
  <c r="I33" i="18"/>
  <c r="Q33" i="18" s="1"/>
  <c r="I34" i="18"/>
  <c r="Q34" i="18" s="1"/>
  <c r="I35" i="18"/>
  <c r="Q35" i="18" s="1"/>
  <c r="I36" i="18"/>
  <c r="Q36" i="18" s="1"/>
  <c r="I37" i="18"/>
  <c r="Q37" i="18" s="1"/>
  <c r="I38" i="18"/>
  <c r="Q38" i="18" s="1"/>
  <c r="I39" i="18"/>
  <c r="Q39" i="18" s="1"/>
  <c r="I40" i="18"/>
  <c r="Q40" i="18" s="1"/>
  <c r="I41" i="18"/>
  <c r="Q41" i="18" s="1"/>
  <c r="I42" i="18"/>
  <c r="Q42" i="18" s="1"/>
  <c r="I43" i="18"/>
  <c r="Q43" i="18" s="1"/>
  <c r="I44" i="18"/>
  <c r="Q44" i="18" s="1"/>
  <c r="I25" i="18"/>
  <c r="Q25" i="18" s="1"/>
  <c r="B1" i="24"/>
  <c r="B14" i="24" s="1"/>
  <c r="B1" i="22"/>
  <c r="B12" i="22" s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3" i="15"/>
  <c r="O34" i="15"/>
  <c r="O35" i="15"/>
  <c r="O36" i="15"/>
  <c r="O37" i="15"/>
  <c r="O38" i="15"/>
  <c r="O39" i="15"/>
  <c r="O40" i="15"/>
  <c r="O41" i="15"/>
  <c r="O42" i="15"/>
  <c r="O43" i="15"/>
  <c r="O44" i="15"/>
  <c r="O45" i="15"/>
  <c r="O46" i="15"/>
  <c r="O47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N3" i="15"/>
  <c r="N4" i="15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29" i="15"/>
  <c r="N30" i="15"/>
  <c r="N31" i="15"/>
  <c r="N32" i="15"/>
  <c r="N33" i="15"/>
  <c r="N34" i="15"/>
  <c r="N35" i="15"/>
  <c r="N36" i="15"/>
  <c r="N37" i="15"/>
  <c r="N38" i="15"/>
  <c r="N39" i="15"/>
  <c r="N40" i="15"/>
  <c r="N41" i="15"/>
  <c r="N42" i="15"/>
  <c r="N43" i="15"/>
  <c r="N44" i="15"/>
  <c r="N45" i="15"/>
  <c r="N46" i="15"/>
  <c r="N47" i="15"/>
  <c r="N48" i="15"/>
  <c r="N49" i="15"/>
  <c r="N50" i="15"/>
  <c r="N51" i="15"/>
  <c r="N52" i="15"/>
  <c r="N53" i="15"/>
  <c r="N54" i="15"/>
  <c r="N55" i="15"/>
  <c r="N56" i="15"/>
  <c r="N57" i="15"/>
  <c r="N58" i="15"/>
  <c r="N59" i="15"/>
  <c r="N60" i="15"/>
  <c r="N61" i="15"/>
  <c r="N62" i="15"/>
  <c r="N63" i="15"/>
  <c r="N64" i="15"/>
  <c r="N65" i="15"/>
  <c r="N66" i="15"/>
  <c r="N67" i="15"/>
  <c r="N68" i="15"/>
  <c r="N69" i="15"/>
  <c r="N70" i="15"/>
  <c r="N71" i="15"/>
  <c r="N72" i="15"/>
  <c r="N73" i="15"/>
  <c r="L3" i="15"/>
  <c r="L4" i="15"/>
  <c r="L5" i="15"/>
  <c r="L6" i="15"/>
  <c r="L7" i="15"/>
  <c r="L8" i="15"/>
  <c r="L9" i="15"/>
  <c r="L10" i="15"/>
  <c r="L11" i="15"/>
  <c r="L12" i="15"/>
  <c r="L13" i="15"/>
  <c r="E1" i="27" s="1"/>
  <c r="L14" i="15"/>
  <c r="L15" i="15"/>
  <c r="L16" i="15"/>
  <c r="L17" i="15"/>
  <c r="L18" i="15"/>
  <c r="L19" i="15"/>
  <c r="L20" i="15"/>
  <c r="L21" i="15"/>
  <c r="L22" i="15"/>
  <c r="L23" i="15"/>
  <c r="L24" i="15"/>
  <c r="L25" i="15"/>
  <c r="L26" i="15"/>
  <c r="L27" i="15"/>
  <c r="L28" i="15"/>
  <c r="L29" i="15"/>
  <c r="L30" i="15"/>
  <c r="L31" i="15"/>
  <c r="L32" i="15"/>
  <c r="L33" i="15"/>
  <c r="L34" i="15"/>
  <c r="L35" i="15"/>
  <c r="L36" i="15"/>
  <c r="L37" i="15"/>
  <c r="L38" i="15"/>
  <c r="L39" i="15"/>
  <c r="L40" i="15"/>
  <c r="L41" i="15"/>
  <c r="L42" i="15"/>
  <c r="L43" i="15"/>
  <c r="L44" i="15"/>
  <c r="L45" i="15"/>
  <c r="L46" i="15"/>
  <c r="L47" i="15"/>
  <c r="L48" i="15"/>
  <c r="L49" i="15"/>
  <c r="L50" i="15"/>
  <c r="L51" i="15"/>
  <c r="L52" i="15"/>
  <c r="L53" i="15"/>
  <c r="L54" i="15"/>
  <c r="L55" i="15"/>
  <c r="L56" i="15"/>
  <c r="L57" i="15"/>
  <c r="L58" i="15"/>
  <c r="L59" i="15"/>
  <c r="L60" i="15"/>
  <c r="L61" i="15"/>
  <c r="L62" i="15"/>
  <c r="L63" i="15"/>
  <c r="L64" i="15"/>
  <c r="L65" i="15"/>
  <c r="L66" i="15"/>
  <c r="L67" i="15"/>
  <c r="L68" i="15"/>
  <c r="L69" i="15"/>
  <c r="L70" i="15"/>
  <c r="L71" i="15"/>
  <c r="L72" i="15"/>
  <c r="L73" i="15"/>
  <c r="M3" i="15"/>
  <c r="M4" i="15"/>
  <c r="M5" i="15"/>
  <c r="M6" i="15"/>
  <c r="M7" i="15"/>
  <c r="M8" i="15"/>
  <c r="M9" i="15"/>
  <c r="M10" i="15"/>
  <c r="M11" i="15"/>
  <c r="M12" i="15"/>
  <c r="M13" i="15"/>
  <c r="E1" i="26"/>
  <c r="M15" i="15"/>
  <c r="M16" i="15"/>
  <c r="M17" i="15"/>
  <c r="M18" i="15"/>
  <c r="B1" i="16" s="1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AI25" i="14"/>
  <c r="AJ25" i="14" s="1"/>
  <c r="AA26" i="14"/>
  <c r="AA27" i="14"/>
  <c r="AA28" i="14"/>
  <c r="AA29" i="14"/>
  <c r="AA30" i="14"/>
  <c r="AA31" i="14"/>
  <c r="AA32" i="14"/>
  <c r="AA33" i="14"/>
  <c r="AA34" i="14"/>
  <c r="AA35" i="14"/>
  <c r="AA36" i="14"/>
  <c r="AA37" i="14"/>
  <c r="AA38" i="14"/>
  <c r="AA39" i="14"/>
  <c r="AA40" i="14"/>
  <c r="AA41" i="14"/>
  <c r="AA42" i="14"/>
  <c r="AA43" i="14"/>
  <c r="AA44" i="14"/>
  <c r="AA25" i="14"/>
  <c r="O27" i="14"/>
  <c r="Y27" i="14" s="1"/>
  <c r="O28" i="14"/>
  <c r="Y28" i="14" s="1"/>
  <c r="O29" i="14"/>
  <c r="Y29" i="14" s="1"/>
  <c r="O30" i="14"/>
  <c r="Y30" i="14" s="1"/>
  <c r="O31" i="14"/>
  <c r="Y31" i="14" s="1"/>
  <c r="O32" i="14"/>
  <c r="Y32" i="14" s="1"/>
  <c r="O33" i="14"/>
  <c r="Y33" i="14" s="1"/>
  <c r="O34" i="14"/>
  <c r="Y34" i="14" s="1"/>
  <c r="O35" i="14"/>
  <c r="Y35" i="14" s="1"/>
  <c r="O36" i="14"/>
  <c r="Y36" i="14" s="1"/>
  <c r="O37" i="14"/>
  <c r="Y37" i="14" s="1"/>
  <c r="O38" i="14"/>
  <c r="Y38" i="14" s="1"/>
  <c r="O39" i="14"/>
  <c r="Y39" i="14" s="1"/>
  <c r="O40" i="14"/>
  <c r="Y40" i="14" s="1"/>
  <c r="O41" i="14"/>
  <c r="Y41" i="14" s="1"/>
  <c r="O42" i="14"/>
  <c r="Y42" i="14" s="1"/>
  <c r="O43" i="14"/>
  <c r="Y43" i="14" s="1"/>
  <c r="O44" i="14"/>
  <c r="Y44" i="14" s="1"/>
  <c r="O26" i="14"/>
  <c r="Y26" i="14" s="1"/>
  <c r="N26" i="14"/>
  <c r="X26" i="14" s="1"/>
  <c r="N27" i="14"/>
  <c r="X27" i="14" s="1"/>
  <c r="N28" i="14"/>
  <c r="X28" i="14" s="1"/>
  <c r="N29" i="14"/>
  <c r="X29" i="14" s="1"/>
  <c r="N30" i="14"/>
  <c r="X30" i="14" s="1"/>
  <c r="N31" i="14"/>
  <c r="X31" i="14" s="1"/>
  <c r="N32" i="14"/>
  <c r="X32" i="14" s="1"/>
  <c r="N33" i="14"/>
  <c r="X33" i="14" s="1"/>
  <c r="N34" i="14"/>
  <c r="X34" i="14" s="1"/>
  <c r="N35" i="14"/>
  <c r="X35" i="14" s="1"/>
  <c r="N36" i="14"/>
  <c r="X36" i="14" s="1"/>
  <c r="N37" i="14"/>
  <c r="X37" i="14" s="1"/>
  <c r="N38" i="14"/>
  <c r="X38" i="14" s="1"/>
  <c r="N39" i="14"/>
  <c r="X39" i="14" s="1"/>
  <c r="N40" i="14"/>
  <c r="X40" i="14" s="1"/>
  <c r="N41" i="14"/>
  <c r="X41" i="14" s="1"/>
  <c r="N42" i="14"/>
  <c r="X42" i="14" s="1"/>
  <c r="N43" i="14"/>
  <c r="X43" i="14" s="1"/>
  <c r="N44" i="14"/>
  <c r="X44" i="14" s="1"/>
  <c r="N25" i="14"/>
  <c r="X25" i="14" s="1"/>
  <c r="K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25" i="14"/>
  <c r="G25" i="14"/>
  <c r="G26" i="14" s="1"/>
  <c r="G27" i="14" s="1"/>
  <c r="G28" i="14" s="1"/>
  <c r="G29" i="14" s="1"/>
  <c r="G30" i="14" s="1"/>
  <c r="G31" i="14" s="1"/>
  <c r="G32" i="14" s="1"/>
  <c r="G33" i="14" s="1"/>
  <c r="G34" i="14" s="1"/>
  <c r="G35" i="14" s="1"/>
  <c r="G36" i="14" s="1"/>
  <c r="G37" i="14" s="1"/>
  <c r="G38" i="14" s="1"/>
  <c r="G39" i="14" s="1"/>
  <c r="G40" i="14" s="1"/>
  <c r="G41" i="14" s="1"/>
  <c r="G42" i="14" s="1"/>
  <c r="G43" i="14" s="1"/>
  <c r="G44" i="14" s="1"/>
  <c r="A25" i="14"/>
  <c r="P25" i="14" s="1"/>
  <c r="B3" i="14"/>
  <c r="O25" i="14" s="1"/>
  <c r="Y25" i="14" s="1"/>
  <c r="B3" i="21"/>
  <c r="O28" i="21" s="1"/>
  <c r="AA28" i="21" s="1"/>
  <c r="Y28" i="19"/>
  <c r="O27" i="19"/>
  <c r="Y27" i="19" s="1"/>
  <c r="O28" i="19"/>
  <c r="O29" i="19"/>
  <c r="Y29" i="19" s="1"/>
  <c r="O30" i="19"/>
  <c r="Y30" i="19" s="1"/>
  <c r="O31" i="19"/>
  <c r="Y31" i="19" s="1"/>
  <c r="O32" i="19"/>
  <c r="Y32" i="19" s="1"/>
  <c r="O33" i="19"/>
  <c r="Y33" i="19" s="1"/>
  <c r="O34" i="19"/>
  <c r="Y34" i="19" s="1"/>
  <c r="O35" i="19"/>
  <c r="Y35" i="19" s="1"/>
  <c r="O36" i="19"/>
  <c r="Y36" i="19" s="1"/>
  <c r="O37" i="19"/>
  <c r="Y37" i="19" s="1"/>
  <c r="O38" i="19"/>
  <c r="Y38" i="19" s="1"/>
  <c r="O39" i="19"/>
  <c r="Y39" i="19" s="1"/>
  <c r="O40" i="19"/>
  <c r="Y40" i="19" s="1"/>
  <c r="O41" i="19"/>
  <c r="Y41" i="19" s="1"/>
  <c r="O42" i="19"/>
  <c r="Y42" i="19" s="1"/>
  <c r="O43" i="19"/>
  <c r="Y43" i="19" s="1"/>
  <c r="O44" i="19"/>
  <c r="Y44" i="19" s="1"/>
  <c r="O45" i="19"/>
  <c r="Y45" i="19" s="1"/>
  <c r="O46" i="19"/>
  <c r="Y46" i="19" s="1"/>
  <c r="O47" i="19"/>
  <c r="Y47" i="19" s="1"/>
  <c r="O48" i="19"/>
  <c r="Y48" i="19" s="1"/>
  <c r="O49" i="19"/>
  <c r="Y49" i="19" s="1"/>
  <c r="O50" i="19"/>
  <c r="Y50" i="19" s="1"/>
  <c r="O51" i="19"/>
  <c r="Y51" i="19" s="1"/>
  <c r="O52" i="19"/>
  <c r="Y52" i="19" s="1"/>
  <c r="O53" i="19"/>
  <c r="Y53" i="19" s="1"/>
  <c r="O54" i="19"/>
  <c r="Y54" i="19" s="1"/>
  <c r="O55" i="19"/>
  <c r="Y55" i="19" s="1"/>
  <c r="O56" i="19"/>
  <c r="Y56" i="19" s="1"/>
  <c r="O57" i="19"/>
  <c r="Y57" i="19" s="1"/>
  <c r="O58" i="19"/>
  <c r="Y58" i="19" s="1"/>
  <c r="O59" i="19"/>
  <c r="Y59" i="19" s="1"/>
  <c r="O60" i="19"/>
  <c r="Y60" i="19" s="1"/>
  <c r="O61" i="19"/>
  <c r="Y61" i="19" s="1"/>
  <c r="O62" i="19"/>
  <c r="Y62" i="19" s="1"/>
  <c r="O63" i="19"/>
  <c r="Y63" i="19" s="1"/>
  <c r="O64" i="19"/>
  <c r="Y64" i="19" s="1"/>
  <c r="O65" i="19"/>
  <c r="Y65" i="19" s="1"/>
  <c r="O66" i="19"/>
  <c r="Y66" i="19" s="1"/>
  <c r="O67" i="19"/>
  <c r="Y67" i="19" s="1"/>
  <c r="O68" i="19"/>
  <c r="Y68" i="19" s="1"/>
  <c r="O69" i="19"/>
  <c r="Y69" i="19" s="1"/>
  <c r="O70" i="19"/>
  <c r="Y70" i="19" s="1"/>
  <c r="O71" i="19"/>
  <c r="Y71" i="19" s="1"/>
  <c r="O72" i="19"/>
  <c r="Y72" i="19" s="1"/>
  <c r="O73" i="19"/>
  <c r="Y73" i="19" s="1"/>
  <c r="O74" i="19"/>
  <c r="Y74" i="19" s="1"/>
  <c r="O75" i="19"/>
  <c r="Y75" i="19" s="1"/>
  <c r="O26" i="19"/>
  <c r="Y26" i="19" s="1"/>
  <c r="T75" i="19"/>
  <c r="N75" i="19"/>
  <c r="X75" i="19" s="1"/>
  <c r="I75" i="19"/>
  <c r="N74" i="19"/>
  <c r="X74" i="19" s="1"/>
  <c r="I74" i="19"/>
  <c r="N73" i="19"/>
  <c r="X73" i="19" s="1"/>
  <c r="I73" i="19"/>
  <c r="N72" i="19"/>
  <c r="X72" i="19" s="1"/>
  <c r="I72" i="19"/>
  <c r="N71" i="19"/>
  <c r="X71" i="19" s="1"/>
  <c r="I71" i="19"/>
  <c r="N70" i="19"/>
  <c r="X70" i="19" s="1"/>
  <c r="I70" i="19"/>
  <c r="N69" i="19"/>
  <c r="X69" i="19" s="1"/>
  <c r="I69" i="19"/>
  <c r="N68" i="19"/>
  <c r="X68" i="19" s="1"/>
  <c r="I68" i="19"/>
  <c r="N67" i="19"/>
  <c r="X67" i="19" s="1"/>
  <c r="I67" i="19"/>
  <c r="N66" i="19"/>
  <c r="X66" i="19" s="1"/>
  <c r="I66" i="19"/>
  <c r="N65" i="19"/>
  <c r="X65" i="19" s="1"/>
  <c r="I65" i="19"/>
  <c r="N64" i="19"/>
  <c r="X64" i="19" s="1"/>
  <c r="I64" i="19"/>
  <c r="N63" i="19"/>
  <c r="X63" i="19" s="1"/>
  <c r="I63" i="19"/>
  <c r="N62" i="19"/>
  <c r="X62" i="19" s="1"/>
  <c r="I62" i="19"/>
  <c r="N61" i="19"/>
  <c r="X61" i="19" s="1"/>
  <c r="I61" i="19"/>
  <c r="N60" i="19"/>
  <c r="X60" i="19" s="1"/>
  <c r="I60" i="19"/>
  <c r="N59" i="19"/>
  <c r="X59" i="19" s="1"/>
  <c r="I59" i="19"/>
  <c r="N58" i="19"/>
  <c r="X58" i="19" s="1"/>
  <c r="I58" i="19"/>
  <c r="N57" i="19"/>
  <c r="X57" i="19" s="1"/>
  <c r="I57" i="19"/>
  <c r="N56" i="19"/>
  <c r="X56" i="19" s="1"/>
  <c r="I56" i="19"/>
  <c r="N55" i="19"/>
  <c r="X55" i="19" s="1"/>
  <c r="I55" i="19"/>
  <c r="N54" i="19"/>
  <c r="X54" i="19" s="1"/>
  <c r="I54" i="19"/>
  <c r="N53" i="19"/>
  <c r="X53" i="19" s="1"/>
  <c r="I53" i="19"/>
  <c r="N52" i="19"/>
  <c r="X52" i="19" s="1"/>
  <c r="I52" i="19"/>
  <c r="N51" i="19"/>
  <c r="X51" i="19" s="1"/>
  <c r="I51" i="19"/>
  <c r="N50" i="19"/>
  <c r="X50" i="19" s="1"/>
  <c r="I50" i="19"/>
  <c r="N49" i="19"/>
  <c r="X49" i="19" s="1"/>
  <c r="I49" i="19"/>
  <c r="N48" i="19"/>
  <c r="X48" i="19" s="1"/>
  <c r="I48" i="19"/>
  <c r="N47" i="19"/>
  <c r="X47" i="19" s="1"/>
  <c r="I47" i="19"/>
  <c r="N46" i="19"/>
  <c r="X46" i="19" s="1"/>
  <c r="I46" i="19"/>
  <c r="N45" i="19"/>
  <c r="X45" i="19" s="1"/>
  <c r="I45" i="19"/>
  <c r="N44" i="19"/>
  <c r="X44" i="19" s="1"/>
  <c r="I44" i="19"/>
  <c r="N43" i="19"/>
  <c r="X43" i="19" s="1"/>
  <c r="I43" i="19"/>
  <c r="N42" i="19"/>
  <c r="X42" i="19" s="1"/>
  <c r="I42" i="19"/>
  <c r="N41" i="19"/>
  <c r="X41" i="19" s="1"/>
  <c r="I41" i="19"/>
  <c r="N40" i="19"/>
  <c r="X40" i="19" s="1"/>
  <c r="I40" i="19"/>
  <c r="N39" i="19"/>
  <c r="X39" i="19" s="1"/>
  <c r="I39" i="19"/>
  <c r="N38" i="19"/>
  <c r="X38" i="19" s="1"/>
  <c r="I38" i="19"/>
  <c r="N37" i="19"/>
  <c r="X37" i="19" s="1"/>
  <c r="I37" i="19"/>
  <c r="N36" i="19"/>
  <c r="X36" i="19" s="1"/>
  <c r="I36" i="19"/>
  <c r="N35" i="19"/>
  <c r="X35" i="19" s="1"/>
  <c r="I35" i="19"/>
  <c r="N34" i="19"/>
  <c r="X34" i="19" s="1"/>
  <c r="I34" i="19"/>
  <c r="N33" i="19"/>
  <c r="X33" i="19" s="1"/>
  <c r="I33" i="19"/>
  <c r="N32" i="19"/>
  <c r="X32" i="19" s="1"/>
  <c r="I32" i="19"/>
  <c r="N31" i="19"/>
  <c r="X31" i="19" s="1"/>
  <c r="I31" i="19"/>
  <c r="N30" i="19"/>
  <c r="X30" i="19" s="1"/>
  <c r="I30" i="19"/>
  <c r="N29" i="19"/>
  <c r="X29" i="19" s="1"/>
  <c r="I29" i="19"/>
  <c r="N28" i="19"/>
  <c r="X28" i="19" s="1"/>
  <c r="I28" i="19"/>
  <c r="N27" i="19"/>
  <c r="X27" i="19" s="1"/>
  <c r="I27" i="19"/>
  <c r="N26" i="19"/>
  <c r="X26" i="19" s="1"/>
  <c r="I26" i="19"/>
  <c r="AI25" i="19"/>
  <c r="N25" i="19"/>
  <c r="X25" i="19" s="1"/>
  <c r="K25" i="19"/>
  <c r="I25" i="19"/>
  <c r="G25" i="19"/>
  <c r="G26" i="19" s="1"/>
  <c r="A25" i="19"/>
  <c r="B25" i="19" s="1"/>
  <c r="B5" i="19"/>
  <c r="X64" i="22"/>
  <c r="X66" i="22"/>
  <c r="T73" i="22"/>
  <c r="O24" i="22"/>
  <c r="Y24" i="22" s="1"/>
  <c r="O25" i="22"/>
  <c r="Y25" i="22" s="1"/>
  <c r="O26" i="22"/>
  <c r="Y26" i="22" s="1"/>
  <c r="O27" i="22"/>
  <c r="Y27" i="22" s="1"/>
  <c r="O28" i="22"/>
  <c r="Y28" i="22" s="1"/>
  <c r="O29" i="22"/>
  <c r="Y29" i="22" s="1"/>
  <c r="O30" i="22"/>
  <c r="Y30" i="22" s="1"/>
  <c r="O31" i="22"/>
  <c r="Y31" i="22" s="1"/>
  <c r="O32" i="22"/>
  <c r="Y32" i="22" s="1"/>
  <c r="O33" i="22"/>
  <c r="Y33" i="22" s="1"/>
  <c r="O34" i="22"/>
  <c r="Y34" i="22" s="1"/>
  <c r="O35" i="22"/>
  <c r="Y35" i="22" s="1"/>
  <c r="O36" i="22"/>
  <c r="Y36" i="22" s="1"/>
  <c r="O37" i="22"/>
  <c r="Y37" i="22" s="1"/>
  <c r="O38" i="22"/>
  <c r="Y38" i="22" s="1"/>
  <c r="O39" i="22"/>
  <c r="Y39" i="22" s="1"/>
  <c r="O40" i="22"/>
  <c r="Y40" i="22" s="1"/>
  <c r="O41" i="22"/>
  <c r="Y41" i="22" s="1"/>
  <c r="O42" i="22"/>
  <c r="Y42" i="22" s="1"/>
  <c r="O43" i="22"/>
  <c r="Y43" i="22" s="1"/>
  <c r="O44" i="22"/>
  <c r="Y44" i="22" s="1"/>
  <c r="O45" i="22"/>
  <c r="Y45" i="22" s="1"/>
  <c r="O46" i="22"/>
  <c r="Y46" i="22" s="1"/>
  <c r="O47" i="22"/>
  <c r="Y47" i="22" s="1"/>
  <c r="O48" i="22"/>
  <c r="Y48" i="22" s="1"/>
  <c r="O49" i="22"/>
  <c r="Y49" i="22" s="1"/>
  <c r="O50" i="22"/>
  <c r="Y50" i="22" s="1"/>
  <c r="O51" i="22"/>
  <c r="Y51" i="22" s="1"/>
  <c r="O52" i="22"/>
  <c r="Y52" i="22" s="1"/>
  <c r="O53" i="22"/>
  <c r="Y53" i="22" s="1"/>
  <c r="O54" i="22"/>
  <c r="Y54" i="22" s="1"/>
  <c r="O55" i="22"/>
  <c r="Y55" i="22" s="1"/>
  <c r="O56" i="22"/>
  <c r="Y56" i="22" s="1"/>
  <c r="O57" i="22"/>
  <c r="Y57" i="22" s="1"/>
  <c r="O58" i="22"/>
  <c r="Y58" i="22" s="1"/>
  <c r="O59" i="22"/>
  <c r="Y59" i="22" s="1"/>
  <c r="O60" i="22"/>
  <c r="Y60" i="22" s="1"/>
  <c r="O61" i="22"/>
  <c r="Y61" i="22" s="1"/>
  <c r="O62" i="22"/>
  <c r="Y62" i="22" s="1"/>
  <c r="O63" i="22"/>
  <c r="Y63" i="22" s="1"/>
  <c r="O64" i="22"/>
  <c r="Y64" i="22" s="1"/>
  <c r="O65" i="22"/>
  <c r="Y65" i="22" s="1"/>
  <c r="O66" i="22"/>
  <c r="Y66" i="22" s="1"/>
  <c r="O67" i="22"/>
  <c r="Y67" i="22" s="1"/>
  <c r="O68" i="22"/>
  <c r="Y68" i="22" s="1"/>
  <c r="O69" i="22"/>
  <c r="Y69" i="22" s="1"/>
  <c r="O70" i="22"/>
  <c r="Y70" i="22" s="1"/>
  <c r="O71" i="22"/>
  <c r="Y71" i="22" s="1"/>
  <c r="O72" i="22"/>
  <c r="Y72" i="22" s="1"/>
  <c r="O73" i="22"/>
  <c r="Y73" i="22" s="1"/>
  <c r="O23" i="22"/>
  <c r="N43" i="22"/>
  <c r="X43" i="22" s="1"/>
  <c r="N44" i="22"/>
  <c r="X44" i="22" s="1"/>
  <c r="N45" i="22"/>
  <c r="X45" i="22" s="1"/>
  <c r="N46" i="22"/>
  <c r="X46" i="22" s="1"/>
  <c r="N47" i="22"/>
  <c r="X47" i="22" s="1"/>
  <c r="N48" i="22"/>
  <c r="X48" i="22" s="1"/>
  <c r="N49" i="22"/>
  <c r="X49" i="22" s="1"/>
  <c r="N50" i="22"/>
  <c r="X50" i="22" s="1"/>
  <c r="N51" i="22"/>
  <c r="X51" i="22" s="1"/>
  <c r="N52" i="22"/>
  <c r="X52" i="22" s="1"/>
  <c r="N53" i="22"/>
  <c r="X53" i="22" s="1"/>
  <c r="N54" i="22"/>
  <c r="X54" i="22" s="1"/>
  <c r="N55" i="22"/>
  <c r="X55" i="22" s="1"/>
  <c r="N56" i="22"/>
  <c r="X56" i="22" s="1"/>
  <c r="N57" i="22"/>
  <c r="X57" i="22" s="1"/>
  <c r="N58" i="22"/>
  <c r="X58" i="22" s="1"/>
  <c r="N59" i="22"/>
  <c r="X59" i="22" s="1"/>
  <c r="N60" i="22"/>
  <c r="X60" i="22" s="1"/>
  <c r="N61" i="22"/>
  <c r="X61" i="22" s="1"/>
  <c r="N62" i="22"/>
  <c r="X62" i="22" s="1"/>
  <c r="AB62" i="22" s="1"/>
  <c r="N63" i="22"/>
  <c r="X63" i="22" s="1"/>
  <c r="N64" i="22"/>
  <c r="N65" i="22"/>
  <c r="X65" i="22" s="1"/>
  <c r="N66" i="22"/>
  <c r="N67" i="22"/>
  <c r="X67" i="22" s="1"/>
  <c r="N68" i="22"/>
  <c r="X68" i="22" s="1"/>
  <c r="N69" i="22"/>
  <c r="X69" i="22" s="1"/>
  <c r="N70" i="22"/>
  <c r="X70" i="22" s="1"/>
  <c r="N71" i="22"/>
  <c r="X71" i="22" s="1"/>
  <c r="N72" i="22"/>
  <c r="X72" i="22" s="1"/>
  <c r="N73" i="22"/>
  <c r="X73" i="22" s="1"/>
  <c r="I24" i="22"/>
  <c r="I25" i="22"/>
  <c r="I26" i="22"/>
  <c r="I27" i="22"/>
  <c r="I28" i="22"/>
  <c r="I29" i="22"/>
  <c r="I30" i="22"/>
  <c r="I31" i="22"/>
  <c r="I32" i="22"/>
  <c r="I33" i="22"/>
  <c r="I34" i="22"/>
  <c r="I35" i="22"/>
  <c r="I36" i="22"/>
  <c r="I37" i="22"/>
  <c r="I38" i="22"/>
  <c r="I39" i="22"/>
  <c r="I40" i="22"/>
  <c r="I41" i="22"/>
  <c r="I42" i="22"/>
  <c r="I43" i="22"/>
  <c r="I44" i="22"/>
  <c r="I45" i="22"/>
  <c r="I46" i="22"/>
  <c r="I47" i="22"/>
  <c r="I48" i="22"/>
  <c r="I49" i="22"/>
  <c r="I50" i="22"/>
  <c r="I51" i="22"/>
  <c r="I52" i="22"/>
  <c r="I53" i="22"/>
  <c r="I54" i="22"/>
  <c r="I55" i="22"/>
  <c r="I56" i="22"/>
  <c r="I57" i="22"/>
  <c r="I58" i="22"/>
  <c r="I59" i="22"/>
  <c r="I60" i="22"/>
  <c r="I61" i="22"/>
  <c r="I62" i="22"/>
  <c r="I63" i="22"/>
  <c r="I64" i="22"/>
  <c r="I65" i="22"/>
  <c r="I66" i="22"/>
  <c r="I67" i="22"/>
  <c r="I68" i="22"/>
  <c r="I69" i="22"/>
  <c r="I70" i="22"/>
  <c r="I71" i="22"/>
  <c r="I72" i="22"/>
  <c r="I73" i="22"/>
  <c r="O27" i="16"/>
  <c r="AA27" i="16" s="1"/>
  <c r="O28" i="16"/>
  <c r="O29" i="16"/>
  <c r="AA29" i="16" s="1"/>
  <c r="O30" i="16"/>
  <c r="AA30" i="16" s="1"/>
  <c r="O31" i="16"/>
  <c r="O32" i="16"/>
  <c r="O33" i="16"/>
  <c r="AA33" i="16" s="1"/>
  <c r="O34" i="16"/>
  <c r="O35" i="16"/>
  <c r="O36" i="16"/>
  <c r="AA36" i="16" s="1"/>
  <c r="O37" i="16"/>
  <c r="O38" i="16"/>
  <c r="O39" i="16"/>
  <c r="O40" i="16"/>
  <c r="O41" i="16"/>
  <c r="O42" i="16"/>
  <c r="O43" i="16"/>
  <c r="AA43" i="16" s="1"/>
  <c r="O44" i="16"/>
  <c r="O45" i="16"/>
  <c r="AA45" i="16" s="1"/>
  <c r="O46" i="16"/>
  <c r="O47" i="16"/>
  <c r="AA47" i="16" s="1"/>
  <c r="O48" i="16"/>
  <c r="AA48" i="16" s="1"/>
  <c r="O49" i="16"/>
  <c r="O50" i="16"/>
  <c r="O51" i="16"/>
  <c r="O52" i="16"/>
  <c r="O53" i="16"/>
  <c r="O54" i="16"/>
  <c r="O55" i="16"/>
  <c r="AA55" i="16" s="1"/>
  <c r="O56" i="16"/>
  <c r="O57" i="16"/>
  <c r="AA57" i="16" s="1"/>
  <c r="O58" i="16"/>
  <c r="O59" i="16"/>
  <c r="O60" i="16"/>
  <c r="O61" i="16"/>
  <c r="O62" i="16"/>
  <c r="O63" i="16"/>
  <c r="O64" i="16"/>
  <c r="AA64" i="16" s="1"/>
  <c r="O65" i="16"/>
  <c r="AA65" i="16" s="1"/>
  <c r="O66" i="16"/>
  <c r="O67" i="16"/>
  <c r="AA67" i="16" s="1"/>
  <c r="O68" i="16"/>
  <c r="O69" i="16"/>
  <c r="O70" i="16"/>
  <c r="O71" i="16"/>
  <c r="O72" i="16"/>
  <c r="O73" i="16"/>
  <c r="AA73" i="16" s="1"/>
  <c r="O74" i="16"/>
  <c r="O75" i="16"/>
  <c r="AA75" i="16" s="1"/>
  <c r="O76" i="16"/>
  <c r="O26" i="16"/>
  <c r="B3" i="16"/>
  <c r="O25" i="16" s="1"/>
  <c r="O23" i="24"/>
  <c r="Y23" i="24" s="1"/>
  <c r="AA42" i="24"/>
  <c r="O42" i="24"/>
  <c r="Y42" i="24" s="1"/>
  <c r="I42" i="24"/>
  <c r="AA41" i="24"/>
  <c r="O41" i="24"/>
  <c r="Y41" i="24" s="1"/>
  <c r="I41" i="24"/>
  <c r="AA40" i="24"/>
  <c r="O40" i="24"/>
  <c r="Y40" i="24" s="1"/>
  <c r="I40" i="24"/>
  <c r="AA39" i="24"/>
  <c r="O39" i="24"/>
  <c r="Y39" i="24" s="1"/>
  <c r="I39" i="24"/>
  <c r="AA38" i="24"/>
  <c r="O38" i="24"/>
  <c r="Y38" i="24" s="1"/>
  <c r="I38" i="24"/>
  <c r="AA37" i="24"/>
  <c r="O37" i="24"/>
  <c r="Y37" i="24" s="1"/>
  <c r="I37" i="24"/>
  <c r="AA36" i="24"/>
  <c r="O36" i="24"/>
  <c r="Y36" i="24" s="1"/>
  <c r="I36" i="24"/>
  <c r="AA35" i="24"/>
  <c r="O35" i="24"/>
  <c r="Y35" i="24" s="1"/>
  <c r="I35" i="24"/>
  <c r="AA34" i="24"/>
  <c r="O34" i="24"/>
  <c r="Y34" i="24" s="1"/>
  <c r="I34" i="24"/>
  <c r="AA33" i="24"/>
  <c r="O33" i="24"/>
  <c r="Y33" i="24" s="1"/>
  <c r="I33" i="24"/>
  <c r="AA32" i="24"/>
  <c r="O32" i="24"/>
  <c r="Y32" i="24" s="1"/>
  <c r="I32" i="24"/>
  <c r="AA31" i="24"/>
  <c r="O31" i="24"/>
  <c r="Y31" i="24" s="1"/>
  <c r="I31" i="24"/>
  <c r="AA30" i="24"/>
  <c r="O30" i="24"/>
  <c r="Y30" i="24" s="1"/>
  <c r="I30" i="24"/>
  <c r="AA29" i="24"/>
  <c r="O29" i="24"/>
  <c r="Y29" i="24" s="1"/>
  <c r="I29" i="24"/>
  <c r="AA28" i="24"/>
  <c r="O28" i="24"/>
  <c r="Y28" i="24" s="1"/>
  <c r="I28" i="24"/>
  <c r="AA27" i="24"/>
  <c r="O27" i="24"/>
  <c r="Y27" i="24" s="1"/>
  <c r="I27" i="24"/>
  <c r="AA26" i="24"/>
  <c r="O26" i="24"/>
  <c r="Y26" i="24" s="1"/>
  <c r="I26" i="24"/>
  <c r="AA25" i="24"/>
  <c r="O25" i="24"/>
  <c r="Y25" i="24" s="1"/>
  <c r="I25" i="24"/>
  <c r="AA24" i="24"/>
  <c r="O24" i="24"/>
  <c r="Y24" i="24" s="1"/>
  <c r="I24" i="24"/>
  <c r="AA23" i="24"/>
  <c r="K23" i="24"/>
  <c r="I23" i="24"/>
  <c r="G23" i="24"/>
  <c r="G24" i="24" s="1"/>
  <c r="G25" i="24" s="1"/>
  <c r="G26" i="24" s="1"/>
  <c r="G27" i="24" s="1"/>
  <c r="G28" i="24" s="1"/>
  <c r="G29" i="24" s="1"/>
  <c r="G30" i="24" s="1"/>
  <c r="G31" i="24" s="1"/>
  <c r="G32" i="24" s="1"/>
  <c r="G33" i="24" s="1"/>
  <c r="G34" i="24" s="1"/>
  <c r="G35" i="24" s="1"/>
  <c r="G36" i="24" s="1"/>
  <c r="G37" i="24" s="1"/>
  <c r="G38" i="24" s="1"/>
  <c r="G39" i="24" s="1"/>
  <c r="G40" i="24" s="1"/>
  <c r="G41" i="24" s="1"/>
  <c r="G42" i="24" s="1"/>
  <c r="A23" i="24"/>
  <c r="P23" i="24" s="1"/>
  <c r="B10" i="24"/>
  <c r="N42" i="24" s="1"/>
  <c r="X42" i="24" s="1"/>
  <c r="B5" i="24"/>
  <c r="AG33" i="24" s="1"/>
  <c r="B3" i="24"/>
  <c r="O23" i="23"/>
  <c r="AA23" i="23" s="1"/>
  <c r="AC42" i="23"/>
  <c r="V42" i="23"/>
  <c r="O42" i="23"/>
  <c r="AA42" i="23" s="1"/>
  <c r="I42" i="23"/>
  <c r="Q42" i="23" s="1"/>
  <c r="AC41" i="23"/>
  <c r="O41" i="23"/>
  <c r="AA41" i="23" s="1"/>
  <c r="I41" i="23"/>
  <c r="Q41" i="23" s="1"/>
  <c r="AC40" i="23"/>
  <c r="O40" i="23"/>
  <c r="AA40" i="23" s="1"/>
  <c r="I40" i="23"/>
  <c r="Q40" i="23" s="1"/>
  <c r="AC39" i="23"/>
  <c r="O39" i="23"/>
  <c r="AA39" i="23" s="1"/>
  <c r="I39" i="23"/>
  <c r="Q39" i="23" s="1"/>
  <c r="AC38" i="23"/>
  <c r="O38" i="23"/>
  <c r="AA38" i="23" s="1"/>
  <c r="I38" i="23"/>
  <c r="Q38" i="23" s="1"/>
  <c r="AC37" i="23"/>
  <c r="O37" i="23"/>
  <c r="AA37" i="23" s="1"/>
  <c r="I37" i="23"/>
  <c r="Q37" i="23" s="1"/>
  <c r="AC36" i="23"/>
  <c r="O36" i="23"/>
  <c r="AA36" i="23" s="1"/>
  <c r="I36" i="23"/>
  <c r="Q36" i="23" s="1"/>
  <c r="AC35" i="23"/>
  <c r="O35" i="23"/>
  <c r="AA35" i="23" s="1"/>
  <c r="I35" i="23"/>
  <c r="Q35" i="23" s="1"/>
  <c r="AC34" i="23"/>
  <c r="O34" i="23"/>
  <c r="AA34" i="23" s="1"/>
  <c r="I34" i="23"/>
  <c r="Q34" i="23" s="1"/>
  <c r="AC33" i="23"/>
  <c r="O33" i="23"/>
  <c r="AA33" i="23" s="1"/>
  <c r="I33" i="23"/>
  <c r="Q33" i="23" s="1"/>
  <c r="AC32" i="23"/>
  <c r="O32" i="23"/>
  <c r="AA32" i="23" s="1"/>
  <c r="I32" i="23"/>
  <c r="Q32" i="23" s="1"/>
  <c r="AC31" i="23"/>
  <c r="O31" i="23"/>
  <c r="AA31" i="23" s="1"/>
  <c r="I31" i="23"/>
  <c r="Q31" i="23" s="1"/>
  <c r="AC30" i="23"/>
  <c r="O30" i="23"/>
  <c r="AA30" i="23" s="1"/>
  <c r="I30" i="23"/>
  <c r="Q30" i="23" s="1"/>
  <c r="AC29" i="23"/>
  <c r="O29" i="23"/>
  <c r="AA29" i="23" s="1"/>
  <c r="I29" i="23"/>
  <c r="Q29" i="23" s="1"/>
  <c r="AC28" i="23"/>
  <c r="O28" i="23"/>
  <c r="AA28" i="23" s="1"/>
  <c r="I28" i="23"/>
  <c r="Q28" i="23" s="1"/>
  <c r="AC27" i="23"/>
  <c r="O27" i="23"/>
  <c r="AA27" i="23" s="1"/>
  <c r="I27" i="23"/>
  <c r="Q27" i="23" s="1"/>
  <c r="AC26" i="23"/>
  <c r="O26" i="23"/>
  <c r="AA26" i="23" s="1"/>
  <c r="I26" i="23"/>
  <c r="Q26" i="23" s="1"/>
  <c r="AC25" i="23"/>
  <c r="O25" i="23"/>
  <c r="AA25" i="23" s="1"/>
  <c r="I25" i="23"/>
  <c r="Q25" i="23" s="1"/>
  <c r="AC24" i="23"/>
  <c r="O24" i="23"/>
  <c r="AA24" i="23" s="1"/>
  <c r="I24" i="23"/>
  <c r="Q24" i="23" s="1"/>
  <c r="AC23" i="23"/>
  <c r="K23" i="23"/>
  <c r="I23" i="23"/>
  <c r="Q23" i="23" s="1"/>
  <c r="G23" i="23"/>
  <c r="G24" i="23" s="1"/>
  <c r="G25" i="23" s="1"/>
  <c r="G26" i="23" s="1"/>
  <c r="G27" i="23" s="1"/>
  <c r="G28" i="23" s="1"/>
  <c r="G29" i="23" s="1"/>
  <c r="G30" i="23" s="1"/>
  <c r="G31" i="23" s="1"/>
  <c r="G32" i="23" s="1"/>
  <c r="G33" i="23" s="1"/>
  <c r="G34" i="23" s="1"/>
  <c r="G35" i="23" s="1"/>
  <c r="G36" i="23" s="1"/>
  <c r="G37" i="23" s="1"/>
  <c r="G38" i="23" s="1"/>
  <c r="G39" i="23" s="1"/>
  <c r="G40" i="23" s="1"/>
  <c r="G41" i="23" s="1"/>
  <c r="G42" i="23" s="1"/>
  <c r="A23" i="23"/>
  <c r="A24" i="23" s="1"/>
  <c r="B24" i="23" s="1"/>
  <c r="B5" i="23"/>
  <c r="AI30" i="23" s="1"/>
  <c r="B3" i="23"/>
  <c r="G25" i="16"/>
  <c r="P25" i="16" s="1"/>
  <c r="A25" i="16"/>
  <c r="AK76" i="16"/>
  <c r="AC76" i="16"/>
  <c r="N76" i="16"/>
  <c r="Z76" i="16" s="1"/>
  <c r="I76" i="16"/>
  <c r="Q76" i="16" s="1"/>
  <c r="AK75" i="16"/>
  <c r="AC75" i="16"/>
  <c r="N75" i="16"/>
  <c r="Z75" i="16" s="1"/>
  <c r="I75" i="16"/>
  <c r="Q75" i="16" s="1"/>
  <c r="AK74" i="16"/>
  <c r="AC74" i="16"/>
  <c r="N74" i="16"/>
  <c r="Z74" i="16" s="1"/>
  <c r="I74" i="16"/>
  <c r="Q74" i="16" s="1"/>
  <c r="AK73" i="16"/>
  <c r="AC73" i="16"/>
  <c r="N73" i="16"/>
  <c r="Z73" i="16" s="1"/>
  <c r="I73" i="16"/>
  <c r="Q73" i="16" s="1"/>
  <c r="AK72" i="16"/>
  <c r="AC72" i="16"/>
  <c r="N72" i="16"/>
  <c r="Z72" i="16" s="1"/>
  <c r="I72" i="16"/>
  <c r="Q72" i="16" s="1"/>
  <c r="AK71" i="16"/>
  <c r="AC71" i="16"/>
  <c r="N71" i="16"/>
  <c r="Z71" i="16" s="1"/>
  <c r="I71" i="16"/>
  <c r="Q71" i="16" s="1"/>
  <c r="AK70" i="16"/>
  <c r="AC70" i="16"/>
  <c r="N70" i="16"/>
  <c r="Z70" i="16" s="1"/>
  <c r="I70" i="16"/>
  <c r="Q70" i="16" s="1"/>
  <c r="AK69" i="16"/>
  <c r="AC69" i="16"/>
  <c r="N69" i="16"/>
  <c r="Z69" i="16" s="1"/>
  <c r="I69" i="16"/>
  <c r="Q69" i="16" s="1"/>
  <c r="AK68" i="16"/>
  <c r="AC68" i="16"/>
  <c r="N68" i="16"/>
  <c r="Z68" i="16" s="1"/>
  <c r="I68" i="16"/>
  <c r="Q68" i="16" s="1"/>
  <c r="AK67" i="16"/>
  <c r="AC67" i="16"/>
  <c r="N67" i="16"/>
  <c r="Z67" i="16" s="1"/>
  <c r="I67" i="16"/>
  <c r="Q67" i="16" s="1"/>
  <c r="AK66" i="16"/>
  <c r="AC66" i="16"/>
  <c r="N66" i="16"/>
  <c r="Z66" i="16" s="1"/>
  <c r="I66" i="16"/>
  <c r="Q66" i="16" s="1"/>
  <c r="AK65" i="16"/>
  <c r="AC65" i="16"/>
  <c r="N65" i="16"/>
  <c r="Z65" i="16" s="1"/>
  <c r="I65" i="16"/>
  <c r="Q65" i="16" s="1"/>
  <c r="AK64" i="16"/>
  <c r="AC64" i="16"/>
  <c r="N64" i="16"/>
  <c r="Z64" i="16" s="1"/>
  <c r="I64" i="16"/>
  <c r="Q64" i="16" s="1"/>
  <c r="AK63" i="16"/>
  <c r="AC63" i="16"/>
  <c r="N63" i="16"/>
  <c r="Z63" i="16" s="1"/>
  <c r="I63" i="16"/>
  <c r="Q63" i="16" s="1"/>
  <c r="AK62" i="16"/>
  <c r="AC62" i="16"/>
  <c r="N62" i="16"/>
  <c r="Z62" i="16" s="1"/>
  <c r="I62" i="16"/>
  <c r="Q62" i="16" s="1"/>
  <c r="AK61" i="16"/>
  <c r="AC61" i="16"/>
  <c r="N61" i="16"/>
  <c r="Z61" i="16" s="1"/>
  <c r="I61" i="16"/>
  <c r="Q61" i="16" s="1"/>
  <c r="AK60" i="16"/>
  <c r="AC60" i="16"/>
  <c r="N60" i="16"/>
  <c r="Z60" i="16" s="1"/>
  <c r="I60" i="16"/>
  <c r="AK59" i="16"/>
  <c r="AC59" i="16"/>
  <c r="N59" i="16"/>
  <c r="Z59" i="16" s="1"/>
  <c r="I59" i="16"/>
  <c r="Q59" i="16" s="1"/>
  <c r="AK58" i="16"/>
  <c r="AC58" i="16"/>
  <c r="N58" i="16"/>
  <c r="Z58" i="16" s="1"/>
  <c r="I58" i="16"/>
  <c r="Q58" i="16" s="1"/>
  <c r="AK57" i="16"/>
  <c r="AC57" i="16"/>
  <c r="N57" i="16"/>
  <c r="Z57" i="16" s="1"/>
  <c r="I57" i="16"/>
  <c r="Q57" i="16" s="1"/>
  <c r="AK56" i="16"/>
  <c r="AC56" i="16"/>
  <c r="N56" i="16"/>
  <c r="Z56" i="16" s="1"/>
  <c r="I56" i="16"/>
  <c r="Q56" i="16" s="1"/>
  <c r="AK55" i="16"/>
  <c r="AC55" i="16"/>
  <c r="N55" i="16"/>
  <c r="Z55" i="16" s="1"/>
  <c r="I55" i="16"/>
  <c r="Q55" i="16" s="1"/>
  <c r="AK54" i="16"/>
  <c r="AC54" i="16"/>
  <c r="N54" i="16"/>
  <c r="Z54" i="16" s="1"/>
  <c r="I54" i="16"/>
  <c r="Q54" i="16" s="1"/>
  <c r="AK53" i="16"/>
  <c r="AC53" i="16"/>
  <c r="N53" i="16"/>
  <c r="Z53" i="16" s="1"/>
  <c r="I53" i="16"/>
  <c r="Q53" i="16" s="1"/>
  <c r="AK52" i="16"/>
  <c r="AC52" i="16"/>
  <c r="N52" i="16"/>
  <c r="Z52" i="16" s="1"/>
  <c r="I52" i="16"/>
  <c r="Q52" i="16" s="1"/>
  <c r="AK51" i="16"/>
  <c r="AC51" i="16"/>
  <c r="N51" i="16"/>
  <c r="Z51" i="16" s="1"/>
  <c r="I51" i="16"/>
  <c r="Q51" i="16" s="1"/>
  <c r="AK50" i="16"/>
  <c r="AC50" i="16"/>
  <c r="N50" i="16"/>
  <c r="Z50" i="16" s="1"/>
  <c r="I50" i="16"/>
  <c r="Q50" i="16" s="1"/>
  <c r="AK49" i="16"/>
  <c r="AC49" i="16"/>
  <c r="N49" i="16"/>
  <c r="Z49" i="16" s="1"/>
  <c r="I49" i="16"/>
  <c r="Q49" i="16" s="1"/>
  <c r="AK48" i="16"/>
  <c r="AC48" i="16"/>
  <c r="N48" i="16"/>
  <c r="Z48" i="16" s="1"/>
  <c r="I48" i="16"/>
  <c r="Q48" i="16" s="1"/>
  <c r="AK47" i="16"/>
  <c r="AC47" i="16"/>
  <c r="N47" i="16"/>
  <c r="Z47" i="16" s="1"/>
  <c r="I47" i="16"/>
  <c r="Q47" i="16" s="1"/>
  <c r="AK46" i="16"/>
  <c r="AC46" i="16"/>
  <c r="N46" i="16"/>
  <c r="Z46" i="16" s="1"/>
  <c r="I46" i="16"/>
  <c r="Q46" i="16" s="1"/>
  <c r="AK45" i="16"/>
  <c r="AC45" i="16"/>
  <c r="N45" i="16"/>
  <c r="Z45" i="16" s="1"/>
  <c r="I45" i="16"/>
  <c r="Q45" i="16" s="1"/>
  <c r="AK44" i="16"/>
  <c r="AC44" i="16"/>
  <c r="N44" i="16"/>
  <c r="Z44" i="16" s="1"/>
  <c r="I44" i="16"/>
  <c r="Q44" i="16" s="1"/>
  <c r="AK43" i="16"/>
  <c r="AC43" i="16"/>
  <c r="N43" i="16"/>
  <c r="Z43" i="16" s="1"/>
  <c r="I43" i="16"/>
  <c r="Q43" i="16" s="1"/>
  <c r="AK42" i="16"/>
  <c r="AC42" i="16"/>
  <c r="N42" i="16"/>
  <c r="Z42" i="16" s="1"/>
  <c r="I42" i="16"/>
  <c r="Q42" i="16" s="1"/>
  <c r="AK41" i="16"/>
  <c r="AC41" i="16"/>
  <c r="N41" i="16"/>
  <c r="Z41" i="16" s="1"/>
  <c r="I41" i="16"/>
  <c r="Q41" i="16" s="1"/>
  <c r="AK40" i="16"/>
  <c r="AC40" i="16"/>
  <c r="N40" i="16"/>
  <c r="Z40" i="16" s="1"/>
  <c r="I40" i="16"/>
  <c r="Q40" i="16" s="1"/>
  <c r="AK39" i="16"/>
  <c r="AC39" i="16"/>
  <c r="N39" i="16"/>
  <c r="Z39" i="16" s="1"/>
  <c r="I39" i="16"/>
  <c r="Q39" i="16" s="1"/>
  <c r="AK38" i="16"/>
  <c r="AC38" i="16"/>
  <c r="N38" i="16"/>
  <c r="Z38" i="16" s="1"/>
  <c r="I38" i="16"/>
  <c r="Q38" i="16" s="1"/>
  <c r="AK37" i="16"/>
  <c r="AC37" i="16"/>
  <c r="N37" i="16"/>
  <c r="Z37" i="16" s="1"/>
  <c r="I37" i="16"/>
  <c r="Q37" i="16" s="1"/>
  <c r="AK36" i="16"/>
  <c r="AC36" i="16"/>
  <c r="N36" i="16"/>
  <c r="Z36" i="16" s="1"/>
  <c r="I36" i="16"/>
  <c r="Q36" i="16" s="1"/>
  <c r="AK35" i="16"/>
  <c r="AC35" i="16"/>
  <c r="N35" i="16"/>
  <c r="Z35" i="16" s="1"/>
  <c r="I35" i="16"/>
  <c r="Q35" i="16" s="1"/>
  <c r="AK34" i="16"/>
  <c r="AC34" i="16"/>
  <c r="N34" i="16"/>
  <c r="Z34" i="16" s="1"/>
  <c r="I34" i="16"/>
  <c r="Q34" i="16" s="1"/>
  <c r="AK33" i="16"/>
  <c r="AC33" i="16"/>
  <c r="N33" i="16"/>
  <c r="Z33" i="16" s="1"/>
  <c r="I33" i="16"/>
  <c r="Q33" i="16" s="1"/>
  <c r="AK32" i="16"/>
  <c r="AC32" i="16"/>
  <c r="N32" i="16"/>
  <c r="Z32" i="16" s="1"/>
  <c r="I32" i="16"/>
  <c r="Q32" i="16" s="1"/>
  <c r="AK31" i="16"/>
  <c r="AC31" i="16"/>
  <c r="N31" i="16"/>
  <c r="Z31" i="16" s="1"/>
  <c r="I31" i="16"/>
  <c r="Q31" i="16" s="1"/>
  <c r="AK30" i="16"/>
  <c r="AC30" i="16"/>
  <c r="N30" i="16"/>
  <c r="Z30" i="16" s="1"/>
  <c r="I30" i="16"/>
  <c r="Q30" i="16" s="1"/>
  <c r="AK29" i="16"/>
  <c r="AC29" i="16"/>
  <c r="N29" i="16"/>
  <c r="Z29" i="16" s="1"/>
  <c r="I29" i="16"/>
  <c r="Q29" i="16" s="1"/>
  <c r="AK28" i="16"/>
  <c r="AC28" i="16"/>
  <c r="N28" i="16"/>
  <c r="Z28" i="16" s="1"/>
  <c r="I28" i="16"/>
  <c r="Q28" i="16" s="1"/>
  <c r="AK27" i="16"/>
  <c r="AC27" i="16"/>
  <c r="N27" i="16"/>
  <c r="Z27" i="16" s="1"/>
  <c r="I27" i="16"/>
  <c r="Q27" i="16" s="1"/>
  <c r="AK26" i="16"/>
  <c r="AC26" i="16"/>
  <c r="N26" i="16"/>
  <c r="Z26" i="16" s="1"/>
  <c r="I26" i="16"/>
  <c r="Q26" i="16" s="1"/>
  <c r="AK25" i="16"/>
  <c r="AC25" i="16"/>
  <c r="N25" i="16"/>
  <c r="Z25" i="16" s="1"/>
  <c r="I25" i="16"/>
  <c r="Q25" i="16" s="1"/>
  <c r="AK22" i="21"/>
  <c r="AK23" i="21"/>
  <c r="AK24" i="21"/>
  <c r="AK25" i="21"/>
  <c r="AK26" i="21"/>
  <c r="AK27" i="21"/>
  <c r="AK28" i="21"/>
  <c r="AK29" i="21"/>
  <c r="AK30" i="21"/>
  <c r="AK31" i="21"/>
  <c r="AK32" i="21"/>
  <c r="AK33" i="21"/>
  <c r="AK34" i="21"/>
  <c r="AK35" i="21"/>
  <c r="AK36" i="21"/>
  <c r="AK37" i="21"/>
  <c r="AK38" i="21"/>
  <c r="AK39" i="21"/>
  <c r="AK40" i="21"/>
  <c r="AK41" i="21"/>
  <c r="AK42" i="21"/>
  <c r="AK43" i="21"/>
  <c r="AK44" i="21"/>
  <c r="AK45" i="21"/>
  <c r="AK46" i="21"/>
  <c r="AK47" i="21"/>
  <c r="AK48" i="21"/>
  <c r="AK49" i="21"/>
  <c r="AK50" i="21"/>
  <c r="AK51" i="21"/>
  <c r="AK52" i="21"/>
  <c r="AK53" i="21"/>
  <c r="AK54" i="21"/>
  <c r="AK55" i="21"/>
  <c r="AK56" i="21"/>
  <c r="AK57" i="21"/>
  <c r="AK58" i="21"/>
  <c r="AK59" i="21"/>
  <c r="AK60" i="21"/>
  <c r="AK61" i="21"/>
  <c r="AK62" i="21"/>
  <c r="AK63" i="21"/>
  <c r="AK64" i="21"/>
  <c r="AK65" i="21"/>
  <c r="AK66" i="21"/>
  <c r="AK67" i="21"/>
  <c r="AK68" i="21"/>
  <c r="AK69" i="21"/>
  <c r="AK70" i="21"/>
  <c r="AK71" i="21"/>
  <c r="AK72" i="21"/>
  <c r="AK21" i="21"/>
  <c r="AC22" i="21"/>
  <c r="AC23" i="21"/>
  <c r="AC24" i="21"/>
  <c r="AC25" i="21"/>
  <c r="AC26" i="21"/>
  <c r="AC27" i="21"/>
  <c r="AC28" i="21"/>
  <c r="AC29" i="21"/>
  <c r="AC30" i="21"/>
  <c r="AC31" i="21"/>
  <c r="AC32" i="21"/>
  <c r="AC33" i="21"/>
  <c r="AC34" i="21"/>
  <c r="AC35" i="21"/>
  <c r="AC36" i="21"/>
  <c r="AC37" i="21"/>
  <c r="AC38" i="21"/>
  <c r="AC39" i="21"/>
  <c r="AC40" i="21"/>
  <c r="AC41" i="21"/>
  <c r="AC42" i="21"/>
  <c r="AC43" i="21"/>
  <c r="AC44" i="21"/>
  <c r="AC45" i="21"/>
  <c r="AC46" i="21"/>
  <c r="AC47" i="21"/>
  <c r="AC48" i="21"/>
  <c r="AC49" i="21"/>
  <c r="AC50" i="21"/>
  <c r="AC51" i="21"/>
  <c r="AC52" i="21"/>
  <c r="AC53" i="21"/>
  <c r="AC54" i="21"/>
  <c r="AC55" i="21"/>
  <c r="AC56" i="21"/>
  <c r="AC57" i="21"/>
  <c r="AC58" i="21"/>
  <c r="AC59" i="21"/>
  <c r="AC60" i="21"/>
  <c r="AC61" i="21"/>
  <c r="AC62" i="21"/>
  <c r="AC63" i="21"/>
  <c r="AC64" i="21"/>
  <c r="AC65" i="21"/>
  <c r="AC66" i="21"/>
  <c r="AC67" i="21"/>
  <c r="AC68" i="21"/>
  <c r="AC69" i="21"/>
  <c r="AC70" i="21"/>
  <c r="AC71" i="21"/>
  <c r="AC72" i="21"/>
  <c r="AC21" i="21"/>
  <c r="N22" i="21"/>
  <c r="Z22" i="21" s="1"/>
  <c r="N23" i="21"/>
  <c r="Z23" i="21" s="1"/>
  <c r="N24" i="21"/>
  <c r="Z24" i="21" s="1"/>
  <c r="N25" i="21"/>
  <c r="Z25" i="21" s="1"/>
  <c r="N26" i="21"/>
  <c r="Z26" i="21" s="1"/>
  <c r="N27" i="21"/>
  <c r="Z27" i="21" s="1"/>
  <c r="N28" i="21"/>
  <c r="Z28" i="21" s="1"/>
  <c r="N29" i="21"/>
  <c r="Z29" i="21" s="1"/>
  <c r="N30" i="21"/>
  <c r="Z30" i="21" s="1"/>
  <c r="N31" i="21"/>
  <c r="Z31" i="21" s="1"/>
  <c r="N32" i="21"/>
  <c r="Z32" i="21" s="1"/>
  <c r="N33" i="21"/>
  <c r="Z33" i="21" s="1"/>
  <c r="N34" i="21"/>
  <c r="Z34" i="21" s="1"/>
  <c r="N35" i="21"/>
  <c r="Z35" i="21" s="1"/>
  <c r="N36" i="21"/>
  <c r="Z36" i="21" s="1"/>
  <c r="N37" i="21"/>
  <c r="Z37" i="21" s="1"/>
  <c r="N38" i="21"/>
  <c r="Z38" i="21" s="1"/>
  <c r="N39" i="21"/>
  <c r="Z39" i="21" s="1"/>
  <c r="N40" i="21"/>
  <c r="Z40" i="21" s="1"/>
  <c r="N41" i="21"/>
  <c r="Z41" i="21" s="1"/>
  <c r="N42" i="21"/>
  <c r="Z42" i="21" s="1"/>
  <c r="N43" i="21"/>
  <c r="Z43" i="21" s="1"/>
  <c r="N44" i="21"/>
  <c r="Z44" i="21" s="1"/>
  <c r="N45" i="21"/>
  <c r="Z45" i="21" s="1"/>
  <c r="N46" i="21"/>
  <c r="Z46" i="21" s="1"/>
  <c r="N47" i="21"/>
  <c r="Z47" i="21" s="1"/>
  <c r="N48" i="21"/>
  <c r="Z48" i="21" s="1"/>
  <c r="N49" i="21"/>
  <c r="Z49" i="21" s="1"/>
  <c r="N50" i="21"/>
  <c r="Z50" i="21" s="1"/>
  <c r="N51" i="21"/>
  <c r="Z51" i="21" s="1"/>
  <c r="N52" i="21"/>
  <c r="Z52" i="21" s="1"/>
  <c r="N53" i="21"/>
  <c r="Z53" i="21" s="1"/>
  <c r="N54" i="21"/>
  <c r="Z54" i="21" s="1"/>
  <c r="N55" i="21"/>
  <c r="Z55" i="21" s="1"/>
  <c r="N56" i="21"/>
  <c r="Z56" i="21" s="1"/>
  <c r="N57" i="21"/>
  <c r="Z57" i="21" s="1"/>
  <c r="N58" i="21"/>
  <c r="Z58" i="21" s="1"/>
  <c r="N59" i="21"/>
  <c r="Z59" i="21" s="1"/>
  <c r="N60" i="21"/>
  <c r="Z60" i="21" s="1"/>
  <c r="N61" i="21"/>
  <c r="Z61" i="21" s="1"/>
  <c r="N62" i="21"/>
  <c r="Z62" i="21" s="1"/>
  <c r="N63" i="21"/>
  <c r="Z63" i="21" s="1"/>
  <c r="N64" i="21"/>
  <c r="Z64" i="21" s="1"/>
  <c r="N65" i="21"/>
  <c r="Z65" i="21" s="1"/>
  <c r="N66" i="21"/>
  <c r="Z66" i="21" s="1"/>
  <c r="N67" i="21"/>
  <c r="Z67" i="21" s="1"/>
  <c r="N68" i="21"/>
  <c r="Z68" i="21" s="1"/>
  <c r="N69" i="21"/>
  <c r="Z69" i="21" s="1"/>
  <c r="N70" i="21"/>
  <c r="Z70" i="21" s="1"/>
  <c r="N71" i="21"/>
  <c r="Z71" i="21" s="1"/>
  <c r="N72" i="21"/>
  <c r="Z72" i="21" s="1"/>
  <c r="N21" i="21"/>
  <c r="Z21" i="21" s="1"/>
  <c r="I22" i="21"/>
  <c r="Q22" i="21" s="1"/>
  <c r="I23" i="21"/>
  <c r="Q23" i="21" s="1"/>
  <c r="I24" i="21"/>
  <c r="Q24" i="21" s="1"/>
  <c r="I25" i="21"/>
  <c r="Q25" i="21" s="1"/>
  <c r="I26" i="21"/>
  <c r="Q26" i="21" s="1"/>
  <c r="I27" i="21"/>
  <c r="Q27" i="21" s="1"/>
  <c r="I28" i="21"/>
  <c r="Q28" i="21" s="1"/>
  <c r="I29" i="21"/>
  <c r="Q29" i="21" s="1"/>
  <c r="I30" i="21"/>
  <c r="Q30" i="21" s="1"/>
  <c r="I31" i="21"/>
  <c r="Q31" i="21" s="1"/>
  <c r="I32" i="21"/>
  <c r="Q32" i="21" s="1"/>
  <c r="I33" i="21"/>
  <c r="Q33" i="21" s="1"/>
  <c r="I34" i="21"/>
  <c r="Q34" i="21" s="1"/>
  <c r="I35" i="21"/>
  <c r="Q35" i="21" s="1"/>
  <c r="I36" i="21"/>
  <c r="Q36" i="21" s="1"/>
  <c r="I37" i="21"/>
  <c r="Q37" i="21" s="1"/>
  <c r="I38" i="21"/>
  <c r="Q38" i="21" s="1"/>
  <c r="I39" i="21"/>
  <c r="Q39" i="21" s="1"/>
  <c r="I40" i="21"/>
  <c r="Q40" i="21" s="1"/>
  <c r="I41" i="21"/>
  <c r="Q41" i="21" s="1"/>
  <c r="I42" i="21"/>
  <c r="Q42" i="21" s="1"/>
  <c r="I43" i="21"/>
  <c r="Q43" i="21" s="1"/>
  <c r="I44" i="21"/>
  <c r="Q44" i="21" s="1"/>
  <c r="I45" i="21"/>
  <c r="Q45" i="21" s="1"/>
  <c r="I46" i="21"/>
  <c r="Q46" i="21" s="1"/>
  <c r="I47" i="21"/>
  <c r="Q47" i="21" s="1"/>
  <c r="I48" i="21"/>
  <c r="Q48" i="21" s="1"/>
  <c r="I49" i="21"/>
  <c r="Q49" i="21" s="1"/>
  <c r="I50" i="21"/>
  <c r="Q50" i="21" s="1"/>
  <c r="I51" i="21"/>
  <c r="Q51" i="21" s="1"/>
  <c r="I52" i="21"/>
  <c r="Q52" i="21" s="1"/>
  <c r="I53" i="21"/>
  <c r="Q53" i="21" s="1"/>
  <c r="I54" i="21"/>
  <c r="Q54" i="21" s="1"/>
  <c r="I55" i="21"/>
  <c r="Q55" i="21" s="1"/>
  <c r="I56" i="21"/>
  <c r="Q56" i="21" s="1"/>
  <c r="I57" i="21"/>
  <c r="Q57" i="21" s="1"/>
  <c r="I58" i="21"/>
  <c r="Q58" i="21" s="1"/>
  <c r="I59" i="21"/>
  <c r="Q59" i="21" s="1"/>
  <c r="I60" i="21"/>
  <c r="Q60" i="21" s="1"/>
  <c r="I61" i="21"/>
  <c r="Q61" i="21" s="1"/>
  <c r="I62" i="21"/>
  <c r="Q62" i="21" s="1"/>
  <c r="I63" i="21"/>
  <c r="Q63" i="21" s="1"/>
  <c r="I64" i="21"/>
  <c r="Q64" i="21" s="1"/>
  <c r="I65" i="21"/>
  <c r="Q65" i="21" s="1"/>
  <c r="I66" i="21"/>
  <c r="Q66" i="21" s="1"/>
  <c r="I67" i="21"/>
  <c r="Q67" i="21" s="1"/>
  <c r="I68" i="21"/>
  <c r="Q68" i="21" s="1"/>
  <c r="I69" i="21"/>
  <c r="Q69" i="21" s="1"/>
  <c r="I70" i="21"/>
  <c r="Q70" i="21" s="1"/>
  <c r="I71" i="21"/>
  <c r="Q71" i="21" s="1"/>
  <c r="I72" i="21"/>
  <c r="Q72" i="21" s="1"/>
  <c r="I21" i="21"/>
  <c r="Q21" i="21" s="1"/>
  <c r="G21" i="21"/>
  <c r="G22" i="21" s="1"/>
  <c r="P22" i="21" s="1"/>
  <c r="A21" i="2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A66" i="21" s="1"/>
  <c r="A67" i="21" s="1"/>
  <c r="A68" i="21" s="1"/>
  <c r="A69" i="21" s="1"/>
  <c r="A70" i="21" s="1"/>
  <c r="A71" i="21" s="1"/>
  <c r="E46" i="20"/>
  <c r="E47" i="20"/>
  <c r="E48" i="20"/>
  <c r="E49" i="20" s="1"/>
  <c r="E50" i="20" s="1"/>
  <c r="E51" i="20" s="1"/>
  <c r="E52" i="20" s="1"/>
  <c r="E53" i="20" s="1"/>
  <c r="E54" i="20" s="1"/>
  <c r="E55" i="20" s="1"/>
  <c r="E56" i="20" s="1"/>
  <c r="E57" i="20" s="1"/>
  <c r="E58" i="20" s="1"/>
  <c r="E59" i="20" s="1"/>
  <c r="E60" i="20" s="1"/>
  <c r="E61" i="20" s="1"/>
  <c r="E62" i="20" s="1"/>
  <c r="E63" i="20" s="1"/>
  <c r="E64" i="20" s="1"/>
  <c r="E65" i="20" s="1"/>
  <c r="E66" i="20" s="1"/>
  <c r="E67" i="20" s="1"/>
  <c r="E68" i="20" s="1"/>
  <c r="E69" i="20" s="1"/>
  <c r="E70" i="20" s="1"/>
  <c r="E71" i="20" s="1"/>
  <c r="E72" i="20" s="1"/>
  <c r="E73" i="20" s="1"/>
  <c r="E74" i="20" s="1"/>
  <c r="E75" i="20" s="1"/>
  <c r="E76" i="20" s="1"/>
  <c r="E77" i="20" s="1"/>
  <c r="E78" i="20" s="1"/>
  <c r="E79" i="20" s="1"/>
  <c r="E80" i="20" s="1"/>
  <c r="E81" i="20" s="1"/>
  <c r="E82" i="20" s="1"/>
  <c r="E83" i="20" s="1"/>
  <c r="E84" i="20" s="1"/>
  <c r="E85" i="20" s="1"/>
  <c r="E86" i="20" s="1"/>
  <c r="E87" i="20" s="1"/>
  <c r="E88" i="20" s="1"/>
  <c r="E89" i="20" s="1"/>
  <c r="E90" i="20" s="1"/>
  <c r="E91" i="20" s="1"/>
  <c r="E92" i="20" s="1"/>
  <c r="E93" i="20" s="1"/>
  <c r="E94" i="20" s="1"/>
  <c r="E95" i="20" s="1"/>
  <c r="E96" i="20" s="1"/>
  <c r="E97" i="20" s="1"/>
  <c r="E98" i="20" s="1"/>
  <c r="E45" i="20"/>
  <c r="D36" i="20"/>
  <c r="D37" i="20"/>
  <c r="D38" i="20"/>
  <c r="D39" i="20"/>
  <c r="D40" i="20"/>
  <c r="D41" i="20"/>
  <c r="D42" i="20"/>
  <c r="D43" i="20"/>
  <c r="D44" i="20" s="1"/>
  <c r="D45" i="20" s="1"/>
  <c r="D46" i="20" s="1"/>
  <c r="D47" i="20" s="1"/>
  <c r="D48" i="20" s="1"/>
  <c r="D35" i="20"/>
  <c r="C46" i="20"/>
  <c r="C47" i="20" s="1"/>
  <c r="C48" i="20" s="1"/>
  <c r="C49" i="20" s="1"/>
  <c r="C50" i="20" s="1"/>
  <c r="C51" i="20" s="1"/>
  <c r="C52" i="20" s="1"/>
  <c r="C53" i="20" s="1"/>
  <c r="C54" i="20" s="1"/>
  <c r="C55" i="20" s="1"/>
  <c r="C56" i="20" s="1"/>
  <c r="C57" i="20" s="1"/>
  <c r="C58" i="20" s="1"/>
  <c r="C59" i="20" s="1"/>
  <c r="C60" i="20" s="1"/>
  <c r="C61" i="20" s="1"/>
  <c r="C62" i="20" s="1"/>
  <c r="C63" i="20" s="1"/>
  <c r="C64" i="20" s="1"/>
  <c r="C65" i="20" s="1"/>
  <c r="C66" i="20" s="1"/>
  <c r="C67" i="20" s="1"/>
  <c r="C68" i="20" s="1"/>
  <c r="C69" i="20" s="1"/>
  <c r="C70" i="20" s="1"/>
  <c r="C71" i="20" s="1"/>
  <c r="C72" i="20" s="1"/>
  <c r="C73" i="20" s="1"/>
  <c r="C74" i="20" s="1"/>
  <c r="C75" i="20" s="1"/>
  <c r="C76" i="20" s="1"/>
  <c r="C77" i="20" s="1"/>
  <c r="C78" i="20" s="1"/>
  <c r="C79" i="20" s="1"/>
  <c r="C80" i="20" s="1"/>
  <c r="C81" i="20" s="1"/>
  <c r="C82" i="20" s="1"/>
  <c r="C83" i="20" s="1"/>
  <c r="C84" i="20" s="1"/>
  <c r="C85" i="20" s="1"/>
  <c r="C86" i="20" s="1"/>
  <c r="C87" i="20" s="1"/>
  <c r="C88" i="20" s="1"/>
  <c r="C89" i="20" s="1"/>
  <c r="C90" i="20" s="1"/>
  <c r="C91" i="20" s="1"/>
  <c r="C92" i="20" s="1"/>
  <c r="C93" i="20" s="1"/>
  <c r="C94" i="20" s="1"/>
  <c r="C95" i="20" s="1"/>
  <c r="C96" i="20" s="1"/>
  <c r="C97" i="20" s="1"/>
  <c r="C98" i="20" s="1"/>
  <c r="C45" i="20"/>
  <c r="B36" i="20"/>
  <c r="B37" i="20"/>
  <c r="B38" i="20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35" i="20"/>
  <c r="N42" i="22"/>
  <c r="X42" i="22" s="1"/>
  <c r="N41" i="22"/>
  <c r="X41" i="22" s="1"/>
  <c r="N40" i="22"/>
  <c r="X40" i="22" s="1"/>
  <c r="N39" i="22"/>
  <c r="X39" i="22" s="1"/>
  <c r="N38" i="22"/>
  <c r="X38" i="22" s="1"/>
  <c r="AB38" i="22" s="1"/>
  <c r="N37" i="22"/>
  <c r="X37" i="22" s="1"/>
  <c r="N36" i="22"/>
  <c r="X36" i="22" s="1"/>
  <c r="N35" i="22"/>
  <c r="X35" i="22" s="1"/>
  <c r="N34" i="22"/>
  <c r="X34" i="22" s="1"/>
  <c r="N33" i="22"/>
  <c r="X33" i="22" s="1"/>
  <c r="N32" i="22"/>
  <c r="X32" i="22" s="1"/>
  <c r="N31" i="22"/>
  <c r="X31" i="22" s="1"/>
  <c r="N30" i="22"/>
  <c r="X30" i="22" s="1"/>
  <c r="N29" i="22"/>
  <c r="X29" i="22" s="1"/>
  <c r="N28" i="22"/>
  <c r="X28" i="22" s="1"/>
  <c r="N27" i="22"/>
  <c r="X27" i="22" s="1"/>
  <c r="N26" i="22"/>
  <c r="X26" i="22" s="1"/>
  <c r="N25" i="22"/>
  <c r="X25" i="22" s="1"/>
  <c r="N24" i="22"/>
  <c r="X24" i="22" s="1"/>
  <c r="AI23" i="22"/>
  <c r="N23" i="22"/>
  <c r="X23" i="22" s="1"/>
  <c r="K23" i="22"/>
  <c r="I23" i="22"/>
  <c r="G23" i="22"/>
  <c r="G24" i="22" s="1"/>
  <c r="A23" i="22"/>
  <c r="A24" i="22" s="1"/>
  <c r="B5" i="22"/>
  <c r="AI23" i="21"/>
  <c r="C3" i="17"/>
  <c r="C4" i="17"/>
  <c r="C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2" i="17"/>
  <c r="B5" i="14"/>
  <c r="AG31" i="14" s="1"/>
  <c r="B5" i="18"/>
  <c r="AI32" i="18" s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B3" i="8"/>
  <c r="B4" i="8"/>
  <c r="B5" i="8"/>
  <c r="B2" i="8"/>
  <c r="B5" i="16"/>
  <c r="S76" i="16" s="1"/>
  <c r="B15" i="14" l="1"/>
  <c r="B12" i="14"/>
  <c r="B13" i="14" s="1"/>
  <c r="B21" i="14" s="1"/>
  <c r="B13" i="24"/>
  <c r="B13" i="23"/>
  <c r="B14" i="23"/>
  <c r="E12" i="29"/>
  <c r="E13" i="29" s="1"/>
  <c r="E12" i="27"/>
  <c r="E13" i="27" s="1"/>
  <c r="S24" i="29"/>
  <c r="B25" i="29"/>
  <c r="E25" i="29" s="1"/>
  <c r="B24" i="29"/>
  <c r="E24" i="29" s="1"/>
  <c r="K24" i="29" s="1"/>
  <c r="M24" i="29" s="1"/>
  <c r="N25" i="29" s="1"/>
  <c r="B12" i="19"/>
  <c r="B13" i="19" s="1"/>
  <c r="B20" i="19" s="1"/>
  <c r="E26" i="29"/>
  <c r="C28" i="28"/>
  <c r="E27" i="28"/>
  <c r="E26" i="28"/>
  <c r="K26" i="28" s="1"/>
  <c r="AC26" i="28" s="1"/>
  <c r="F25" i="26"/>
  <c r="B12" i="16"/>
  <c r="B25" i="16"/>
  <c r="C25" i="16" s="1"/>
  <c r="Q40" i="27"/>
  <c r="AC40" i="27" s="1"/>
  <c r="AG40" i="27" s="1"/>
  <c r="Q42" i="27"/>
  <c r="AC42" i="27" s="1"/>
  <c r="AG42" i="27" s="1"/>
  <c r="Q26" i="27"/>
  <c r="AC26" i="27" s="1"/>
  <c r="AG26" i="27" s="1"/>
  <c r="Q30" i="27"/>
  <c r="AC30" i="27" s="1"/>
  <c r="AG30" i="27" s="1"/>
  <c r="Q28" i="27"/>
  <c r="AC28" i="27" s="1"/>
  <c r="AG28" i="27" s="1"/>
  <c r="Q36" i="27"/>
  <c r="AC36" i="27" s="1"/>
  <c r="AG36" i="27" s="1"/>
  <c r="Q34" i="27"/>
  <c r="AC34" i="27" s="1"/>
  <c r="AG34" i="27" s="1"/>
  <c r="Q38" i="27"/>
  <c r="AC38" i="27" s="1"/>
  <c r="AG38" i="27" s="1"/>
  <c r="Q32" i="27"/>
  <c r="AC32" i="27" s="1"/>
  <c r="AG32" i="27" s="1"/>
  <c r="Q27" i="27"/>
  <c r="AC27" i="27" s="1"/>
  <c r="AG27" i="27" s="1"/>
  <c r="Q29" i="27"/>
  <c r="AC29" i="27" s="1"/>
  <c r="AG29" i="27" s="1"/>
  <c r="Q31" i="27"/>
  <c r="AC31" i="27" s="1"/>
  <c r="AG31" i="27" s="1"/>
  <c r="Q33" i="27"/>
  <c r="AC33" i="27" s="1"/>
  <c r="AG33" i="27" s="1"/>
  <c r="Q35" i="27"/>
  <c r="AC35" i="27" s="1"/>
  <c r="AG35" i="27" s="1"/>
  <c r="Q37" i="27"/>
  <c r="AC37" i="27" s="1"/>
  <c r="AG37" i="27" s="1"/>
  <c r="Q39" i="27"/>
  <c r="AC39" i="27" s="1"/>
  <c r="AG39" i="27" s="1"/>
  <c r="Q41" i="27"/>
  <c r="AC41" i="27" s="1"/>
  <c r="AG41" i="27" s="1"/>
  <c r="Q43" i="27"/>
  <c r="AC43" i="27" s="1"/>
  <c r="AG43" i="27" s="1"/>
  <c r="Q45" i="27"/>
  <c r="AC45" i="27" s="1"/>
  <c r="AG45" i="27" s="1"/>
  <c r="Q25" i="27"/>
  <c r="AC25" i="27" s="1"/>
  <c r="AG25" i="27" s="1"/>
  <c r="AN25" i="27"/>
  <c r="AO25" i="27" s="1"/>
  <c r="Q44" i="29"/>
  <c r="AA44" i="29" s="1"/>
  <c r="AE44" i="29" s="1"/>
  <c r="Q42" i="29"/>
  <c r="AA42" i="29" s="1"/>
  <c r="AE42" i="29" s="1"/>
  <c r="AL24" i="29"/>
  <c r="Q40" i="29"/>
  <c r="AA40" i="29" s="1"/>
  <c r="AE40" i="29" s="1"/>
  <c r="Q43" i="29"/>
  <c r="AA43" i="29" s="1"/>
  <c r="AE43" i="29" s="1"/>
  <c r="Q39" i="29"/>
  <c r="AA39" i="29" s="1"/>
  <c r="AE39" i="29" s="1"/>
  <c r="AJ75" i="28"/>
  <c r="E15" i="29"/>
  <c r="AE29" i="29"/>
  <c r="AE36" i="29"/>
  <c r="AE31" i="29"/>
  <c r="AE38" i="29"/>
  <c r="AE33" i="29"/>
  <c r="A27" i="29"/>
  <c r="B27" i="29" s="1"/>
  <c r="S26" i="29"/>
  <c r="AE26" i="29"/>
  <c r="AE35" i="29"/>
  <c r="AE28" i="29"/>
  <c r="AE37" i="29"/>
  <c r="AE30" i="29"/>
  <c r="AE25" i="29"/>
  <c r="AE32" i="29"/>
  <c r="AE41" i="29"/>
  <c r="AE24" i="29"/>
  <c r="AE27" i="29"/>
  <c r="AE34" i="29"/>
  <c r="AJ25" i="29"/>
  <c r="AJ27" i="29"/>
  <c r="AJ29" i="29"/>
  <c r="AJ31" i="29"/>
  <c r="AJ33" i="29"/>
  <c r="AJ35" i="29"/>
  <c r="AJ37" i="29"/>
  <c r="AJ39" i="29"/>
  <c r="AJ41" i="29"/>
  <c r="AJ43" i="29"/>
  <c r="S25" i="29"/>
  <c r="AJ44" i="29"/>
  <c r="AJ24" i="29"/>
  <c r="AJ26" i="29"/>
  <c r="AJ28" i="29"/>
  <c r="AJ30" i="29"/>
  <c r="AJ32" i="29"/>
  <c r="AJ34" i="29"/>
  <c r="AJ36" i="29"/>
  <c r="AJ38" i="29"/>
  <c r="AJ40" i="29"/>
  <c r="E26" i="27"/>
  <c r="F26" i="27" s="1"/>
  <c r="AJ71" i="28"/>
  <c r="AJ35" i="28"/>
  <c r="K25" i="28"/>
  <c r="AJ43" i="28"/>
  <c r="AJ67" i="28"/>
  <c r="AJ27" i="28"/>
  <c r="T75" i="28"/>
  <c r="W75" i="28" s="1"/>
  <c r="AJ63" i="28"/>
  <c r="AJ59" i="28"/>
  <c r="AJ55" i="28"/>
  <c r="AJ51" i="28"/>
  <c r="AJ47" i="28"/>
  <c r="AE61" i="28"/>
  <c r="AE69" i="28"/>
  <c r="AE71" i="28"/>
  <c r="AE63" i="28"/>
  <c r="AE55" i="28"/>
  <c r="AE47" i="28"/>
  <c r="AE39" i="28"/>
  <c r="AE31" i="28"/>
  <c r="AE45" i="28"/>
  <c r="AE70" i="28"/>
  <c r="AE62" i="28"/>
  <c r="AE54" i="28"/>
  <c r="AE46" i="28"/>
  <c r="AE38" i="28"/>
  <c r="AE30" i="28"/>
  <c r="AE29" i="28"/>
  <c r="AE53" i="28"/>
  <c r="AE74" i="28"/>
  <c r="AE66" i="28"/>
  <c r="AE58" i="28"/>
  <c r="AE50" i="28"/>
  <c r="AE42" i="28"/>
  <c r="AE34" i="28"/>
  <c r="AE37" i="28"/>
  <c r="AE73" i="28"/>
  <c r="AE65" i="28"/>
  <c r="AE57" i="28"/>
  <c r="AE49" i="28"/>
  <c r="AE41" i="28"/>
  <c r="AE33" i="28"/>
  <c r="AJ68" i="28"/>
  <c r="AJ60" i="28"/>
  <c r="AJ52" i="28"/>
  <c r="AJ44" i="28"/>
  <c r="AJ36" i="28"/>
  <c r="AJ28" i="28"/>
  <c r="AE75" i="28"/>
  <c r="AE35" i="28"/>
  <c r="E12" i="28"/>
  <c r="E13" i="28" s="1"/>
  <c r="AE59" i="28"/>
  <c r="AE43" i="28"/>
  <c r="AE26" i="28"/>
  <c r="AJ74" i="28"/>
  <c r="AJ66" i="28"/>
  <c r="AJ58" i="28"/>
  <c r="AJ50" i="28"/>
  <c r="AJ42" i="28"/>
  <c r="AJ34" i="28"/>
  <c r="AJ26" i="28"/>
  <c r="AE67" i="28"/>
  <c r="AE51" i="28"/>
  <c r="AE27" i="28"/>
  <c r="AJ73" i="28"/>
  <c r="AJ65" i="28"/>
  <c r="AJ57" i="28"/>
  <c r="AJ49" i="28"/>
  <c r="AJ41" i="28"/>
  <c r="AJ33" i="28"/>
  <c r="AJ72" i="28"/>
  <c r="AJ64" i="28"/>
  <c r="AJ56" i="28"/>
  <c r="AJ48" i="28"/>
  <c r="AJ40" i="28"/>
  <c r="AJ32" i="28"/>
  <c r="AJ39" i="28"/>
  <c r="AJ31" i="28"/>
  <c r="AJ70" i="28"/>
  <c r="AJ62" i="28"/>
  <c r="AJ54" i="28"/>
  <c r="AJ46" i="28"/>
  <c r="AJ38" i="28"/>
  <c r="AJ30" i="28"/>
  <c r="AJ69" i="28"/>
  <c r="AJ61" i="28"/>
  <c r="AJ53" i="28"/>
  <c r="AJ45" i="28"/>
  <c r="AJ37" i="28"/>
  <c r="AJ29" i="28"/>
  <c r="AE25" i="28"/>
  <c r="B25" i="27"/>
  <c r="E25" i="27" s="1"/>
  <c r="K25" i="27" s="1"/>
  <c r="E15" i="27"/>
  <c r="AL39" i="27"/>
  <c r="AL38" i="27"/>
  <c r="AL27" i="27"/>
  <c r="AL31" i="27"/>
  <c r="AL30" i="27"/>
  <c r="AG44" i="27"/>
  <c r="A27" i="27"/>
  <c r="B27" i="27" s="1"/>
  <c r="E27" i="27" s="1"/>
  <c r="F27" i="27" s="1"/>
  <c r="S26" i="27"/>
  <c r="AL26" i="27"/>
  <c r="AL34" i="27"/>
  <c r="AL42" i="27"/>
  <c r="AL44" i="27"/>
  <c r="AL28" i="27"/>
  <c r="AL36" i="27"/>
  <c r="AL25" i="27"/>
  <c r="AL33" i="27"/>
  <c r="AL41" i="27"/>
  <c r="S25" i="27"/>
  <c r="AL43" i="27"/>
  <c r="AL45" i="27"/>
  <c r="AL32" i="27"/>
  <c r="AL40" i="27"/>
  <c r="AL29" i="27"/>
  <c r="AL37" i="27"/>
  <c r="AG52" i="26"/>
  <c r="AG67" i="26"/>
  <c r="AG31" i="26"/>
  <c r="AG73" i="26"/>
  <c r="AG65" i="26"/>
  <c r="AG69" i="26"/>
  <c r="AG61" i="26"/>
  <c r="AG75" i="26"/>
  <c r="AG35" i="26"/>
  <c r="AG44" i="26"/>
  <c r="A26" i="26"/>
  <c r="B26" i="26" s="1"/>
  <c r="E26" i="26" s="1"/>
  <c r="AG50" i="26"/>
  <c r="AG54" i="26"/>
  <c r="K25" i="26"/>
  <c r="M25" i="26" s="1"/>
  <c r="N26" i="26" s="1"/>
  <c r="AG29" i="26"/>
  <c r="AG28" i="26"/>
  <c r="AG38" i="26"/>
  <c r="AG42" i="26"/>
  <c r="AG33" i="26"/>
  <c r="AG37" i="26"/>
  <c r="AG25" i="26"/>
  <c r="E12" i="26"/>
  <c r="E13" i="26" s="1"/>
  <c r="E20" i="26" s="1"/>
  <c r="AG30" i="26"/>
  <c r="AG36" i="26"/>
  <c r="AL29" i="26"/>
  <c r="AL26" i="26"/>
  <c r="AG27" i="26"/>
  <c r="AL34" i="26"/>
  <c r="AL37" i="26"/>
  <c r="AG46" i="26"/>
  <c r="AL70" i="26"/>
  <c r="AL62" i="26"/>
  <c r="AL54" i="26"/>
  <c r="AL73" i="26"/>
  <c r="AL76" i="26"/>
  <c r="AL71" i="26"/>
  <c r="AL63" i="26"/>
  <c r="AL69" i="26"/>
  <c r="AL61" i="26"/>
  <c r="V76" i="26"/>
  <c r="AL72" i="26"/>
  <c r="AL75" i="26"/>
  <c r="AL64" i="26"/>
  <c r="AL45" i="26"/>
  <c r="AL40" i="26"/>
  <c r="AL74" i="26"/>
  <c r="AL68" i="26"/>
  <c r="AL60" i="26"/>
  <c r="AL58" i="26"/>
  <c r="AL56" i="26"/>
  <c r="AL52" i="26"/>
  <c r="AL48" i="26"/>
  <c r="AL43" i="26"/>
  <c r="AL66" i="26"/>
  <c r="AL55" i="26"/>
  <c r="AL46" i="26"/>
  <c r="AL67" i="26"/>
  <c r="AL65" i="26"/>
  <c r="AL51" i="26"/>
  <c r="AL44" i="26"/>
  <c r="AL50" i="26"/>
  <c r="AL47" i="26"/>
  <c r="AL39" i="26"/>
  <c r="AL59" i="26"/>
  <c r="AL57" i="26"/>
  <c r="AL53" i="26"/>
  <c r="AL49" i="26"/>
  <c r="AL31" i="26"/>
  <c r="AG32" i="26"/>
  <c r="AL35" i="26"/>
  <c r="AL36" i="26"/>
  <c r="AL38" i="26"/>
  <c r="AG40" i="26"/>
  <c r="AL28" i="26"/>
  <c r="AG64" i="26"/>
  <c r="AL25" i="26"/>
  <c r="J26" i="26"/>
  <c r="AG26" i="26"/>
  <c r="AL33" i="26"/>
  <c r="AG34" i="26"/>
  <c r="AG45" i="26"/>
  <c r="AG51" i="26"/>
  <c r="AL30" i="26"/>
  <c r="AL27" i="26"/>
  <c r="AL42" i="26"/>
  <c r="AL32" i="26"/>
  <c r="AG39" i="26"/>
  <c r="AG41" i="26"/>
  <c r="AG43" i="26"/>
  <c r="AG74" i="26"/>
  <c r="AG48" i="26"/>
  <c r="AG56" i="26"/>
  <c r="AG70" i="26"/>
  <c r="AG58" i="26"/>
  <c r="AG60" i="26"/>
  <c r="AG66" i="26"/>
  <c r="AG76" i="26"/>
  <c r="AG49" i="26"/>
  <c r="AG57" i="26"/>
  <c r="AG62" i="26"/>
  <c r="AG47" i="26"/>
  <c r="AG53" i="26"/>
  <c r="AG55" i="26"/>
  <c r="AG68" i="26"/>
  <c r="AG59" i="26"/>
  <c r="AG63" i="26"/>
  <c r="AG71" i="26"/>
  <c r="AG72" i="26"/>
  <c r="AG29" i="24"/>
  <c r="AG34" i="24"/>
  <c r="AG41" i="24"/>
  <c r="AG26" i="24"/>
  <c r="AG42" i="24"/>
  <c r="A24" i="24"/>
  <c r="P24" i="24" s="1"/>
  <c r="AG30" i="24"/>
  <c r="AG37" i="24"/>
  <c r="AG32" i="24"/>
  <c r="AG39" i="24"/>
  <c r="AG25" i="24"/>
  <c r="AG27" i="24"/>
  <c r="AG36" i="24"/>
  <c r="AG38" i="24"/>
  <c r="B23" i="24"/>
  <c r="C23" i="24" s="1"/>
  <c r="AG24" i="24"/>
  <c r="AG31" i="24"/>
  <c r="AG40" i="24"/>
  <c r="AG23" i="24"/>
  <c r="AG28" i="24"/>
  <c r="AG35" i="24"/>
  <c r="AG25" i="14"/>
  <c r="AG44" i="14"/>
  <c r="AG37" i="14"/>
  <c r="AG35" i="14"/>
  <c r="AG27" i="14"/>
  <c r="AG41" i="14"/>
  <c r="AG30" i="14"/>
  <c r="AG40" i="14"/>
  <c r="AG29" i="14"/>
  <c r="AG38" i="14"/>
  <c r="AG28" i="14"/>
  <c r="AG36" i="14"/>
  <c r="AG26" i="14"/>
  <c r="AG43" i="14"/>
  <c r="AG34" i="14"/>
  <c r="AG42" i="14"/>
  <c r="AG33" i="14"/>
  <c r="A26" i="14"/>
  <c r="P26" i="14" s="1"/>
  <c r="AB37" i="14"/>
  <c r="AG32" i="14"/>
  <c r="B25" i="14"/>
  <c r="C25" i="14" s="1"/>
  <c r="AB38" i="14"/>
  <c r="AB30" i="14"/>
  <c r="AB29" i="14"/>
  <c r="AG39" i="14"/>
  <c r="AI25" i="18"/>
  <c r="AI39" i="18"/>
  <c r="AI31" i="18"/>
  <c r="AD41" i="18"/>
  <c r="AD33" i="18"/>
  <c r="AI38" i="18"/>
  <c r="AI30" i="18"/>
  <c r="AI37" i="18"/>
  <c r="AI29" i="18"/>
  <c r="AI44" i="18"/>
  <c r="AI36" i="18"/>
  <c r="AI28" i="18"/>
  <c r="AI43" i="18"/>
  <c r="AI35" i="18"/>
  <c r="AI27" i="18"/>
  <c r="AI42" i="18"/>
  <c r="AI26" i="18"/>
  <c r="AI41" i="18"/>
  <c r="AI33" i="18"/>
  <c r="AI34" i="18"/>
  <c r="AD35" i="18"/>
  <c r="AI40" i="18"/>
  <c r="AD27" i="18"/>
  <c r="AD37" i="18"/>
  <c r="AD44" i="18"/>
  <c r="AD36" i="18"/>
  <c r="AD28" i="18"/>
  <c r="AD29" i="18"/>
  <c r="AD43" i="18"/>
  <c r="AD40" i="18"/>
  <c r="AD32" i="18"/>
  <c r="AD39" i="18"/>
  <c r="AD31" i="18"/>
  <c r="AD42" i="18"/>
  <c r="AD34" i="18"/>
  <c r="AD26" i="18"/>
  <c r="AD38" i="18"/>
  <c r="AD30" i="18"/>
  <c r="AI29" i="23"/>
  <c r="AI39" i="23"/>
  <c r="AI42" i="23"/>
  <c r="AI40" i="23"/>
  <c r="AI32" i="23"/>
  <c r="AI35" i="23"/>
  <c r="P23" i="23"/>
  <c r="AI24" i="23"/>
  <c r="AI27" i="23"/>
  <c r="AI37" i="23"/>
  <c r="B23" i="23"/>
  <c r="H23" i="23" s="1"/>
  <c r="J23" i="23" s="1"/>
  <c r="K24" i="23" s="1"/>
  <c r="AI31" i="23"/>
  <c r="AI34" i="23"/>
  <c r="AI23" i="23"/>
  <c r="AI26" i="23"/>
  <c r="AI36" i="23"/>
  <c r="AI41" i="23"/>
  <c r="AI28" i="23"/>
  <c r="AI33" i="23"/>
  <c r="AI38" i="23"/>
  <c r="AI25" i="23"/>
  <c r="O62" i="21"/>
  <c r="AA62" i="21" s="1"/>
  <c r="O30" i="21"/>
  <c r="AA30" i="21" s="1"/>
  <c r="O50" i="21"/>
  <c r="AA50" i="21" s="1"/>
  <c r="O69" i="21"/>
  <c r="AA69" i="21" s="1"/>
  <c r="O58" i="21"/>
  <c r="AA58" i="21" s="1"/>
  <c r="O48" i="21"/>
  <c r="AA48" i="21" s="1"/>
  <c r="O37" i="21"/>
  <c r="AA37" i="21" s="1"/>
  <c r="O26" i="21"/>
  <c r="AA26" i="21" s="1"/>
  <c r="O41" i="21"/>
  <c r="AA41" i="21" s="1"/>
  <c r="O72" i="21"/>
  <c r="AA72" i="21" s="1"/>
  <c r="O29" i="21"/>
  <c r="AA29" i="21" s="1"/>
  <c r="O68" i="21"/>
  <c r="AA68" i="21" s="1"/>
  <c r="O57" i="21"/>
  <c r="AA57" i="21" s="1"/>
  <c r="O46" i="21"/>
  <c r="AA46" i="21" s="1"/>
  <c r="O36" i="21"/>
  <c r="AA36" i="21" s="1"/>
  <c r="O24" i="21"/>
  <c r="AA24" i="21" s="1"/>
  <c r="O40" i="21"/>
  <c r="AA40" i="21" s="1"/>
  <c r="O66" i="21"/>
  <c r="AA66" i="21" s="1"/>
  <c r="O56" i="21"/>
  <c r="AA56" i="21" s="1"/>
  <c r="O45" i="21"/>
  <c r="AA45" i="21" s="1"/>
  <c r="O34" i="21"/>
  <c r="AA34" i="21" s="1"/>
  <c r="AA22" i="21"/>
  <c r="O52" i="21"/>
  <c r="AA52" i="21" s="1"/>
  <c r="O61" i="21"/>
  <c r="AA61" i="21" s="1"/>
  <c r="O65" i="21"/>
  <c r="AA65" i="21" s="1"/>
  <c r="O54" i="21"/>
  <c r="AA54" i="21" s="1"/>
  <c r="O44" i="21"/>
  <c r="AA44" i="21" s="1"/>
  <c r="O33" i="21"/>
  <c r="AA33" i="21" s="1"/>
  <c r="O64" i="21"/>
  <c r="AA64" i="21" s="1"/>
  <c r="O53" i="21"/>
  <c r="AA53" i="21" s="1"/>
  <c r="O42" i="21"/>
  <c r="AA42" i="21" s="1"/>
  <c r="O32" i="21"/>
  <c r="AA32" i="21" s="1"/>
  <c r="O27" i="21"/>
  <c r="AA27" i="21" s="1"/>
  <c r="O70" i="21"/>
  <c r="AA70" i="21" s="1"/>
  <c r="O60" i="21"/>
  <c r="AA60" i="21" s="1"/>
  <c r="O49" i="21"/>
  <c r="AA49" i="21" s="1"/>
  <c r="O38" i="21"/>
  <c r="AA38" i="21" s="1"/>
  <c r="AB25" i="14"/>
  <c r="AB39" i="14"/>
  <c r="AB31" i="14"/>
  <c r="AB44" i="14"/>
  <c r="AB36" i="14"/>
  <c r="AB28" i="14"/>
  <c r="AB43" i="14"/>
  <c r="AB35" i="14"/>
  <c r="AB27" i="14"/>
  <c r="AB42" i="14"/>
  <c r="AB34" i="14"/>
  <c r="AB26" i="14"/>
  <c r="AB41" i="14"/>
  <c r="AB33" i="14"/>
  <c r="AB40" i="14"/>
  <c r="AB32" i="14"/>
  <c r="N33" i="24"/>
  <c r="X33" i="24" s="1"/>
  <c r="AB33" i="24" s="1"/>
  <c r="N30" i="24"/>
  <c r="X30" i="24" s="1"/>
  <c r="AB30" i="24" s="1"/>
  <c r="AI23" i="24"/>
  <c r="N35" i="24"/>
  <c r="X35" i="24" s="1"/>
  <c r="AB35" i="24" s="1"/>
  <c r="N32" i="24"/>
  <c r="X32" i="24" s="1"/>
  <c r="AB32" i="24" s="1"/>
  <c r="N28" i="24"/>
  <c r="X28" i="24" s="1"/>
  <c r="AB28" i="24" s="1"/>
  <c r="N31" i="24"/>
  <c r="X31" i="24" s="1"/>
  <c r="AB31" i="24" s="1"/>
  <c r="N25" i="24"/>
  <c r="X25" i="24" s="1"/>
  <c r="AB25" i="24" s="1"/>
  <c r="N38" i="24"/>
  <c r="X38" i="24" s="1"/>
  <c r="AB38" i="24" s="1"/>
  <c r="N34" i="24"/>
  <c r="X34" i="24" s="1"/>
  <c r="AB34" i="24" s="1"/>
  <c r="N37" i="24"/>
  <c r="X37" i="24" s="1"/>
  <c r="AB37" i="24" s="1"/>
  <c r="N41" i="24"/>
  <c r="X41" i="24" s="1"/>
  <c r="AB41" i="24" s="1"/>
  <c r="N23" i="24"/>
  <c r="X23" i="24" s="1"/>
  <c r="AB23" i="24" s="1"/>
  <c r="N24" i="24"/>
  <c r="X24" i="24" s="1"/>
  <c r="AB24" i="24" s="1"/>
  <c r="N27" i="24"/>
  <c r="X27" i="24" s="1"/>
  <c r="AB27" i="24" s="1"/>
  <c r="N40" i="24"/>
  <c r="X40" i="24" s="1"/>
  <c r="AB40" i="24" s="1"/>
  <c r="N36" i="24"/>
  <c r="X36" i="24" s="1"/>
  <c r="AB36" i="24" s="1"/>
  <c r="N39" i="24"/>
  <c r="X39" i="24" s="1"/>
  <c r="AB39" i="24" s="1"/>
  <c r="N26" i="24"/>
  <c r="X26" i="24" s="1"/>
  <c r="AB26" i="24" s="1"/>
  <c r="N29" i="24"/>
  <c r="X29" i="24" s="1"/>
  <c r="AB29" i="24" s="1"/>
  <c r="N38" i="23"/>
  <c r="Z38" i="23" s="1"/>
  <c r="AD38" i="23" s="1"/>
  <c r="N41" i="23"/>
  <c r="Z41" i="23" s="1"/>
  <c r="AD41" i="23" s="1"/>
  <c r="N27" i="23"/>
  <c r="Z27" i="23" s="1"/>
  <c r="AD27" i="23" s="1"/>
  <c r="N39" i="23"/>
  <c r="Z39" i="23" s="1"/>
  <c r="AD39" i="23" s="1"/>
  <c r="N25" i="23"/>
  <c r="Z25" i="23" s="1"/>
  <c r="AD25" i="23" s="1"/>
  <c r="N31" i="23"/>
  <c r="Z31" i="23" s="1"/>
  <c r="AD31" i="23" s="1"/>
  <c r="N34" i="23"/>
  <c r="Z34" i="23" s="1"/>
  <c r="AD34" i="23" s="1"/>
  <c r="N33" i="23"/>
  <c r="Z33" i="23" s="1"/>
  <c r="AD33" i="23" s="1"/>
  <c r="N26" i="23"/>
  <c r="Z26" i="23" s="1"/>
  <c r="AD26" i="23" s="1"/>
  <c r="N32" i="23"/>
  <c r="Z32" i="23" s="1"/>
  <c r="AD32" i="23" s="1"/>
  <c r="N36" i="23"/>
  <c r="Z36" i="23" s="1"/>
  <c r="AD36" i="23" s="1"/>
  <c r="N24" i="23"/>
  <c r="Z24" i="23" s="1"/>
  <c r="AD24" i="23" s="1"/>
  <c r="AK23" i="23"/>
  <c r="N30" i="23"/>
  <c r="Z30" i="23" s="1"/>
  <c r="AD30" i="23" s="1"/>
  <c r="N35" i="23"/>
  <c r="Z35" i="23" s="1"/>
  <c r="AD35" i="23" s="1"/>
  <c r="N40" i="23"/>
  <c r="Z40" i="23" s="1"/>
  <c r="AD40" i="23" s="1"/>
  <c r="N23" i="23"/>
  <c r="Z23" i="23" s="1"/>
  <c r="AD23" i="23" s="1"/>
  <c r="N29" i="23"/>
  <c r="Z29" i="23" s="1"/>
  <c r="AD29" i="23" s="1"/>
  <c r="N28" i="23"/>
  <c r="Z28" i="23" s="1"/>
  <c r="AD28" i="23" s="1"/>
  <c r="N37" i="23"/>
  <c r="Z37" i="23" s="1"/>
  <c r="AD37" i="23" s="1"/>
  <c r="AB32" i="22"/>
  <c r="A25" i="22"/>
  <c r="B24" i="22"/>
  <c r="AB34" i="22"/>
  <c r="AB42" i="22"/>
  <c r="AB24" i="22"/>
  <c r="AB40" i="22"/>
  <c r="AB50" i="22"/>
  <c r="AB71" i="22"/>
  <c r="AB63" i="22"/>
  <c r="AB55" i="22"/>
  <c r="AB47" i="22"/>
  <c r="AB72" i="22"/>
  <c r="AB29" i="22"/>
  <c r="G25" i="22"/>
  <c r="P25" i="22" s="1"/>
  <c r="P24" i="22"/>
  <c r="AB27" i="22"/>
  <c r="AB35" i="22"/>
  <c r="AB66" i="22"/>
  <c r="AB54" i="22"/>
  <c r="AB28" i="22"/>
  <c r="AB36" i="22"/>
  <c r="AB69" i="22"/>
  <c r="AB61" i="22"/>
  <c r="AB53" i="22"/>
  <c r="AB45" i="22"/>
  <c r="AB64" i="22"/>
  <c r="AB46" i="22"/>
  <c r="AB68" i="22"/>
  <c r="AB52" i="22"/>
  <c r="AB26" i="22"/>
  <c r="AB67" i="22"/>
  <c r="AB59" i="22"/>
  <c r="AB51" i="22"/>
  <c r="AB43" i="22"/>
  <c r="AB56" i="22"/>
  <c r="AB30" i="22"/>
  <c r="AB37" i="22"/>
  <c r="AB60" i="22"/>
  <c r="AB44" i="22"/>
  <c r="AB58" i="22"/>
  <c r="AB31" i="22"/>
  <c r="AB39" i="22"/>
  <c r="AB73" i="22"/>
  <c r="AB65" i="22"/>
  <c r="AB57" i="22"/>
  <c r="AB49" i="22"/>
  <c r="AB48" i="22"/>
  <c r="AG24" i="22"/>
  <c r="AG32" i="22"/>
  <c r="AG40" i="22"/>
  <c r="AG48" i="22"/>
  <c r="AG56" i="22"/>
  <c r="AG64" i="22"/>
  <c r="AG72" i="22"/>
  <c r="AG25" i="22"/>
  <c r="AG33" i="22"/>
  <c r="AG41" i="22"/>
  <c r="AG49" i="22"/>
  <c r="AG57" i="22"/>
  <c r="AG65" i="22"/>
  <c r="AG73" i="22"/>
  <c r="AG26" i="22"/>
  <c r="AG34" i="22"/>
  <c r="AG42" i="22"/>
  <c r="AG50" i="22"/>
  <c r="AG58" i="22"/>
  <c r="AG66" i="22"/>
  <c r="AG27" i="22"/>
  <c r="AG35" i="22"/>
  <c r="AG43" i="22"/>
  <c r="AG51" i="22"/>
  <c r="AG59" i="22"/>
  <c r="AG67" i="22"/>
  <c r="AG28" i="22"/>
  <c r="AG36" i="22"/>
  <c r="AG44" i="22"/>
  <c r="AG52" i="22"/>
  <c r="AG60" i="22"/>
  <c r="AG68" i="22"/>
  <c r="AG29" i="22"/>
  <c r="AG37" i="22"/>
  <c r="AG45" i="22"/>
  <c r="AG53" i="22"/>
  <c r="AG61" i="22"/>
  <c r="AG69" i="22"/>
  <c r="AG30" i="22"/>
  <c r="AG38" i="22"/>
  <c r="AG46" i="22"/>
  <c r="AG54" i="22"/>
  <c r="AG62" i="22"/>
  <c r="AG70" i="22"/>
  <c r="AG31" i="22"/>
  <c r="AG39" i="22"/>
  <c r="AG47" i="22"/>
  <c r="AG55" i="22"/>
  <c r="AG63" i="22"/>
  <c r="AG71" i="22"/>
  <c r="AB25" i="22"/>
  <c r="AB33" i="22"/>
  <c r="AB41" i="22"/>
  <c r="AB70" i="22"/>
  <c r="O25" i="21"/>
  <c r="AA25" i="21" s="1"/>
  <c r="O71" i="21"/>
  <c r="AA71" i="21" s="1"/>
  <c r="O63" i="21"/>
  <c r="AA63" i="21" s="1"/>
  <c r="O55" i="21"/>
  <c r="AA55" i="21" s="1"/>
  <c r="AD55" i="21" s="1"/>
  <c r="O47" i="21"/>
  <c r="AA47" i="21" s="1"/>
  <c r="AD47" i="21" s="1"/>
  <c r="O39" i="21"/>
  <c r="AA39" i="21" s="1"/>
  <c r="AD39" i="21" s="1"/>
  <c r="O31" i="21"/>
  <c r="AA31" i="21" s="1"/>
  <c r="AD31" i="21" s="1"/>
  <c r="O23" i="21"/>
  <c r="AA23" i="21" s="1"/>
  <c r="O21" i="21"/>
  <c r="AA21" i="21" s="1"/>
  <c r="O67" i="21"/>
  <c r="AA67" i="21" s="1"/>
  <c r="O59" i="21"/>
  <c r="AA59" i="21" s="1"/>
  <c r="O51" i="21"/>
  <c r="AA51" i="21" s="1"/>
  <c r="AD51" i="21" s="1"/>
  <c r="O43" i="21"/>
  <c r="AA43" i="21" s="1"/>
  <c r="AD43" i="21" s="1"/>
  <c r="O35" i="21"/>
  <c r="AA35" i="21" s="1"/>
  <c r="AD35" i="21" s="1"/>
  <c r="AI40" i="16"/>
  <c r="AI27" i="16"/>
  <c r="AI65" i="16"/>
  <c r="AD75" i="16"/>
  <c r="A26" i="16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B76" i="16" s="1"/>
  <c r="H76" i="16" s="1"/>
  <c r="J76" i="16" s="1"/>
  <c r="AG76" i="16" s="1"/>
  <c r="AB58" i="19"/>
  <c r="AB32" i="19"/>
  <c r="G27" i="19"/>
  <c r="P27" i="19" s="1"/>
  <c r="P26" i="19"/>
  <c r="P25" i="19"/>
  <c r="AB50" i="19"/>
  <c r="AB63" i="19"/>
  <c r="AB70" i="19"/>
  <c r="A26" i="19"/>
  <c r="AB53" i="19"/>
  <c r="AB57" i="19"/>
  <c r="AB41" i="19"/>
  <c r="AB51" i="19"/>
  <c r="AB44" i="19"/>
  <c r="AB47" i="19"/>
  <c r="AB56" i="19"/>
  <c r="AB74" i="19"/>
  <c r="AB48" i="19"/>
  <c r="AB69" i="19"/>
  <c r="AB71" i="19"/>
  <c r="AB73" i="19"/>
  <c r="AB55" i="19"/>
  <c r="AB42" i="19"/>
  <c r="AB59" i="19"/>
  <c r="AB34" i="19"/>
  <c r="AB25" i="19"/>
  <c r="AB28" i="19"/>
  <c r="AB36" i="19"/>
  <c r="AB31" i="19"/>
  <c r="AB37" i="19"/>
  <c r="AB29" i="19"/>
  <c r="AB33" i="19"/>
  <c r="AB35" i="19"/>
  <c r="H25" i="19"/>
  <c r="J25" i="19" s="1"/>
  <c r="C25" i="19"/>
  <c r="AB27" i="19"/>
  <c r="AB43" i="19"/>
  <c r="AB45" i="19"/>
  <c r="AB54" i="19"/>
  <c r="AB67" i="19"/>
  <c r="AG71" i="19"/>
  <c r="AG67" i="19"/>
  <c r="AG63" i="19"/>
  <c r="AG59" i="19"/>
  <c r="AG55" i="19"/>
  <c r="AG51" i="19"/>
  <c r="AG47" i="19"/>
  <c r="AG75" i="19"/>
  <c r="AG70" i="19"/>
  <c r="AG69" i="19"/>
  <c r="AG62" i="19"/>
  <c r="AG61" i="19"/>
  <c r="AG54" i="19"/>
  <c r="AG53" i="19"/>
  <c r="AG44" i="19"/>
  <c r="AG72" i="19"/>
  <c r="AG64" i="19"/>
  <c r="AG56" i="19"/>
  <c r="AG48" i="19"/>
  <c r="AG46" i="19"/>
  <c r="AG43" i="19"/>
  <c r="AG74" i="19"/>
  <c r="AG73" i="19"/>
  <c r="AG66" i="19"/>
  <c r="AG65" i="19"/>
  <c r="AG68" i="19"/>
  <c r="AG58" i="19"/>
  <c r="AG49" i="19"/>
  <c r="AG57" i="19"/>
  <c r="AG52" i="19"/>
  <c r="AG41" i="19"/>
  <c r="AG30" i="19"/>
  <c r="AG60" i="19"/>
  <c r="AG45" i="19"/>
  <c r="AG40" i="19"/>
  <c r="AG26" i="19"/>
  <c r="AG28" i="19"/>
  <c r="AG31" i="19"/>
  <c r="AG42" i="19"/>
  <c r="AB46" i="19"/>
  <c r="AG50" i="19"/>
  <c r="AB62" i="19"/>
  <c r="AB64" i="19"/>
  <c r="AG27" i="19"/>
  <c r="AG29" i="19"/>
  <c r="AG32" i="19"/>
  <c r="AG33" i="19"/>
  <c r="AG34" i="19"/>
  <c r="AG35" i="19"/>
  <c r="AG37" i="19"/>
  <c r="AB38" i="19"/>
  <c r="AB39" i="19"/>
  <c r="AB40" i="19"/>
  <c r="AB26" i="19"/>
  <c r="AB61" i="19"/>
  <c r="AG25" i="19"/>
  <c r="AG36" i="19"/>
  <c r="AB30" i="19"/>
  <c r="AG38" i="19"/>
  <c r="AG39" i="19"/>
  <c r="AB49" i="19"/>
  <c r="AB66" i="19"/>
  <c r="AB65" i="19"/>
  <c r="AB72" i="19"/>
  <c r="AB60" i="19"/>
  <c r="AB68" i="19"/>
  <c r="AB52" i="19"/>
  <c r="AB75" i="19"/>
  <c r="B23" i="22"/>
  <c r="AG23" i="22"/>
  <c r="Y23" i="22"/>
  <c r="AI56" i="16"/>
  <c r="AI44" i="16"/>
  <c r="AI53" i="16"/>
  <c r="AD57" i="16"/>
  <c r="AI48" i="16"/>
  <c r="AI56" i="21"/>
  <c r="AI55" i="21"/>
  <c r="AI24" i="21"/>
  <c r="AI26" i="16"/>
  <c r="AI29" i="16"/>
  <c r="AI36" i="16"/>
  <c r="AI64" i="16"/>
  <c r="AI30" i="16"/>
  <c r="AI32" i="16"/>
  <c r="AI39" i="16"/>
  <c r="AI42" i="16"/>
  <c r="AI52" i="16"/>
  <c r="AI55" i="16"/>
  <c r="AI33" i="16"/>
  <c r="AI43" i="16"/>
  <c r="AI25" i="16"/>
  <c r="AI35" i="16"/>
  <c r="AI46" i="16"/>
  <c r="AA34" i="16"/>
  <c r="AD34" i="16" s="1"/>
  <c r="AI38" i="16"/>
  <c r="AA44" i="16"/>
  <c r="AD44" i="16" s="1"/>
  <c r="AI31" i="16"/>
  <c r="AI41" i="16"/>
  <c r="AI45" i="16"/>
  <c r="AI51" i="16"/>
  <c r="AI66" i="16"/>
  <c r="AI34" i="16"/>
  <c r="AI37" i="16"/>
  <c r="AI57" i="16"/>
  <c r="AI49" i="16"/>
  <c r="AI54" i="16"/>
  <c r="AI75" i="16"/>
  <c r="AI72" i="16"/>
  <c r="AD65" i="16"/>
  <c r="AI73" i="16"/>
  <c r="AI74" i="16"/>
  <c r="AI76" i="16"/>
  <c r="AA26" i="16"/>
  <c r="AD26" i="16" s="1"/>
  <c r="AA28" i="16"/>
  <c r="AD28" i="16" s="1"/>
  <c r="AA37" i="16"/>
  <c r="AD37" i="16" s="1"/>
  <c r="AA39" i="16"/>
  <c r="AD39" i="16" s="1"/>
  <c r="AA40" i="16"/>
  <c r="AD40" i="16" s="1"/>
  <c r="AI47" i="16"/>
  <c r="AA59" i="16"/>
  <c r="AD59" i="16" s="1"/>
  <c r="AI71" i="16"/>
  <c r="AI28" i="16"/>
  <c r="AA35" i="16"/>
  <c r="AD35" i="16" s="1"/>
  <c r="AI50" i="16"/>
  <c r="AA54" i="16"/>
  <c r="AD54" i="16" s="1"/>
  <c r="AI70" i="16"/>
  <c r="AI58" i="16"/>
  <c r="AI61" i="16"/>
  <c r="AI62" i="16"/>
  <c r="AI63" i="16"/>
  <c r="AI67" i="16"/>
  <c r="AI69" i="16"/>
  <c r="AI59" i="16"/>
  <c r="AI60" i="16"/>
  <c r="AI68" i="16"/>
  <c r="AI52" i="21"/>
  <c r="AI51" i="21"/>
  <c r="AI72" i="21"/>
  <c r="AI40" i="21"/>
  <c r="S72" i="21"/>
  <c r="V72" i="21" s="1"/>
  <c r="AI71" i="21"/>
  <c r="AI39" i="21"/>
  <c r="AI68" i="21"/>
  <c r="AI36" i="21"/>
  <c r="AI67" i="21"/>
  <c r="AI35" i="21"/>
  <c r="AI64" i="21"/>
  <c r="AI48" i="21"/>
  <c r="AI32" i="21"/>
  <c r="AI63" i="21"/>
  <c r="AI47" i="21"/>
  <c r="AI31" i="21"/>
  <c r="AI60" i="21"/>
  <c r="AI44" i="21"/>
  <c r="AI28" i="21"/>
  <c r="AI59" i="21"/>
  <c r="AI43" i="21"/>
  <c r="AI27" i="21"/>
  <c r="AI70" i="21"/>
  <c r="AI62" i="21"/>
  <c r="AI54" i="21"/>
  <c r="AI46" i="21"/>
  <c r="AI38" i="21"/>
  <c r="AI30" i="21"/>
  <c r="AI22" i="21"/>
  <c r="AD66" i="21"/>
  <c r="AI69" i="21"/>
  <c r="AI61" i="21"/>
  <c r="AI53" i="21"/>
  <c r="AI45" i="21"/>
  <c r="AI37" i="21"/>
  <c r="AI29" i="21"/>
  <c r="AD58" i="21"/>
  <c r="AD42" i="21"/>
  <c r="AD26" i="21"/>
  <c r="AD72" i="21"/>
  <c r="AI66" i="21"/>
  <c r="AI58" i="21"/>
  <c r="AI50" i="21"/>
  <c r="AI42" i="21"/>
  <c r="AI34" i="21"/>
  <c r="AI26" i="21"/>
  <c r="AI21" i="21"/>
  <c r="AI65" i="21"/>
  <c r="AI57" i="21"/>
  <c r="AI49" i="21"/>
  <c r="AI41" i="21"/>
  <c r="AI33" i="21"/>
  <c r="AI25" i="21"/>
  <c r="AB42" i="24"/>
  <c r="A25" i="23"/>
  <c r="B25" i="23" s="1"/>
  <c r="P24" i="23"/>
  <c r="AD42" i="23"/>
  <c r="P21" i="21"/>
  <c r="B21" i="21"/>
  <c r="B24" i="21"/>
  <c r="B25" i="21"/>
  <c r="G23" i="21"/>
  <c r="B23" i="21"/>
  <c r="B22" i="21"/>
  <c r="AD34" i="21"/>
  <c r="AD70" i="21"/>
  <c r="AD54" i="21"/>
  <c r="AD38" i="21"/>
  <c r="AD22" i="21"/>
  <c r="AD68" i="21"/>
  <c r="AD52" i="21"/>
  <c r="AD36" i="21"/>
  <c r="AD49" i="21"/>
  <c r="AD48" i="21"/>
  <c r="AD25" i="21"/>
  <c r="AD71" i="21"/>
  <c r="AD23" i="21"/>
  <c r="AD62" i="21"/>
  <c r="AD46" i="21"/>
  <c r="AD30" i="21"/>
  <c r="AD65" i="21"/>
  <c r="AD24" i="21"/>
  <c r="AD61" i="21"/>
  <c r="AD45" i="21"/>
  <c r="AD29" i="21"/>
  <c r="AD64" i="21"/>
  <c r="AD41" i="21"/>
  <c r="AD60" i="21"/>
  <c r="AD44" i="21"/>
  <c r="AD28" i="21"/>
  <c r="AD40" i="21"/>
  <c r="AD57" i="21"/>
  <c r="AD63" i="21"/>
  <c r="AD56" i="21"/>
  <c r="AD33" i="21"/>
  <c r="AD69" i="21"/>
  <c r="AD53" i="21"/>
  <c r="AD37" i="21"/>
  <c r="AD21" i="21"/>
  <c r="AD50" i="21"/>
  <c r="AD32" i="21"/>
  <c r="AD67" i="21"/>
  <c r="AD59" i="21"/>
  <c r="AD27" i="21"/>
  <c r="AA31" i="16"/>
  <c r="AD31" i="16" s="1"/>
  <c r="AA41" i="16"/>
  <c r="AD41" i="16" s="1"/>
  <c r="AA52" i="16"/>
  <c r="AD52" i="16" s="1"/>
  <c r="AA53" i="16"/>
  <c r="AD53" i="16" s="1"/>
  <c r="AA68" i="16"/>
  <c r="AD68" i="16" s="1"/>
  <c r="AA61" i="16"/>
  <c r="AD61" i="16" s="1"/>
  <c r="AA62" i="16"/>
  <c r="AD62" i="16" s="1"/>
  <c r="AA71" i="16"/>
  <c r="AD71" i="16" s="1"/>
  <c r="AA72" i="16"/>
  <c r="AD72" i="16" s="1"/>
  <c r="AA76" i="16"/>
  <c r="AD76" i="16" s="1"/>
  <c r="AD33" i="16"/>
  <c r="AA25" i="16"/>
  <c r="AD48" i="16"/>
  <c r="AD55" i="16"/>
  <c r="AA56" i="16"/>
  <c r="AD56" i="16" s="1"/>
  <c r="AA60" i="16"/>
  <c r="AD60" i="16" s="1"/>
  <c r="AA38" i="16"/>
  <c r="AD38" i="16" s="1"/>
  <c r="AA50" i="16"/>
  <c r="AD50" i="16" s="1"/>
  <c r="AA49" i="16"/>
  <c r="AD49" i="16" s="1"/>
  <c r="AA66" i="16"/>
  <c r="AD66" i="16" s="1"/>
  <c r="AA69" i="16"/>
  <c r="AD69" i="16" s="1"/>
  <c r="AA74" i="16"/>
  <c r="AD74" i="16" s="1"/>
  <c r="AA32" i="16"/>
  <c r="AD32" i="16" s="1"/>
  <c r="AA42" i="16"/>
  <c r="AD42" i="16" s="1"/>
  <c r="AA46" i="16"/>
  <c r="AD46" i="16" s="1"/>
  <c r="AA51" i="16"/>
  <c r="AD51" i="16" s="1"/>
  <c r="AA58" i="16"/>
  <c r="AD58" i="16" s="1"/>
  <c r="AA63" i="16"/>
  <c r="AD63" i="16" s="1"/>
  <c r="AA70" i="16"/>
  <c r="AD70" i="16" s="1"/>
  <c r="AD29" i="16"/>
  <c r="AD30" i="16"/>
  <c r="AD64" i="16"/>
  <c r="AD36" i="16"/>
  <c r="AD45" i="16"/>
  <c r="AD27" i="16"/>
  <c r="H25" i="16"/>
  <c r="J25" i="16" s="1"/>
  <c r="K26" i="16" s="1"/>
  <c r="Q60" i="16"/>
  <c r="AD47" i="16"/>
  <c r="G26" i="16"/>
  <c r="AD43" i="16"/>
  <c r="AD67" i="16"/>
  <c r="AD73" i="16"/>
  <c r="V76" i="16"/>
  <c r="P23" i="22"/>
  <c r="D49" i="20"/>
  <c r="B49" i="20"/>
  <c r="F24" i="29" l="1"/>
  <c r="G26" i="22"/>
  <c r="P26" i="22" s="1"/>
  <c r="B13" i="16"/>
  <c r="B20" i="16" s="1"/>
  <c r="E27" i="29"/>
  <c r="F26" i="28"/>
  <c r="M26" i="28"/>
  <c r="X26" i="28" s="1"/>
  <c r="AF26" i="28" s="1"/>
  <c r="AG26" i="28" s="1"/>
  <c r="K27" i="28"/>
  <c r="F27" i="28"/>
  <c r="C29" i="28"/>
  <c r="E28" i="28"/>
  <c r="B26" i="16"/>
  <c r="H26" i="16" s="1"/>
  <c r="J26" i="16" s="1"/>
  <c r="B27" i="16"/>
  <c r="A28" i="29"/>
  <c r="B28" i="29" s="1"/>
  <c r="S27" i="29"/>
  <c r="F26" i="29"/>
  <c r="K26" i="29"/>
  <c r="M26" i="29" s="1"/>
  <c r="AL25" i="29"/>
  <c r="K25" i="29"/>
  <c r="M25" i="29" s="1"/>
  <c r="N26" i="29" s="1"/>
  <c r="AL26" i="29" s="1"/>
  <c r="AM26" i="29" s="1"/>
  <c r="F25" i="29"/>
  <c r="AC24" i="29"/>
  <c r="X24" i="29"/>
  <c r="AF24" i="29" s="1"/>
  <c r="M25" i="28"/>
  <c r="AC25" i="28"/>
  <c r="M25" i="27"/>
  <c r="N26" i="27" s="1"/>
  <c r="AN26" i="27" s="1"/>
  <c r="F25" i="27"/>
  <c r="S27" i="27"/>
  <c r="A28" i="27"/>
  <c r="B28" i="27" s="1"/>
  <c r="E28" i="27" s="1"/>
  <c r="F28" i="27" s="1"/>
  <c r="AE25" i="27"/>
  <c r="K26" i="27"/>
  <c r="M26" i="27" s="1"/>
  <c r="Z25" i="26"/>
  <c r="AH25" i="26" s="1"/>
  <c r="AE25" i="26"/>
  <c r="A27" i="26"/>
  <c r="B27" i="26" s="1"/>
  <c r="E27" i="26" s="1"/>
  <c r="Y76" i="26"/>
  <c r="S26" i="26"/>
  <c r="J27" i="26"/>
  <c r="A27" i="14"/>
  <c r="B27" i="14" s="1"/>
  <c r="H23" i="24"/>
  <c r="A25" i="24"/>
  <c r="B24" i="24"/>
  <c r="G28" i="19"/>
  <c r="B26" i="14"/>
  <c r="H26" i="14" s="1"/>
  <c r="H25" i="14"/>
  <c r="AK24" i="23"/>
  <c r="C23" i="23"/>
  <c r="AB23" i="23"/>
  <c r="W23" i="23"/>
  <c r="AE23" i="23" s="1"/>
  <c r="AB23" i="22"/>
  <c r="H24" i="22"/>
  <c r="J24" i="22" s="1"/>
  <c r="U24" i="22" s="1"/>
  <c r="AC24" i="22" s="1"/>
  <c r="C24" i="22"/>
  <c r="A26" i="22"/>
  <c r="B25" i="22"/>
  <c r="B75" i="16"/>
  <c r="B61" i="16"/>
  <c r="C61" i="16" s="1"/>
  <c r="B57" i="16"/>
  <c r="H57" i="16" s="1"/>
  <c r="J57" i="16" s="1"/>
  <c r="B47" i="16"/>
  <c r="H47" i="16" s="1"/>
  <c r="J47" i="16" s="1"/>
  <c r="B65" i="16"/>
  <c r="H65" i="16" s="1"/>
  <c r="J65" i="16" s="1"/>
  <c r="B69" i="16"/>
  <c r="C69" i="16" s="1"/>
  <c r="B55" i="16"/>
  <c r="C55" i="16" s="1"/>
  <c r="B32" i="16"/>
  <c r="C32" i="16" s="1"/>
  <c r="B73" i="16"/>
  <c r="H73" i="16" s="1"/>
  <c r="J73" i="16" s="1"/>
  <c r="B68" i="16"/>
  <c r="C68" i="16" s="1"/>
  <c r="B54" i="16"/>
  <c r="H54" i="16" s="1"/>
  <c r="J54" i="16" s="1"/>
  <c r="B63" i="16"/>
  <c r="H63" i="16" s="1"/>
  <c r="J63" i="16" s="1"/>
  <c r="B62" i="16"/>
  <c r="H62" i="16" s="1"/>
  <c r="J62" i="16" s="1"/>
  <c r="B66" i="16"/>
  <c r="H66" i="16" s="1"/>
  <c r="J66" i="16" s="1"/>
  <c r="B52" i="16"/>
  <c r="C52" i="16" s="1"/>
  <c r="B70" i="16"/>
  <c r="H70" i="16" s="1"/>
  <c r="J70" i="16" s="1"/>
  <c r="B74" i="16"/>
  <c r="C74" i="16" s="1"/>
  <c r="B60" i="16"/>
  <c r="H60" i="16" s="1"/>
  <c r="J60" i="16" s="1"/>
  <c r="B35" i="16"/>
  <c r="C35" i="16" s="1"/>
  <c r="B48" i="16"/>
  <c r="C48" i="16" s="1"/>
  <c r="B34" i="16"/>
  <c r="H34" i="16" s="1"/>
  <c r="J34" i="16" s="1"/>
  <c r="B43" i="16"/>
  <c r="H43" i="16" s="1"/>
  <c r="J43" i="16" s="1"/>
  <c r="B29" i="16"/>
  <c r="C29" i="16" s="1"/>
  <c r="B71" i="16"/>
  <c r="B40" i="16"/>
  <c r="C40" i="16" s="1"/>
  <c r="B30" i="16"/>
  <c r="C30" i="16" s="1"/>
  <c r="B56" i="16"/>
  <c r="H56" i="16" s="1"/>
  <c r="J56" i="16" s="1"/>
  <c r="B33" i="16"/>
  <c r="H33" i="16" s="1"/>
  <c r="J33" i="16" s="1"/>
  <c r="B42" i="16"/>
  <c r="C42" i="16" s="1"/>
  <c r="B51" i="16"/>
  <c r="B28" i="16"/>
  <c r="H28" i="16" s="1"/>
  <c r="J28" i="16" s="1"/>
  <c r="B37" i="16"/>
  <c r="C37" i="16" s="1"/>
  <c r="C76" i="16"/>
  <c r="D76" i="16" s="1"/>
  <c r="E76" i="16" s="1"/>
  <c r="B38" i="16"/>
  <c r="B31" i="16"/>
  <c r="C31" i="16" s="1"/>
  <c r="B64" i="16"/>
  <c r="C64" i="16" s="1"/>
  <c r="B41" i="16"/>
  <c r="C41" i="16" s="1"/>
  <c r="B50" i="16"/>
  <c r="H50" i="16" s="1"/>
  <c r="J50" i="16" s="1"/>
  <c r="B59" i="16"/>
  <c r="H59" i="16" s="1"/>
  <c r="J59" i="16" s="1"/>
  <c r="B36" i="16"/>
  <c r="H36" i="16" s="1"/>
  <c r="J36" i="16" s="1"/>
  <c r="B45" i="16"/>
  <c r="B46" i="16"/>
  <c r="H46" i="16" s="1"/>
  <c r="J46" i="16" s="1"/>
  <c r="B39" i="16"/>
  <c r="H39" i="16" s="1"/>
  <c r="J39" i="16" s="1"/>
  <c r="B72" i="16"/>
  <c r="H72" i="16" s="1"/>
  <c r="J72" i="16" s="1"/>
  <c r="B49" i="16"/>
  <c r="H49" i="16" s="1"/>
  <c r="J49" i="16" s="1"/>
  <c r="B58" i="16"/>
  <c r="H58" i="16" s="1"/>
  <c r="J58" i="16" s="1"/>
  <c r="B67" i="16"/>
  <c r="C67" i="16" s="1"/>
  <c r="B44" i="16"/>
  <c r="H44" i="16" s="1"/>
  <c r="J44" i="16" s="1"/>
  <c r="B53" i="16"/>
  <c r="A27" i="19"/>
  <c r="B26" i="19"/>
  <c r="H26" i="19" s="1"/>
  <c r="P28" i="19"/>
  <c r="G29" i="19"/>
  <c r="K26" i="19"/>
  <c r="AI26" i="19" s="1"/>
  <c r="U25" i="19"/>
  <c r="Z25" i="19"/>
  <c r="K27" i="16"/>
  <c r="AD25" i="16"/>
  <c r="H27" i="16"/>
  <c r="J27" i="16" s="1"/>
  <c r="C27" i="16"/>
  <c r="P25" i="23"/>
  <c r="A26" i="23"/>
  <c r="B26" i="23" s="1"/>
  <c r="H24" i="23"/>
  <c r="J24" i="23" s="1"/>
  <c r="K25" i="23" s="1"/>
  <c r="AK25" i="23" s="1"/>
  <c r="C24" i="23"/>
  <c r="C24" i="21"/>
  <c r="H24" i="21"/>
  <c r="J24" i="21" s="1"/>
  <c r="H21" i="21"/>
  <c r="C21" i="21"/>
  <c r="C22" i="21"/>
  <c r="H22" i="21"/>
  <c r="B26" i="21"/>
  <c r="C23" i="21"/>
  <c r="H23" i="21"/>
  <c r="J23" i="21" s="1"/>
  <c r="P23" i="21"/>
  <c r="G24" i="21"/>
  <c r="C25" i="21"/>
  <c r="H25" i="21"/>
  <c r="J25" i="21" s="1"/>
  <c r="P26" i="16"/>
  <c r="G27" i="16"/>
  <c r="W25" i="16"/>
  <c r="AB25" i="16"/>
  <c r="D50" i="20"/>
  <c r="B50" i="20"/>
  <c r="G27" i="22"/>
  <c r="P27" i="22" s="1"/>
  <c r="H23" i="22"/>
  <c r="C23" i="22"/>
  <c r="AM25" i="29" l="1"/>
  <c r="AO26" i="27"/>
  <c r="C26" i="16"/>
  <c r="AE25" i="16"/>
  <c r="AC26" i="29"/>
  <c r="E28" i="29"/>
  <c r="M27" i="28"/>
  <c r="X27" i="28" s="1"/>
  <c r="AF27" i="28" s="1"/>
  <c r="AC27" i="28"/>
  <c r="K28" i="28"/>
  <c r="F28" i="28"/>
  <c r="E29" i="28"/>
  <c r="C30" i="28"/>
  <c r="AF23" i="23"/>
  <c r="C33" i="16"/>
  <c r="C47" i="16"/>
  <c r="H31" i="16"/>
  <c r="J31" i="16" s="1"/>
  <c r="H48" i="16"/>
  <c r="J48" i="16" s="1"/>
  <c r="A28" i="14"/>
  <c r="P27" i="14"/>
  <c r="AC25" i="29"/>
  <c r="X25" i="29"/>
  <c r="AF25" i="29" s="1"/>
  <c r="K27" i="29"/>
  <c r="M27" i="29" s="1"/>
  <c r="F27" i="29"/>
  <c r="AG24" i="29"/>
  <c r="A29" i="29"/>
  <c r="B29" i="29" s="1"/>
  <c r="S28" i="29"/>
  <c r="N27" i="29"/>
  <c r="AL27" i="29" s="1"/>
  <c r="AM27" i="29" s="1"/>
  <c r="X26" i="29"/>
  <c r="AF26" i="29" s="1"/>
  <c r="N26" i="28"/>
  <c r="N27" i="28" s="1"/>
  <c r="X25" i="28"/>
  <c r="AF25" i="28" s="1"/>
  <c r="AG25" i="28" s="1"/>
  <c r="N27" i="27"/>
  <c r="AN27" i="27" s="1"/>
  <c r="AO27" i="27" s="1"/>
  <c r="Z25" i="27"/>
  <c r="AH25" i="27" s="1"/>
  <c r="AI25" i="27" s="1"/>
  <c r="AI25" i="26"/>
  <c r="AE26" i="27"/>
  <c r="A29" i="27"/>
  <c r="B29" i="27" s="1"/>
  <c r="E29" i="27" s="1"/>
  <c r="F29" i="27" s="1"/>
  <c r="S28" i="27"/>
  <c r="K27" i="27"/>
  <c r="M27" i="27" s="1"/>
  <c r="Z26" i="27"/>
  <c r="AH26" i="27" s="1"/>
  <c r="K26" i="26"/>
  <c r="M26" i="26" s="1"/>
  <c r="N27" i="26" s="1"/>
  <c r="F26" i="26"/>
  <c r="A28" i="26"/>
  <c r="B28" i="26" s="1"/>
  <c r="E28" i="26" s="1"/>
  <c r="J28" i="26"/>
  <c r="S27" i="26"/>
  <c r="J23" i="24"/>
  <c r="Z23" i="24"/>
  <c r="H24" i="24"/>
  <c r="C24" i="24"/>
  <c r="B25" i="24"/>
  <c r="P25" i="24"/>
  <c r="A26" i="24"/>
  <c r="C26" i="14"/>
  <c r="J25" i="14"/>
  <c r="Z25" i="14"/>
  <c r="AB24" i="23"/>
  <c r="C65" i="16"/>
  <c r="C62" i="16"/>
  <c r="H68" i="16"/>
  <c r="J68" i="16" s="1"/>
  <c r="C56" i="16"/>
  <c r="C60" i="16"/>
  <c r="C66" i="16"/>
  <c r="H69" i="16"/>
  <c r="J69" i="16" s="1"/>
  <c r="C70" i="16"/>
  <c r="C73" i="16"/>
  <c r="H74" i="16"/>
  <c r="J74" i="16" s="1"/>
  <c r="H27" i="14"/>
  <c r="J27" i="14" s="1"/>
  <c r="C27" i="14"/>
  <c r="J26" i="14"/>
  <c r="Z26" i="14"/>
  <c r="B28" i="14"/>
  <c r="P28" i="14"/>
  <c r="A29" i="14"/>
  <c r="Z24" i="22"/>
  <c r="AD24" i="22" s="1"/>
  <c r="H25" i="22"/>
  <c r="C25" i="22"/>
  <c r="A27" i="22"/>
  <c r="B26" i="22"/>
  <c r="C39" i="16"/>
  <c r="H35" i="16"/>
  <c r="J35" i="16" s="1"/>
  <c r="C57" i="16"/>
  <c r="H52" i="16"/>
  <c r="J52" i="16" s="1"/>
  <c r="H30" i="16"/>
  <c r="J30" i="16" s="1"/>
  <c r="C46" i="16"/>
  <c r="C63" i="16"/>
  <c r="C72" i="16"/>
  <c r="H32" i="16"/>
  <c r="J32" i="16" s="1"/>
  <c r="H40" i="16"/>
  <c r="J40" i="16" s="1"/>
  <c r="C44" i="16"/>
  <c r="H55" i="16"/>
  <c r="J55" i="16" s="1"/>
  <c r="C36" i="16"/>
  <c r="H29" i="16"/>
  <c r="J29" i="16" s="1"/>
  <c r="H67" i="16"/>
  <c r="J67" i="16" s="1"/>
  <c r="H37" i="16"/>
  <c r="J37" i="16" s="1"/>
  <c r="C49" i="16"/>
  <c r="H61" i="16"/>
  <c r="J61" i="16" s="1"/>
  <c r="C59" i="16"/>
  <c r="C54" i="16"/>
  <c r="C75" i="16"/>
  <c r="D75" i="16" s="1"/>
  <c r="E75" i="16" s="1"/>
  <c r="H75" i="16"/>
  <c r="J75" i="16" s="1"/>
  <c r="C51" i="16"/>
  <c r="H51" i="16"/>
  <c r="J51" i="16" s="1"/>
  <c r="C43" i="16"/>
  <c r="C38" i="16"/>
  <c r="H38" i="16"/>
  <c r="J38" i="16" s="1"/>
  <c r="C28" i="16"/>
  <c r="H42" i="16"/>
  <c r="J42" i="16" s="1"/>
  <c r="C53" i="16"/>
  <c r="H53" i="16"/>
  <c r="J53" i="16" s="1"/>
  <c r="H45" i="16"/>
  <c r="J45" i="16" s="1"/>
  <c r="C45" i="16"/>
  <c r="C50" i="16"/>
  <c r="C58" i="16"/>
  <c r="C34" i="16"/>
  <c r="H41" i="16"/>
  <c r="J41" i="16" s="1"/>
  <c r="H64" i="16"/>
  <c r="J64" i="16" s="1"/>
  <c r="H71" i="16"/>
  <c r="J71" i="16" s="1"/>
  <c r="C71" i="16"/>
  <c r="C26" i="19"/>
  <c r="B27" i="19"/>
  <c r="A28" i="19"/>
  <c r="AC25" i="19"/>
  <c r="AD25" i="19" s="1"/>
  <c r="J26" i="19"/>
  <c r="Z26" i="19"/>
  <c r="P29" i="19"/>
  <c r="G30" i="19"/>
  <c r="K28" i="16"/>
  <c r="K29" i="16" s="1"/>
  <c r="A27" i="23"/>
  <c r="B27" i="23" s="1"/>
  <c r="P26" i="23"/>
  <c r="C25" i="23"/>
  <c r="H25" i="23"/>
  <c r="J25" i="23" s="1"/>
  <c r="K26" i="23" s="1"/>
  <c r="AK26" i="23" s="1"/>
  <c r="W24" i="23"/>
  <c r="AE24" i="23" s="1"/>
  <c r="J21" i="21"/>
  <c r="AB21" i="21"/>
  <c r="AB23" i="21"/>
  <c r="W23" i="21"/>
  <c r="AE23" i="21" s="1"/>
  <c r="G25" i="21"/>
  <c r="P24" i="21"/>
  <c r="B27" i="21"/>
  <c r="H26" i="21"/>
  <c r="J26" i="21" s="1"/>
  <c r="C26" i="21"/>
  <c r="J22" i="21"/>
  <c r="AB22" i="21"/>
  <c r="AF25" i="16"/>
  <c r="G28" i="16"/>
  <c r="P27" i="16"/>
  <c r="W26" i="16"/>
  <c r="AE26" i="16" s="1"/>
  <c r="AB26" i="16"/>
  <c r="D51" i="20"/>
  <c r="B51" i="20"/>
  <c r="J23" i="22"/>
  <c r="Z23" i="22"/>
  <c r="G28" i="22"/>
  <c r="P28" i="22" s="1"/>
  <c r="U27" i="14" l="1"/>
  <c r="AC27" i="14" s="1"/>
  <c r="AG26" i="29"/>
  <c r="AG25" i="29"/>
  <c r="E29" i="29"/>
  <c r="N28" i="28"/>
  <c r="AG27" i="28"/>
  <c r="E30" i="28"/>
  <c r="C31" i="28"/>
  <c r="F29" i="28"/>
  <c r="K29" i="28"/>
  <c r="AC28" i="28"/>
  <c r="M28" i="28"/>
  <c r="X28" i="28" s="1"/>
  <c r="AF28" i="28" s="1"/>
  <c r="AF26" i="16"/>
  <c r="N28" i="29"/>
  <c r="AL28" i="29" s="1"/>
  <c r="AM28" i="29" s="1"/>
  <c r="A30" i="29"/>
  <c r="B30" i="29" s="1"/>
  <c r="S29" i="29"/>
  <c r="X27" i="29"/>
  <c r="AF27" i="29" s="1"/>
  <c r="F28" i="29"/>
  <c r="K28" i="29"/>
  <c r="M28" i="29" s="1"/>
  <c r="AC27" i="29"/>
  <c r="N28" i="27"/>
  <c r="AN28" i="27" s="1"/>
  <c r="Z27" i="27"/>
  <c r="AH27" i="27" s="1"/>
  <c r="AE27" i="27"/>
  <c r="A30" i="27"/>
  <c r="B30" i="27" s="1"/>
  <c r="E30" i="27" s="1"/>
  <c r="F30" i="27" s="1"/>
  <c r="S29" i="27"/>
  <c r="K28" i="27"/>
  <c r="M28" i="27" s="1"/>
  <c r="AI26" i="27"/>
  <c r="Z26" i="26"/>
  <c r="AH26" i="26" s="1"/>
  <c r="AE26" i="26"/>
  <c r="A29" i="26"/>
  <c r="B29" i="26" s="1"/>
  <c r="E29" i="26" s="1"/>
  <c r="K27" i="26"/>
  <c r="M27" i="26" s="1"/>
  <c r="N28" i="26" s="1"/>
  <c r="F27" i="26"/>
  <c r="S28" i="26"/>
  <c r="J29" i="26"/>
  <c r="U23" i="24"/>
  <c r="AC23" i="24" s="1"/>
  <c r="AD23" i="24" s="1"/>
  <c r="K24" i="24"/>
  <c r="AI24" i="24" s="1"/>
  <c r="B26" i="24"/>
  <c r="A27" i="24"/>
  <c r="P26" i="24"/>
  <c r="C25" i="24"/>
  <c r="H25" i="24"/>
  <c r="J25" i="24" s="1"/>
  <c r="U25" i="24" s="1"/>
  <c r="AC25" i="24" s="1"/>
  <c r="J24" i="24"/>
  <c r="Z24" i="24"/>
  <c r="Z27" i="14"/>
  <c r="K26" i="14"/>
  <c r="AI26" i="14" s="1"/>
  <c r="AJ26" i="14" s="1"/>
  <c r="U25" i="14"/>
  <c r="AC25" i="14" s="1"/>
  <c r="AD25" i="14" s="1"/>
  <c r="AB25" i="23"/>
  <c r="H28" i="14"/>
  <c r="J28" i="14" s="1"/>
  <c r="U28" i="14" s="1"/>
  <c r="AC28" i="14" s="1"/>
  <c r="C28" i="14"/>
  <c r="U26" i="14"/>
  <c r="AC26" i="14" s="1"/>
  <c r="AD26" i="14" s="1"/>
  <c r="A30" i="14"/>
  <c r="P29" i="14"/>
  <c r="B29" i="14"/>
  <c r="A28" i="22"/>
  <c r="B27" i="22"/>
  <c r="J25" i="22"/>
  <c r="U25" i="22" s="1"/>
  <c r="AC25" i="22" s="1"/>
  <c r="Z25" i="22"/>
  <c r="C26" i="22"/>
  <c r="H26" i="22"/>
  <c r="K30" i="16"/>
  <c r="K31" i="16" s="1"/>
  <c r="K32" i="16" s="1"/>
  <c r="K33" i="16" s="1"/>
  <c r="K34" i="16" s="1"/>
  <c r="K35" i="16" s="1"/>
  <c r="K36" i="16" s="1"/>
  <c r="K37" i="16" s="1"/>
  <c r="K38" i="16" s="1"/>
  <c r="K39" i="16" s="1"/>
  <c r="K40" i="16" s="1"/>
  <c r="K41" i="16" s="1"/>
  <c r="K42" i="16" s="1"/>
  <c r="K43" i="16" s="1"/>
  <c r="K44" i="16" s="1"/>
  <c r="K45" i="16" s="1"/>
  <c r="K46" i="16" s="1"/>
  <c r="K47" i="16" s="1"/>
  <c r="K48" i="16" s="1"/>
  <c r="K49" i="16" s="1"/>
  <c r="K50" i="16" s="1"/>
  <c r="K51" i="16" s="1"/>
  <c r="K52" i="16" s="1"/>
  <c r="K53" i="16" s="1"/>
  <c r="K54" i="16" s="1"/>
  <c r="K55" i="16" s="1"/>
  <c r="K56" i="16" s="1"/>
  <c r="K57" i="16" s="1"/>
  <c r="K58" i="16" s="1"/>
  <c r="K59" i="16" s="1"/>
  <c r="K60" i="16" s="1"/>
  <c r="K61" i="16" s="1"/>
  <c r="K62" i="16" s="1"/>
  <c r="K63" i="16" s="1"/>
  <c r="K64" i="16" s="1"/>
  <c r="K65" i="16" s="1"/>
  <c r="K66" i="16" s="1"/>
  <c r="K67" i="16" s="1"/>
  <c r="K68" i="16" s="1"/>
  <c r="K69" i="16" s="1"/>
  <c r="K70" i="16" s="1"/>
  <c r="K71" i="16" s="1"/>
  <c r="K72" i="16" s="1"/>
  <c r="K73" i="16" s="1"/>
  <c r="K74" i="16" s="1"/>
  <c r="K75" i="16" s="1"/>
  <c r="K76" i="16" s="1"/>
  <c r="D74" i="16"/>
  <c r="E74" i="16" s="1"/>
  <c r="B28" i="19"/>
  <c r="A29" i="19"/>
  <c r="C27" i="19"/>
  <c r="H27" i="19"/>
  <c r="K27" i="19"/>
  <c r="AI27" i="19" s="1"/>
  <c r="U26" i="19"/>
  <c r="G31" i="19"/>
  <c r="P30" i="19"/>
  <c r="H26" i="23"/>
  <c r="J26" i="23" s="1"/>
  <c r="K27" i="23" s="1"/>
  <c r="AK27" i="23" s="1"/>
  <c r="C26" i="23"/>
  <c r="AF24" i="23"/>
  <c r="A28" i="23"/>
  <c r="B28" i="23" s="1"/>
  <c r="P27" i="23"/>
  <c r="W25" i="23"/>
  <c r="AE25" i="23" s="1"/>
  <c r="K22" i="21"/>
  <c r="K23" i="21" s="1"/>
  <c r="K24" i="21" s="1"/>
  <c r="K25" i="21" s="1"/>
  <c r="K26" i="21" s="1"/>
  <c r="K27" i="21" s="1"/>
  <c r="W21" i="21"/>
  <c r="AE21" i="21" s="1"/>
  <c r="H27" i="21"/>
  <c r="J27" i="21" s="1"/>
  <c r="C27" i="21"/>
  <c r="B28" i="21"/>
  <c r="AB24" i="21"/>
  <c r="W24" i="21"/>
  <c r="AE24" i="21" s="1"/>
  <c r="W22" i="21"/>
  <c r="AE22" i="21" s="1"/>
  <c r="AF22" i="21" s="1"/>
  <c r="G26" i="21"/>
  <c r="P25" i="21"/>
  <c r="AF23" i="21"/>
  <c r="AB27" i="16"/>
  <c r="W27" i="16"/>
  <c r="AE27" i="16" s="1"/>
  <c r="P28" i="16"/>
  <c r="G29" i="16"/>
  <c r="D52" i="20"/>
  <c r="B52" i="20"/>
  <c r="U23" i="22"/>
  <c r="K24" i="22"/>
  <c r="G29" i="22"/>
  <c r="P29" i="22" s="1"/>
  <c r="AD27" i="14" l="1"/>
  <c r="AO28" i="27"/>
  <c r="AC23" i="22"/>
  <c r="E30" i="29"/>
  <c r="AG27" i="29"/>
  <c r="N29" i="28"/>
  <c r="E31" i="28"/>
  <c r="C32" i="28"/>
  <c r="AG28" i="28"/>
  <c r="AC29" i="28"/>
  <c r="M29" i="28"/>
  <c r="K30" i="28"/>
  <c r="F30" i="28"/>
  <c r="AI26" i="26"/>
  <c r="N29" i="29"/>
  <c r="AL29" i="29" s="1"/>
  <c r="AM29" i="29" s="1"/>
  <c r="A31" i="29"/>
  <c r="B31" i="29" s="1"/>
  <c r="S30" i="29"/>
  <c r="X28" i="29"/>
  <c r="AF28" i="29" s="1"/>
  <c r="AC28" i="29"/>
  <c r="K29" i="29"/>
  <c r="M29" i="29" s="1"/>
  <c r="F29" i="29"/>
  <c r="N29" i="27"/>
  <c r="AN29" i="27" s="1"/>
  <c r="AO29" i="27" s="1"/>
  <c r="AI27" i="27"/>
  <c r="A31" i="27"/>
  <c r="B31" i="27" s="1"/>
  <c r="E31" i="27" s="1"/>
  <c r="F31" i="27" s="1"/>
  <c r="S30" i="27"/>
  <c r="K29" i="27"/>
  <c r="M29" i="27" s="1"/>
  <c r="Z28" i="27"/>
  <c r="AH28" i="27" s="1"/>
  <c r="AE28" i="27"/>
  <c r="K28" i="26"/>
  <c r="M28" i="26" s="1"/>
  <c r="N29" i="26" s="1"/>
  <c r="F28" i="26"/>
  <c r="Z27" i="26"/>
  <c r="AH27" i="26" s="1"/>
  <c r="AE27" i="26"/>
  <c r="A30" i="26"/>
  <c r="B30" i="26" s="1"/>
  <c r="E30" i="26" s="1"/>
  <c r="S29" i="26"/>
  <c r="J30" i="26"/>
  <c r="AD25" i="22"/>
  <c r="U24" i="24"/>
  <c r="AC24" i="24" s="1"/>
  <c r="AD24" i="24" s="1"/>
  <c r="K25" i="24"/>
  <c r="Z25" i="24"/>
  <c r="AD25" i="24" s="1"/>
  <c r="B27" i="24"/>
  <c r="P27" i="24"/>
  <c r="A28" i="24"/>
  <c r="H26" i="24"/>
  <c r="J26" i="24" s="1"/>
  <c r="U26" i="24" s="1"/>
  <c r="AC26" i="24" s="1"/>
  <c r="C26" i="24"/>
  <c r="Z28" i="14"/>
  <c r="AD28" i="14" s="1"/>
  <c r="K27" i="14"/>
  <c r="AI27" i="14" s="1"/>
  <c r="AJ27" i="14" s="1"/>
  <c r="W26" i="23"/>
  <c r="AE26" i="23" s="1"/>
  <c r="AB26" i="23"/>
  <c r="A31" i="14"/>
  <c r="P30" i="14"/>
  <c r="B30" i="14"/>
  <c r="H29" i="14"/>
  <c r="J29" i="14" s="1"/>
  <c r="U29" i="14" s="1"/>
  <c r="AC29" i="14" s="1"/>
  <c r="C29" i="14"/>
  <c r="AI24" i="22"/>
  <c r="K25" i="22"/>
  <c r="K26" i="22" s="1"/>
  <c r="AD23" i="22"/>
  <c r="H27" i="22"/>
  <c r="C27" i="22"/>
  <c r="A29" i="22"/>
  <c r="B28" i="22"/>
  <c r="J26" i="22"/>
  <c r="U26" i="22" s="1"/>
  <c r="AC26" i="22" s="1"/>
  <c r="Z26" i="22"/>
  <c r="D73" i="16"/>
  <c r="E73" i="16" s="1"/>
  <c r="J27" i="19"/>
  <c r="U27" i="19" s="1"/>
  <c r="AC27" i="19" s="1"/>
  <c r="Z27" i="19"/>
  <c r="B29" i="19"/>
  <c r="A30" i="19"/>
  <c r="H28" i="19"/>
  <c r="C28" i="19"/>
  <c r="AC26" i="19"/>
  <c r="P31" i="19"/>
  <c r="G32" i="19"/>
  <c r="AF21" i="21"/>
  <c r="AF25" i="23"/>
  <c r="C27" i="23"/>
  <c r="H27" i="23"/>
  <c r="J27" i="23" s="1"/>
  <c r="K28" i="23" s="1"/>
  <c r="AK28" i="23" s="1"/>
  <c r="A29" i="23"/>
  <c r="B29" i="23" s="1"/>
  <c r="P28" i="23"/>
  <c r="K28" i="21"/>
  <c r="H28" i="21"/>
  <c r="J28" i="21" s="1"/>
  <c r="C28" i="21"/>
  <c r="G27" i="21"/>
  <c r="P26" i="21"/>
  <c r="AF24" i="21"/>
  <c r="AB25" i="21"/>
  <c r="W25" i="21"/>
  <c r="AE25" i="21" s="1"/>
  <c r="B29" i="21"/>
  <c r="AF27" i="16"/>
  <c r="P29" i="16"/>
  <c r="G30" i="16"/>
  <c r="AB28" i="16"/>
  <c r="W28" i="16"/>
  <c r="AE28" i="16" s="1"/>
  <c r="D53" i="20"/>
  <c r="B53" i="20"/>
  <c r="G30" i="22"/>
  <c r="P30" i="22" s="1"/>
  <c r="E31" i="29" l="1"/>
  <c r="M30" i="28"/>
  <c r="X30" i="28" s="1"/>
  <c r="AF30" i="28" s="1"/>
  <c r="AC30" i="28"/>
  <c r="X29" i="28"/>
  <c r="AF29" i="28" s="1"/>
  <c r="AG29" i="28" s="1"/>
  <c r="N30" i="28"/>
  <c r="E32" i="28"/>
  <c r="C33" i="28"/>
  <c r="K31" i="28"/>
  <c r="F31" i="28"/>
  <c r="N30" i="29"/>
  <c r="AL30" i="29" s="1"/>
  <c r="AM30" i="29" s="1"/>
  <c r="N30" i="27"/>
  <c r="AN30" i="27" s="1"/>
  <c r="AO30" i="27" s="1"/>
  <c r="A32" i="29"/>
  <c r="B32" i="29" s="1"/>
  <c r="S31" i="29"/>
  <c r="F30" i="29"/>
  <c r="K30" i="29"/>
  <c r="M30" i="29" s="1"/>
  <c r="X29" i="29"/>
  <c r="AF29" i="29" s="1"/>
  <c r="AG28" i="29"/>
  <c r="AC29" i="29"/>
  <c r="AI28" i="27"/>
  <c r="K30" i="27"/>
  <c r="M30" i="27" s="1"/>
  <c r="AE29" i="27"/>
  <c r="A32" i="27"/>
  <c r="B32" i="27" s="1"/>
  <c r="E32" i="27" s="1"/>
  <c r="F32" i="27" s="1"/>
  <c r="S31" i="27"/>
  <c r="Z29" i="27"/>
  <c r="AH29" i="27" s="1"/>
  <c r="AE28" i="26"/>
  <c r="Z28" i="26"/>
  <c r="AH28" i="26" s="1"/>
  <c r="A31" i="26"/>
  <c r="B31" i="26" s="1"/>
  <c r="E31" i="26" s="1"/>
  <c r="K29" i="26"/>
  <c r="M29" i="26" s="1"/>
  <c r="N30" i="26" s="1"/>
  <c r="F29" i="26"/>
  <c r="AI27" i="26"/>
  <c r="S30" i="26"/>
  <c r="J31" i="26"/>
  <c r="Z26" i="24"/>
  <c r="AD26" i="24" s="1"/>
  <c r="B28" i="24"/>
  <c r="P28" i="24"/>
  <c r="A29" i="24"/>
  <c r="C27" i="24"/>
  <c r="H27" i="24"/>
  <c r="J27" i="24" s="1"/>
  <c r="AI25" i="24"/>
  <c r="K26" i="24"/>
  <c r="AI26" i="24" s="1"/>
  <c r="K28" i="14"/>
  <c r="AI28" i="14" s="1"/>
  <c r="AJ28" i="14" s="1"/>
  <c r="AI25" i="22"/>
  <c r="AD26" i="22"/>
  <c r="AF26" i="23"/>
  <c r="AB27" i="23"/>
  <c r="Z29" i="14"/>
  <c r="AD29" i="14" s="1"/>
  <c r="H30" i="14"/>
  <c r="J30" i="14" s="1"/>
  <c r="U30" i="14" s="1"/>
  <c r="AC30" i="14" s="1"/>
  <c r="C30" i="14"/>
  <c r="A32" i="14"/>
  <c r="P31" i="14"/>
  <c r="B31" i="14"/>
  <c r="A30" i="22"/>
  <c r="B29" i="22"/>
  <c r="J27" i="22"/>
  <c r="U27" i="22" s="1"/>
  <c r="AC27" i="22" s="1"/>
  <c r="Z27" i="22"/>
  <c r="K27" i="22"/>
  <c r="H28" i="22"/>
  <c r="C28" i="22"/>
  <c r="K28" i="19"/>
  <c r="AI28" i="19" s="1"/>
  <c r="AD26" i="19"/>
  <c r="D72" i="16"/>
  <c r="E72" i="16" s="1"/>
  <c r="B30" i="19"/>
  <c r="A31" i="19"/>
  <c r="J28" i="19"/>
  <c r="U28" i="19" s="1"/>
  <c r="AC28" i="19" s="1"/>
  <c r="Z28" i="19"/>
  <c r="H29" i="19"/>
  <c r="C29" i="19"/>
  <c r="AD27" i="19"/>
  <c r="P32" i="19"/>
  <c r="G33" i="19"/>
  <c r="AI26" i="22"/>
  <c r="K29" i="21"/>
  <c r="C28" i="23"/>
  <c r="H28" i="23"/>
  <c r="J28" i="23" s="1"/>
  <c r="K29" i="23" s="1"/>
  <c r="AK29" i="23" s="1"/>
  <c r="A30" i="23"/>
  <c r="B30" i="23" s="1"/>
  <c r="P29" i="23"/>
  <c r="W27" i="23"/>
  <c r="AE27" i="23" s="1"/>
  <c r="AB26" i="21"/>
  <c r="W26" i="21"/>
  <c r="AE26" i="21" s="1"/>
  <c r="AF25" i="21"/>
  <c r="G28" i="21"/>
  <c r="P27" i="21"/>
  <c r="H29" i="21"/>
  <c r="J29" i="21" s="1"/>
  <c r="C29" i="21"/>
  <c r="B30" i="21"/>
  <c r="AF28" i="16"/>
  <c r="P30" i="16"/>
  <c r="G31" i="16"/>
  <c r="W29" i="16"/>
  <c r="AE29" i="16" s="1"/>
  <c r="AB29" i="16"/>
  <c r="D54" i="20"/>
  <c r="B54" i="20"/>
  <c r="G31" i="22"/>
  <c r="P31" i="22" s="1"/>
  <c r="AD28" i="19" l="1"/>
  <c r="K28" i="22"/>
  <c r="AG29" i="29"/>
  <c r="E32" i="29"/>
  <c r="AG30" i="28"/>
  <c r="N31" i="28"/>
  <c r="AC31" i="28"/>
  <c r="M31" i="28"/>
  <c r="E33" i="28"/>
  <c r="C34" i="28"/>
  <c r="K32" i="28"/>
  <c r="F32" i="28"/>
  <c r="AI28" i="26"/>
  <c r="Z29" i="26"/>
  <c r="AH29" i="26" s="1"/>
  <c r="K30" i="21"/>
  <c r="AE29" i="26"/>
  <c r="N31" i="29"/>
  <c r="AL31" i="29" s="1"/>
  <c r="AM31" i="29" s="1"/>
  <c r="N31" i="27"/>
  <c r="AN31" i="27" s="1"/>
  <c r="AO31" i="27" s="1"/>
  <c r="K31" i="29"/>
  <c r="M31" i="29" s="1"/>
  <c r="F31" i="29"/>
  <c r="A33" i="29"/>
  <c r="B33" i="29" s="1"/>
  <c r="S32" i="29"/>
  <c r="X30" i="29"/>
  <c r="AF30" i="29" s="1"/>
  <c r="AC30" i="29"/>
  <c r="AI29" i="27"/>
  <c r="A33" i="27"/>
  <c r="B33" i="27" s="1"/>
  <c r="E33" i="27" s="1"/>
  <c r="F33" i="27" s="1"/>
  <c r="S32" i="27"/>
  <c r="Z30" i="27"/>
  <c r="AH30" i="27" s="1"/>
  <c r="K31" i="27"/>
  <c r="M31" i="27" s="1"/>
  <c r="AE30" i="27"/>
  <c r="A32" i="26"/>
  <c r="B32" i="26" s="1"/>
  <c r="E32" i="26" s="1"/>
  <c r="K30" i="26"/>
  <c r="M30" i="26" s="1"/>
  <c r="N31" i="26" s="1"/>
  <c r="F30" i="26"/>
  <c r="S31" i="26"/>
  <c r="J32" i="26"/>
  <c r="K29" i="14"/>
  <c r="K30" i="14" s="1"/>
  <c r="U27" i="24"/>
  <c r="AC27" i="24" s="1"/>
  <c r="Z27" i="24"/>
  <c r="B29" i="24"/>
  <c r="A30" i="24"/>
  <c r="P29" i="24"/>
  <c r="K27" i="24"/>
  <c r="AI27" i="24" s="1"/>
  <c r="H28" i="24"/>
  <c r="C28" i="24"/>
  <c r="K29" i="19"/>
  <c r="AI29" i="19" s="1"/>
  <c r="Z30" i="14"/>
  <c r="AD30" i="14" s="1"/>
  <c r="AD27" i="22"/>
  <c r="W28" i="23"/>
  <c r="AE28" i="23" s="1"/>
  <c r="AB28" i="23"/>
  <c r="A33" i="14"/>
  <c r="B32" i="14"/>
  <c r="P32" i="14"/>
  <c r="H31" i="14"/>
  <c r="J31" i="14" s="1"/>
  <c r="U31" i="14" s="1"/>
  <c r="AC31" i="14" s="1"/>
  <c r="C31" i="14"/>
  <c r="H29" i="22"/>
  <c r="C29" i="22"/>
  <c r="AI27" i="22"/>
  <c r="A31" i="22"/>
  <c r="B30" i="22"/>
  <c r="J28" i="22"/>
  <c r="U28" i="22" s="1"/>
  <c r="AC28" i="22" s="1"/>
  <c r="Z28" i="22"/>
  <c r="D71" i="16"/>
  <c r="E71" i="16" s="1"/>
  <c r="J29" i="19"/>
  <c r="U29" i="19" s="1"/>
  <c r="AC29" i="19" s="1"/>
  <c r="Z29" i="19"/>
  <c r="B31" i="19"/>
  <c r="A32" i="19"/>
  <c r="C30" i="19"/>
  <c r="H30" i="19"/>
  <c r="G34" i="19"/>
  <c r="P33" i="19"/>
  <c r="AF27" i="23"/>
  <c r="H29" i="23"/>
  <c r="J29" i="23" s="1"/>
  <c r="K30" i="23" s="1"/>
  <c r="AK30" i="23" s="1"/>
  <c r="C29" i="23"/>
  <c r="A31" i="23"/>
  <c r="B31" i="23" s="1"/>
  <c r="P30" i="23"/>
  <c r="W27" i="21"/>
  <c r="AE27" i="21" s="1"/>
  <c r="AB27" i="21"/>
  <c r="G29" i="21"/>
  <c r="P28" i="21"/>
  <c r="C30" i="21"/>
  <c r="H30" i="21"/>
  <c r="J30" i="21" s="1"/>
  <c r="B31" i="21"/>
  <c r="AF26" i="21"/>
  <c r="AF29" i="16"/>
  <c r="P31" i="16"/>
  <c r="G32" i="16"/>
  <c r="AB30" i="16"/>
  <c r="W30" i="16"/>
  <c r="AE30" i="16" s="1"/>
  <c r="D55" i="20"/>
  <c r="B55" i="20"/>
  <c r="G32" i="22"/>
  <c r="P32" i="22" s="1"/>
  <c r="AI28" i="22"/>
  <c r="E33" i="29" l="1"/>
  <c r="M32" i="28"/>
  <c r="AC32" i="28"/>
  <c r="K33" i="28"/>
  <c r="F33" i="28"/>
  <c r="C35" i="28"/>
  <c r="E34" i="28"/>
  <c r="X31" i="28"/>
  <c r="AF31" i="28" s="1"/>
  <c r="AG31" i="28" s="1"/>
  <c r="N32" i="28"/>
  <c r="K31" i="21"/>
  <c r="AI29" i="26"/>
  <c r="N32" i="29"/>
  <c r="AL32" i="29" s="1"/>
  <c r="AM32" i="29" s="1"/>
  <c r="N32" i="27"/>
  <c r="AN32" i="27" s="1"/>
  <c r="AC31" i="29"/>
  <c r="X31" i="29"/>
  <c r="AF31" i="29" s="1"/>
  <c r="AG30" i="29"/>
  <c r="F32" i="29"/>
  <c r="K32" i="29"/>
  <c r="M32" i="29" s="1"/>
  <c r="X32" i="29" s="1"/>
  <c r="AF32" i="29" s="1"/>
  <c r="A34" i="29"/>
  <c r="B34" i="29" s="1"/>
  <c r="S33" i="29"/>
  <c r="Z31" i="27"/>
  <c r="AH31" i="27" s="1"/>
  <c r="AE31" i="27"/>
  <c r="AI30" i="27"/>
  <c r="A34" i="27"/>
  <c r="B34" i="27" s="1"/>
  <c r="E34" i="27" s="1"/>
  <c r="F34" i="27" s="1"/>
  <c r="S33" i="27"/>
  <c r="K32" i="27"/>
  <c r="M32" i="27" s="1"/>
  <c r="AE30" i="26"/>
  <c r="Z30" i="26"/>
  <c r="AH30" i="26" s="1"/>
  <c r="F31" i="26"/>
  <c r="K31" i="26"/>
  <c r="M31" i="26" s="1"/>
  <c r="N32" i="26" s="1"/>
  <c r="A33" i="26"/>
  <c r="B33" i="26" s="1"/>
  <c r="E33" i="26" s="1"/>
  <c r="J33" i="26"/>
  <c r="S32" i="26"/>
  <c r="AI29" i="14"/>
  <c r="AJ29" i="14" s="1"/>
  <c r="AD27" i="24"/>
  <c r="J28" i="24"/>
  <c r="Z28" i="24"/>
  <c r="B30" i="24"/>
  <c r="A31" i="24"/>
  <c r="P30" i="24"/>
  <c r="C29" i="24"/>
  <c r="H29" i="24"/>
  <c r="J29" i="24" s="1"/>
  <c r="K28" i="24"/>
  <c r="AI28" i="24" s="1"/>
  <c r="AD28" i="22"/>
  <c r="AF28" i="23"/>
  <c r="W29" i="23"/>
  <c r="AE29" i="23" s="1"/>
  <c r="AB29" i="23"/>
  <c r="H32" i="14"/>
  <c r="J32" i="14" s="1"/>
  <c r="U32" i="14" s="1"/>
  <c r="AC32" i="14" s="1"/>
  <c r="C32" i="14"/>
  <c r="K31" i="14"/>
  <c r="AI30" i="14"/>
  <c r="AJ30" i="14" s="1"/>
  <c r="A34" i="14"/>
  <c r="B33" i="14"/>
  <c r="P33" i="14"/>
  <c r="Z31" i="14"/>
  <c r="AD31" i="14" s="1"/>
  <c r="J29" i="22"/>
  <c r="U29" i="22" s="1"/>
  <c r="AC29" i="22" s="1"/>
  <c r="Z29" i="22"/>
  <c r="AD29" i="22" s="1"/>
  <c r="H30" i="22"/>
  <c r="C30" i="22"/>
  <c r="A32" i="22"/>
  <c r="B31" i="22"/>
  <c r="K29" i="22"/>
  <c r="AI29" i="22" s="1"/>
  <c r="K30" i="19"/>
  <c r="AI30" i="19" s="1"/>
  <c r="D70" i="16"/>
  <c r="E70" i="16" s="1"/>
  <c r="B32" i="19"/>
  <c r="A33" i="19"/>
  <c r="J30" i="19"/>
  <c r="U30" i="19" s="1"/>
  <c r="AC30" i="19" s="1"/>
  <c r="Z30" i="19"/>
  <c r="C31" i="19"/>
  <c r="H31" i="19"/>
  <c r="AD29" i="19"/>
  <c r="P34" i="19"/>
  <c r="G35" i="19"/>
  <c r="AF27" i="21"/>
  <c r="A32" i="23"/>
  <c r="B32" i="23" s="1"/>
  <c r="P31" i="23"/>
  <c r="C30" i="23"/>
  <c r="H30" i="23"/>
  <c r="J30" i="23" s="1"/>
  <c r="K31" i="23" s="1"/>
  <c r="AK31" i="23" s="1"/>
  <c r="B32" i="21"/>
  <c r="W28" i="21"/>
  <c r="AE28" i="21" s="1"/>
  <c r="AB28" i="21"/>
  <c r="G30" i="21"/>
  <c r="P29" i="21"/>
  <c r="C31" i="21"/>
  <c r="H31" i="21"/>
  <c r="J31" i="21" s="1"/>
  <c r="K32" i="21" s="1"/>
  <c r="AF30" i="16"/>
  <c r="G33" i="16"/>
  <c r="P32" i="16"/>
  <c r="AB31" i="16"/>
  <c r="W31" i="16"/>
  <c r="AE31" i="16" s="1"/>
  <c r="D56" i="20"/>
  <c r="B56" i="20"/>
  <c r="G33" i="22"/>
  <c r="P33" i="22" s="1"/>
  <c r="AO32" i="27" l="1"/>
  <c r="AG31" i="29"/>
  <c r="AC32" i="29"/>
  <c r="AG32" i="29" s="1"/>
  <c r="E34" i="29"/>
  <c r="K34" i="28"/>
  <c r="F34" i="28"/>
  <c r="C36" i="28"/>
  <c r="E35" i="28"/>
  <c r="M33" i="28"/>
  <c r="X33" i="28" s="1"/>
  <c r="AF33" i="28" s="1"/>
  <c r="AC33" i="28"/>
  <c r="X32" i="28"/>
  <c r="AF32" i="28" s="1"/>
  <c r="AG32" i="28" s="1"/>
  <c r="N33" i="28"/>
  <c r="AF29" i="23"/>
  <c r="AF28" i="21"/>
  <c r="Z31" i="26"/>
  <c r="AH31" i="26" s="1"/>
  <c r="AE31" i="26"/>
  <c r="N33" i="29"/>
  <c r="AL33" i="29" s="1"/>
  <c r="AM33" i="29" s="1"/>
  <c r="N33" i="27"/>
  <c r="AN33" i="27" s="1"/>
  <c r="AO33" i="27" s="1"/>
  <c r="K33" i="29"/>
  <c r="M33" i="29" s="1"/>
  <c r="F33" i="29"/>
  <c r="A35" i="29"/>
  <c r="B35" i="29" s="1"/>
  <c r="S34" i="29"/>
  <c r="Z32" i="27"/>
  <c r="AH32" i="27" s="1"/>
  <c r="AE32" i="27"/>
  <c r="AI31" i="27"/>
  <c r="K33" i="27"/>
  <c r="M33" i="27" s="1"/>
  <c r="A35" i="27"/>
  <c r="B35" i="27" s="1"/>
  <c r="E35" i="27" s="1"/>
  <c r="F35" i="27" s="1"/>
  <c r="S34" i="27"/>
  <c r="AI30" i="26"/>
  <c r="A34" i="26"/>
  <c r="B34" i="26" s="1"/>
  <c r="E34" i="26" s="1"/>
  <c r="F32" i="26"/>
  <c r="K32" i="26"/>
  <c r="M32" i="26" s="1"/>
  <c r="N33" i="26" s="1"/>
  <c r="S33" i="26"/>
  <c r="J34" i="26"/>
  <c r="U29" i="24"/>
  <c r="AC29" i="24" s="1"/>
  <c r="B31" i="24"/>
  <c r="A32" i="24"/>
  <c r="P31" i="24"/>
  <c r="H30" i="24"/>
  <c r="J30" i="24" s="1"/>
  <c r="C30" i="24"/>
  <c r="Z29" i="24"/>
  <c r="U28" i="24"/>
  <c r="AC28" i="24" s="1"/>
  <c r="AD28" i="24" s="1"/>
  <c r="K29" i="24"/>
  <c r="AI29" i="24" s="1"/>
  <c r="Z32" i="14"/>
  <c r="AD32" i="14" s="1"/>
  <c r="AB30" i="23"/>
  <c r="K30" i="22"/>
  <c r="AI30" i="22" s="1"/>
  <c r="H33" i="14"/>
  <c r="J33" i="14" s="1"/>
  <c r="U33" i="14" s="1"/>
  <c r="AC33" i="14" s="1"/>
  <c r="C33" i="14"/>
  <c r="A35" i="14"/>
  <c r="P34" i="14"/>
  <c r="B34" i="14"/>
  <c r="K32" i="14"/>
  <c r="AI31" i="14"/>
  <c r="AJ31" i="14" s="1"/>
  <c r="H31" i="22"/>
  <c r="C31" i="22"/>
  <c r="A33" i="22"/>
  <c r="B32" i="22"/>
  <c r="J30" i="22"/>
  <c r="U30" i="22" s="1"/>
  <c r="AC30" i="22" s="1"/>
  <c r="Z30" i="22"/>
  <c r="AD30" i="19"/>
  <c r="D69" i="16"/>
  <c r="E69" i="16" s="1"/>
  <c r="B33" i="19"/>
  <c r="A34" i="19"/>
  <c r="J31" i="19"/>
  <c r="U31" i="19" s="1"/>
  <c r="AC31" i="19" s="1"/>
  <c r="Z31" i="19"/>
  <c r="K31" i="19"/>
  <c r="AI31" i="19" s="1"/>
  <c r="H32" i="19"/>
  <c r="C32" i="19"/>
  <c r="P35" i="19"/>
  <c r="G36" i="19"/>
  <c r="A33" i="23"/>
  <c r="B33" i="23" s="1"/>
  <c r="P32" i="23"/>
  <c r="W30" i="23"/>
  <c r="AE30" i="23" s="1"/>
  <c r="H31" i="23"/>
  <c r="J31" i="23" s="1"/>
  <c r="K32" i="23" s="1"/>
  <c r="AK32" i="23" s="1"/>
  <c r="C31" i="23"/>
  <c r="W29" i="21"/>
  <c r="AE29" i="21" s="1"/>
  <c r="AB29" i="21"/>
  <c r="G31" i="21"/>
  <c r="P30" i="21"/>
  <c r="B33" i="21"/>
  <c r="H32" i="21"/>
  <c r="J32" i="21" s="1"/>
  <c r="K33" i="21" s="1"/>
  <c r="C32" i="21"/>
  <c r="AF31" i="16"/>
  <c r="W32" i="16"/>
  <c r="AE32" i="16" s="1"/>
  <c r="AB32" i="16"/>
  <c r="P33" i="16"/>
  <c r="G34" i="16"/>
  <c r="D57" i="20"/>
  <c r="B57" i="20"/>
  <c r="G34" i="22"/>
  <c r="P34" i="22" s="1"/>
  <c r="AG33" i="28" l="1"/>
  <c r="E35" i="29"/>
  <c r="N34" i="28"/>
  <c r="K35" i="28"/>
  <c r="F35" i="28"/>
  <c r="C37" i="28"/>
  <c r="E36" i="28"/>
  <c r="M34" i="28"/>
  <c r="AC34" i="28"/>
  <c r="AI31" i="26"/>
  <c r="Z32" i="26"/>
  <c r="AH32" i="26" s="1"/>
  <c r="N34" i="29"/>
  <c r="AL34" i="29" s="1"/>
  <c r="AM34" i="29" s="1"/>
  <c r="N34" i="27"/>
  <c r="AN34" i="27" s="1"/>
  <c r="AO34" i="27" s="1"/>
  <c r="AI32" i="27"/>
  <c r="X33" i="29"/>
  <c r="AF33" i="29" s="1"/>
  <c r="AC33" i="29"/>
  <c r="A36" i="29"/>
  <c r="B36" i="29" s="1"/>
  <c r="S35" i="29"/>
  <c r="F34" i="29"/>
  <c r="K34" i="29"/>
  <c r="M34" i="29" s="1"/>
  <c r="Z33" i="27"/>
  <c r="AH33" i="27" s="1"/>
  <c r="AE33" i="27"/>
  <c r="S35" i="27"/>
  <c r="A36" i="27"/>
  <c r="B36" i="27" s="1"/>
  <c r="E36" i="27" s="1"/>
  <c r="F36" i="27" s="1"/>
  <c r="K34" i="27"/>
  <c r="M34" i="27" s="1"/>
  <c r="AE32" i="26"/>
  <c r="A35" i="26"/>
  <c r="B35" i="26" s="1"/>
  <c r="E35" i="26" s="1"/>
  <c r="K33" i="26"/>
  <c r="M33" i="26" s="1"/>
  <c r="N34" i="26" s="1"/>
  <c r="F33" i="26"/>
  <c r="S34" i="26"/>
  <c r="J35" i="26"/>
  <c r="K30" i="24"/>
  <c r="AI30" i="24" s="1"/>
  <c r="AD29" i="24"/>
  <c r="B32" i="24"/>
  <c r="A33" i="24"/>
  <c r="P32" i="24"/>
  <c r="C31" i="24"/>
  <c r="H31" i="24"/>
  <c r="J31" i="24" s="1"/>
  <c r="U31" i="24" s="1"/>
  <c r="AC31" i="24" s="1"/>
  <c r="U30" i="24"/>
  <c r="AC30" i="24" s="1"/>
  <c r="Z30" i="24"/>
  <c r="Z33" i="14"/>
  <c r="AD33" i="14" s="1"/>
  <c r="AD30" i="22"/>
  <c r="AF30" i="23"/>
  <c r="AB31" i="23"/>
  <c r="AF29" i="21"/>
  <c r="AF32" i="16"/>
  <c r="K33" i="14"/>
  <c r="AI32" i="14"/>
  <c r="AJ32" i="14" s="1"/>
  <c r="A36" i="14"/>
  <c r="B35" i="14"/>
  <c r="P35" i="14"/>
  <c r="H34" i="14"/>
  <c r="J34" i="14" s="1"/>
  <c r="U34" i="14" s="1"/>
  <c r="AC34" i="14" s="1"/>
  <c r="C34" i="14"/>
  <c r="J31" i="22"/>
  <c r="U31" i="22" s="1"/>
  <c r="AC31" i="22" s="1"/>
  <c r="Z31" i="22"/>
  <c r="K31" i="22"/>
  <c r="AI31" i="22" s="1"/>
  <c r="H32" i="22"/>
  <c r="C32" i="22"/>
  <c r="A34" i="22"/>
  <c r="B33" i="22"/>
  <c r="D68" i="16"/>
  <c r="E68" i="16" s="1"/>
  <c r="J32" i="19"/>
  <c r="U32" i="19" s="1"/>
  <c r="AC32" i="19" s="1"/>
  <c r="Z32" i="19"/>
  <c r="AD31" i="19"/>
  <c r="K32" i="19"/>
  <c r="AI32" i="19" s="1"/>
  <c r="B34" i="19"/>
  <c r="A35" i="19"/>
  <c r="H33" i="19"/>
  <c r="C33" i="19"/>
  <c r="P36" i="19"/>
  <c r="G37" i="19"/>
  <c r="W31" i="23"/>
  <c r="AE31" i="23" s="1"/>
  <c r="P33" i="23"/>
  <c r="A34" i="23"/>
  <c r="B34" i="23" s="1"/>
  <c r="H32" i="23"/>
  <c r="J32" i="23" s="1"/>
  <c r="K33" i="23" s="1"/>
  <c r="AK33" i="23" s="1"/>
  <c r="C32" i="23"/>
  <c r="B34" i="21"/>
  <c r="G32" i="21"/>
  <c r="P31" i="21"/>
  <c r="C33" i="21"/>
  <c r="H33" i="21"/>
  <c r="J33" i="21" s="1"/>
  <c r="K34" i="21" s="1"/>
  <c r="W30" i="21"/>
  <c r="AE30" i="21" s="1"/>
  <c r="AB30" i="21"/>
  <c r="AB33" i="16"/>
  <c r="W33" i="16"/>
  <c r="AE33" i="16" s="1"/>
  <c r="P34" i="16"/>
  <c r="G35" i="16"/>
  <c r="D58" i="20"/>
  <c r="B58" i="20"/>
  <c r="G35" i="22"/>
  <c r="P35" i="22" s="1"/>
  <c r="E36" i="29" l="1"/>
  <c r="Z33" i="26"/>
  <c r="AH33" i="26" s="1"/>
  <c r="X34" i="28"/>
  <c r="AF34" i="28" s="1"/>
  <c r="AG34" i="28" s="1"/>
  <c r="N35" i="28"/>
  <c r="K36" i="28"/>
  <c r="F36" i="28"/>
  <c r="E37" i="28"/>
  <c r="C38" i="28"/>
  <c r="M35" i="28"/>
  <c r="X35" i="28" s="1"/>
  <c r="AF35" i="28" s="1"/>
  <c r="AC35" i="28"/>
  <c r="AI32" i="26"/>
  <c r="AI33" i="27"/>
  <c r="AE33" i="26"/>
  <c r="N35" i="29"/>
  <c r="AL35" i="29" s="1"/>
  <c r="AM35" i="29" s="1"/>
  <c r="N35" i="27"/>
  <c r="AN35" i="27" s="1"/>
  <c r="AO35" i="27" s="1"/>
  <c r="X34" i="29"/>
  <c r="AF34" i="29" s="1"/>
  <c r="AC34" i="29"/>
  <c r="A37" i="29"/>
  <c r="B37" i="29" s="1"/>
  <c r="S36" i="29"/>
  <c r="K35" i="29"/>
  <c r="M35" i="29" s="1"/>
  <c r="F35" i="29"/>
  <c r="AG33" i="29"/>
  <c r="AE34" i="27"/>
  <c r="Z34" i="27"/>
  <c r="AH34" i="27" s="1"/>
  <c r="A37" i="27"/>
  <c r="B37" i="27" s="1"/>
  <c r="E37" i="27" s="1"/>
  <c r="F37" i="27" s="1"/>
  <c r="S36" i="27"/>
  <c r="K35" i="27"/>
  <c r="M35" i="27" s="1"/>
  <c r="K34" i="26"/>
  <c r="M34" i="26" s="1"/>
  <c r="N35" i="26" s="1"/>
  <c r="F34" i="26"/>
  <c r="A36" i="26"/>
  <c r="B36" i="26" s="1"/>
  <c r="E36" i="26" s="1"/>
  <c r="S35" i="26"/>
  <c r="J36" i="26"/>
  <c r="AD30" i="24"/>
  <c r="K31" i="24"/>
  <c r="AI31" i="24" s="1"/>
  <c r="Z31" i="24"/>
  <c r="AD31" i="24" s="1"/>
  <c r="B33" i="24"/>
  <c r="A34" i="24"/>
  <c r="P33" i="24"/>
  <c r="H32" i="24"/>
  <c r="J32" i="24" s="1"/>
  <c r="C32" i="24"/>
  <c r="K32" i="22"/>
  <c r="AI32" i="22" s="1"/>
  <c r="AB32" i="23"/>
  <c r="AD31" i="22"/>
  <c r="H35" i="14"/>
  <c r="J35" i="14" s="1"/>
  <c r="U35" i="14" s="1"/>
  <c r="AC35" i="14" s="1"/>
  <c r="C35" i="14"/>
  <c r="A37" i="14"/>
  <c r="B36" i="14"/>
  <c r="P36" i="14"/>
  <c r="Z34" i="14"/>
  <c r="AD34" i="14" s="1"/>
  <c r="K34" i="14"/>
  <c r="AI33" i="14"/>
  <c r="AJ33" i="14" s="1"/>
  <c r="J32" i="22"/>
  <c r="U32" i="22" s="1"/>
  <c r="AC32" i="22" s="1"/>
  <c r="Z32" i="22"/>
  <c r="H33" i="22"/>
  <c r="C33" i="22"/>
  <c r="A35" i="22"/>
  <c r="B34" i="22"/>
  <c r="AD32" i="19"/>
  <c r="D67" i="16"/>
  <c r="E67" i="16" s="1"/>
  <c r="J33" i="19"/>
  <c r="U33" i="19" s="1"/>
  <c r="AC33" i="19" s="1"/>
  <c r="Z33" i="19"/>
  <c r="B35" i="19"/>
  <c r="A36" i="19"/>
  <c r="C34" i="19"/>
  <c r="H34" i="19"/>
  <c r="K33" i="19"/>
  <c r="P37" i="19"/>
  <c r="G38" i="19"/>
  <c r="AI33" i="19"/>
  <c r="W32" i="23"/>
  <c r="AE32" i="23" s="1"/>
  <c r="A35" i="23"/>
  <c r="B35" i="23" s="1"/>
  <c r="P34" i="23"/>
  <c r="C33" i="23"/>
  <c r="H33" i="23"/>
  <c r="J33" i="23" s="1"/>
  <c r="K34" i="23" s="1"/>
  <c r="AK34" i="23" s="1"/>
  <c r="AF31" i="23"/>
  <c r="AB31" i="21"/>
  <c r="W31" i="21"/>
  <c r="AE31" i="21" s="1"/>
  <c r="G33" i="21"/>
  <c r="P32" i="21"/>
  <c r="H34" i="21"/>
  <c r="J34" i="21" s="1"/>
  <c r="K35" i="21" s="1"/>
  <c r="C34" i="21"/>
  <c r="B35" i="21"/>
  <c r="AF30" i="21"/>
  <c r="AF33" i="16"/>
  <c r="G36" i="16"/>
  <c r="P35" i="16"/>
  <c r="W34" i="16"/>
  <c r="AE34" i="16" s="1"/>
  <c r="AB34" i="16"/>
  <c r="D59" i="20"/>
  <c r="B59" i="20"/>
  <c r="G36" i="22"/>
  <c r="P36" i="22" s="1"/>
  <c r="AI33" i="26" l="1"/>
  <c r="AG34" i="29"/>
  <c r="E37" i="29"/>
  <c r="AC36" i="28"/>
  <c r="M36" i="28"/>
  <c r="E38" i="28"/>
  <c r="C39" i="28"/>
  <c r="K37" i="28"/>
  <c r="F37" i="28"/>
  <c r="N36" i="28"/>
  <c r="AG35" i="28"/>
  <c r="Z34" i="26"/>
  <c r="AH34" i="26" s="1"/>
  <c r="AE34" i="26"/>
  <c r="N36" i="29"/>
  <c r="AL36" i="29" s="1"/>
  <c r="AM36" i="29" s="1"/>
  <c r="N36" i="27"/>
  <c r="AN36" i="27" s="1"/>
  <c r="AO36" i="27" s="1"/>
  <c r="X35" i="29"/>
  <c r="AF35" i="29" s="1"/>
  <c r="A38" i="29"/>
  <c r="B38" i="29" s="1"/>
  <c r="S37" i="29"/>
  <c r="AC35" i="29"/>
  <c r="F36" i="29"/>
  <c r="K36" i="29"/>
  <c r="M36" i="29" s="1"/>
  <c r="K36" i="27"/>
  <c r="M36" i="27" s="1"/>
  <c r="Z35" i="27"/>
  <c r="AH35" i="27" s="1"/>
  <c r="AE35" i="27"/>
  <c r="A38" i="27"/>
  <c r="B38" i="27" s="1"/>
  <c r="E38" i="27" s="1"/>
  <c r="F38" i="27" s="1"/>
  <c r="S37" i="27"/>
  <c r="AI34" i="27"/>
  <c r="A37" i="26"/>
  <c r="B37" i="26" s="1"/>
  <c r="E37" i="26" s="1"/>
  <c r="F35" i="26"/>
  <c r="K35" i="26"/>
  <c r="M35" i="26" s="1"/>
  <c r="N36" i="26" s="1"/>
  <c r="S36" i="26"/>
  <c r="J37" i="26"/>
  <c r="K32" i="24"/>
  <c r="AI32" i="24" s="1"/>
  <c r="B34" i="24"/>
  <c r="P34" i="24"/>
  <c r="A35" i="24"/>
  <c r="C33" i="24"/>
  <c r="H33" i="24"/>
  <c r="J33" i="24" s="1"/>
  <c r="K33" i="24"/>
  <c r="AI33" i="24" s="1"/>
  <c r="U32" i="24"/>
  <c r="AC32" i="24" s="1"/>
  <c r="Z32" i="24"/>
  <c r="Z35" i="14"/>
  <c r="AD35" i="14" s="1"/>
  <c r="AF32" i="23"/>
  <c r="AB33" i="23"/>
  <c r="AD32" i="22"/>
  <c r="K33" i="22"/>
  <c r="AI33" i="22" s="1"/>
  <c r="AF34" i="16"/>
  <c r="H36" i="14"/>
  <c r="J36" i="14" s="1"/>
  <c r="U36" i="14" s="1"/>
  <c r="AC36" i="14" s="1"/>
  <c r="C36" i="14"/>
  <c r="A38" i="14"/>
  <c r="P37" i="14"/>
  <c r="B37" i="14"/>
  <c r="K35" i="14"/>
  <c r="AI34" i="14"/>
  <c r="AJ34" i="14" s="1"/>
  <c r="J33" i="22"/>
  <c r="U33" i="22" s="1"/>
  <c r="AC33" i="22" s="1"/>
  <c r="Z33" i="22"/>
  <c r="C34" i="22"/>
  <c r="H34" i="22"/>
  <c r="A36" i="22"/>
  <c r="B35" i="22"/>
  <c r="AD33" i="19"/>
  <c r="K34" i="19"/>
  <c r="AI34" i="19" s="1"/>
  <c r="D66" i="16"/>
  <c r="E66" i="16" s="1"/>
  <c r="B36" i="19"/>
  <c r="A37" i="19"/>
  <c r="C35" i="19"/>
  <c r="H35" i="19"/>
  <c r="J34" i="19"/>
  <c r="U34" i="19" s="1"/>
  <c r="AC34" i="19" s="1"/>
  <c r="Z34" i="19"/>
  <c r="G39" i="19"/>
  <c r="P38" i="19"/>
  <c r="H34" i="23"/>
  <c r="J34" i="23" s="1"/>
  <c r="K35" i="23" s="1"/>
  <c r="AK35" i="23" s="1"/>
  <c r="C34" i="23"/>
  <c r="A36" i="23"/>
  <c r="B36" i="23" s="1"/>
  <c r="P35" i="23"/>
  <c r="W33" i="23"/>
  <c r="AE33" i="23" s="1"/>
  <c r="AB32" i="21"/>
  <c r="W32" i="21"/>
  <c r="AE32" i="21" s="1"/>
  <c r="G34" i="21"/>
  <c r="P33" i="21"/>
  <c r="AF31" i="21"/>
  <c r="B36" i="21"/>
  <c r="C35" i="21"/>
  <c r="H35" i="21"/>
  <c r="J35" i="21" s="1"/>
  <c r="K36" i="21" s="1"/>
  <c r="AB35" i="16"/>
  <c r="W35" i="16"/>
  <c r="AE35" i="16" s="1"/>
  <c r="P36" i="16"/>
  <c r="G37" i="16"/>
  <c r="D60" i="20"/>
  <c r="B60" i="20"/>
  <c r="G37" i="22"/>
  <c r="P37" i="22" s="1"/>
  <c r="AD33" i="22" l="1"/>
  <c r="E38" i="29"/>
  <c r="M37" i="28"/>
  <c r="X37" i="28" s="1"/>
  <c r="AF37" i="28" s="1"/>
  <c r="AC37" i="28"/>
  <c r="C40" i="28"/>
  <c r="E39" i="28"/>
  <c r="K38" i="28"/>
  <c r="F38" i="28"/>
  <c r="X36" i="28"/>
  <c r="AF36" i="28" s="1"/>
  <c r="AG36" i="28" s="1"/>
  <c r="N37" i="28"/>
  <c r="AI34" i="26"/>
  <c r="AE35" i="26"/>
  <c r="Z35" i="26"/>
  <c r="AH35" i="26" s="1"/>
  <c r="N37" i="29"/>
  <c r="AL37" i="29" s="1"/>
  <c r="AM37" i="29" s="1"/>
  <c r="N37" i="27"/>
  <c r="AN37" i="27" s="1"/>
  <c r="AO37" i="27" s="1"/>
  <c r="AG35" i="29"/>
  <c r="A39" i="29"/>
  <c r="B39" i="29" s="1"/>
  <c r="S38" i="29"/>
  <c r="X36" i="29"/>
  <c r="AF36" i="29" s="1"/>
  <c r="K37" i="29"/>
  <c r="M37" i="29" s="1"/>
  <c r="F37" i="29"/>
  <c r="AC36" i="29"/>
  <c r="AI35" i="27"/>
  <c r="AE36" i="27"/>
  <c r="Z36" i="27"/>
  <c r="AH36" i="27" s="1"/>
  <c r="K37" i="27"/>
  <c r="M37" i="27" s="1"/>
  <c r="A39" i="27"/>
  <c r="B39" i="27" s="1"/>
  <c r="E39" i="27" s="1"/>
  <c r="F39" i="27" s="1"/>
  <c r="S38" i="27"/>
  <c r="A38" i="26"/>
  <c r="B38" i="26" s="1"/>
  <c r="E38" i="26" s="1"/>
  <c r="F36" i="26"/>
  <c r="K36" i="26"/>
  <c r="M36" i="26" s="1"/>
  <c r="N37" i="26" s="1"/>
  <c r="S37" i="26"/>
  <c r="J38" i="26"/>
  <c r="K34" i="24"/>
  <c r="AI34" i="24" s="1"/>
  <c r="U33" i="24"/>
  <c r="AC33" i="24" s="1"/>
  <c r="B35" i="24"/>
  <c r="P35" i="24"/>
  <c r="A36" i="24"/>
  <c r="C34" i="24"/>
  <c r="H34" i="24"/>
  <c r="AD32" i="24"/>
  <c r="Z33" i="24"/>
  <c r="AF33" i="23"/>
  <c r="AB34" i="23"/>
  <c r="Z36" i="14"/>
  <c r="AD36" i="14" s="1"/>
  <c r="K36" i="14"/>
  <c r="AI35" i="14"/>
  <c r="AJ35" i="14" s="1"/>
  <c r="H37" i="14"/>
  <c r="J37" i="14" s="1"/>
  <c r="U37" i="14" s="1"/>
  <c r="AC37" i="14" s="1"/>
  <c r="C37" i="14"/>
  <c r="A39" i="14"/>
  <c r="P38" i="14"/>
  <c r="B38" i="14"/>
  <c r="H35" i="22"/>
  <c r="C35" i="22"/>
  <c r="A37" i="22"/>
  <c r="B36" i="22"/>
  <c r="J34" i="22"/>
  <c r="U34" i="22" s="1"/>
  <c r="AC34" i="22" s="1"/>
  <c r="Z34" i="22"/>
  <c r="K34" i="22"/>
  <c r="AI34" i="22" s="1"/>
  <c r="K35" i="19"/>
  <c r="AI35" i="19" s="1"/>
  <c r="AD34" i="19"/>
  <c r="D65" i="16"/>
  <c r="E65" i="16" s="1"/>
  <c r="J35" i="19"/>
  <c r="U35" i="19" s="1"/>
  <c r="AC35" i="19" s="1"/>
  <c r="Z35" i="19"/>
  <c r="B37" i="19"/>
  <c r="A38" i="19"/>
  <c r="C36" i="19"/>
  <c r="H36" i="19"/>
  <c r="G40" i="19"/>
  <c r="P39" i="19"/>
  <c r="A37" i="23"/>
  <c r="B37" i="23" s="1"/>
  <c r="P36" i="23"/>
  <c r="C35" i="23"/>
  <c r="H35" i="23"/>
  <c r="J35" i="23" s="1"/>
  <c r="K36" i="23" s="1"/>
  <c r="AK36" i="23" s="1"/>
  <c r="W34" i="23"/>
  <c r="AE34" i="23" s="1"/>
  <c r="H36" i="21"/>
  <c r="J36" i="21" s="1"/>
  <c r="K37" i="21" s="1"/>
  <c r="C36" i="21"/>
  <c r="B37" i="21"/>
  <c r="AB33" i="21"/>
  <c r="W33" i="21"/>
  <c r="AE33" i="21" s="1"/>
  <c r="G35" i="21"/>
  <c r="P34" i="21"/>
  <c r="AF32" i="21"/>
  <c r="AF35" i="16"/>
  <c r="G38" i="16"/>
  <c r="P37" i="16"/>
  <c r="AB36" i="16"/>
  <c r="W36" i="16"/>
  <c r="AE36" i="16" s="1"/>
  <c r="D61" i="20"/>
  <c r="B61" i="20"/>
  <c r="G38" i="22"/>
  <c r="P38" i="22" s="1"/>
  <c r="E39" i="29" l="1"/>
  <c r="N38" i="28"/>
  <c r="AG37" i="28"/>
  <c r="M38" i="28"/>
  <c r="AC38" i="28"/>
  <c r="E40" i="28"/>
  <c r="C41" i="28"/>
  <c r="K39" i="28"/>
  <c r="F39" i="28"/>
  <c r="AI35" i="26"/>
  <c r="AE36" i="26"/>
  <c r="N38" i="29"/>
  <c r="AL38" i="29" s="1"/>
  <c r="AM38" i="29" s="1"/>
  <c r="N38" i="27"/>
  <c r="AN38" i="27" s="1"/>
  <c r="AO38" i="27" s="1"/>
  <c r="A40" i="29"/>
  <c r="B40" i="29" s="1"/>
  <c r="S39" i="29"/>
  <c r="F38" i="29"/>
  <c r="K38" i="29"/>
  <c r="M38" i="29" s="1"/>
  <c r="AG36" i="29"/>
  <c r="X37" i="29"/>
  <c r="AF37" i="29" s="1"/>
  <c r="AC37" i="29"/>
  <c r="AI36" i="27"/>
  <c r="K38" i="27"/>
  <c r="M38" i="27" s="1"/>
  <c r="A40" i="27"/>
  <c r="B40" i="27" s="1"/>
  <c r="E40" i="27" s="1"/>
  <c r="F40" i="27" s="1"/>
  <c r="S39" i="27"/>
  <c r="AE37" i="27"/>
  <c r="Z37" i="27"/>
  <c r="AH37" i="27" s="1"/>
  <c r="Z36" i="26"/>
  <c r="AH36" i="26" s="1"/>
  <c r="A39" i="26"/>
  <c r="B39" i="26" s="1"/>
  <c r="E39" i="26" s="1"/>
  <c r="F37" i="26"/>
  <c r="K37" i="26"/>
  <c r="M37" i="26" s="1"/>
  <c r="N38" i="26" s="1"/>
  <c r="S38" i="26"/>
  <c r="J39" i="26"/>
  <c r="J34" i="24"/>
  <c r="Z34" i="24"/>
  <c r="B36" i="24"/>
  <c r="P36" i="24"/>
  <c r="A37" i="24"/>
  <c r="C35" i="24"/>
  <c r="H35" i="24"/>
  <c r="J35" i="24" s="1"/>
  <c r="AD33" i="24"/>
  <c r="AF34" i="23"/>
  <c r="AB35" i="23"/>
  <c r="A40" i="14"/>
  <c r="P39" i="14"/>
  <c r="B39" i="14"/>
  <c r="Z37" i="14"/>
  <c r="AD37" i="14" s="1"/>
  <c r="H38" i="14"/>
  <c r="J38" i="14" s="1"/>
  <c r="U38" i="14" s="1"/>
  <c r="AC38" i="14" s="1"/>
  <c r="C38" i="14"/>
  <c r="K37" i="14"/>
  <c r="AI36" i="14"/>
  <c r="AJ36" i="14" s="1"/>
  <c r="H36" i="22"/>
  <c r="C36" i="22"/>
  <c r="A38" i="22"/>
  <c r="B37" i="22"/>
  <c r="AD34" i="22"/>
  <c r="K35" i="22"/>
  <c r="J35" i="22"/>
  <c r="U35" i="22" s="1"/>
  <c r="AC35" i="22" s="1"/>
  <c r="Z35" i="22"/>
  <c r="D64" i="16"/>
  <c r="E64" i="16" s="1"/>
  <c r="K36" i="19"/>
  <c r="AI36" i="19" s="1"/>
  <c r="J36" i="19"/>
  <c r="U36" i="19" s="1"/>
  <c r="AC36" i="19" s="1"/>
  <c r="Z36" i="19"/>
  <c r="C37" i="19"/>
  <c r="H37" i="19"/>
  <c r="B38" i="19"/>
  <c r="A39" i="19"/>
  <c r="AD35" i="19"/>
  <c r="P40" i="19"/>
  <c r="G41" i="19"/>
  <c r="W35" i="23"/>
  <c r="AE35" i="23" s="1"/>
  <c r="C36" i="23"/>
  <c r="H36" i="23"/>
  <c r="J36" i="23" s="1"/>
  <c r="K37" i="23" s="1"/>
  <c r="AK37" i="23" s="1"/>
  <c r="A38" i="23"/>
  <c r="B38" i="23" s="1"/>
  <c r="P37" i="23"/>
  <c r="G36" i="21"/>
  <c r="P35" i="21"/>
  <c r="AF33" i="21"/>
  <c r="H37" i="21"/>
  <c r="J37" i="21" s="1"/>
  <c r="K38" i="21" s="1"/>
  <c r="C37" i="21"/>
  <c r="B38" i="21"/>
  <c r="AB34" i="21"/>
  <c r="W34" i="21"/>
  <c r="AE34" i="21" s="1"/>
  <c r="AF36" i="16"/>
  <c r="AB37" i="16"/>
  <c r="W37" i="16"/>
  <c r="AE37" i="16" s="1"/>
  <c r="G39" i="16"/>
  <c r="P38" i="16"/>
  <c r="D62" i="20"/>
  <c r="B62" i="20"/>
  <c r="G39" i="22"/>
  <c r="P39" i="22" s="1"/>
  <c r="E40" i="29" l="1"/>
  <c r="M39" i="28"/>
  <c r="X39" i="28" s="1"/>
  <c r="AF39" i="28" s="1"/>
  <c r="AC39" i="28"/>
  <c r="E41" i="28"/>
  <c r="C42" i="28"/>
  <c r="K40" i="28"/>
  <c r="F40" i="28"/>
  <c r="X38" i="28"/>
  <c r="AF38" i="28" s="1"/>
  <c r="AG38" i="28" s="1"/>
  <c r="N39" i="28"/>
  <c r="AI36" i="26"/>
  <c r="N39" i="29"/>
  <c r="AL39" i="29" s="1"/>
  <c r="AM39" i="29" s="1"/>
  <c r="N39" i="27"/>
  <c r="AN39" i="27" s="1"/>
  <c r="AO39" i="27" s="1"/>
  <c r="AC38" i="29"/>
  <c r="AG37" i="29"/>
  <c r="K39" i="29"/>
  <c r="M39" i="29" s="1"/>
  <c r="X39" i="29" s="1"/>
  <c r="AF39" i="29" s="1"/>
  <c r="F39" i="29"/>
  <c r="X38" i="29"/>
  <c r="AF38" i="29" s="1"/>
  <c r="A41" i="29"/>
  <c r="B41" i="29" s="1"/>
  <c r="S40" i="29"/>
  <c r="K39" i="27"/>
  <c r="M39" i="27" s="1"/>
  <c r="Z38" i="27"/>
  <c r="AH38" i="27" s="1"/>
  <c r="A41" i="27"/>
  <c r="B41" i="27" s="1"/>
  <c r="E41" i="27" s="1"/>
  <c r="F41" i="27" s="1"/>
  <c r="S40" i="27"/>
  <c r="AI37" i="27"/>
  <c r="AE38" i="27"/>
  <c r="Z37" i="26"/>
  <c r="AH37" i="26" s="1"/>
  <c r="AE37" i="26"/>
  <c r="F38" i="26"/>
  <c r="K38" i="26"/>
  <c r="M38" i="26" s="1"/>
  <c r="N39" i="26" s="1"/>
  <c r="A40" i="26"/>
  <c r="B40" i="26" s="1"/>
  <c r="E40" i="26" s="1"/>
  <c r="J40" i="26"/>
  <c r="S39" i="26"/>
  <c r="U35" i="24"/>
  <c r="AC35" i="24" s="1"/>
  <c r="B37" i="24"/>
  <c r="P37" i="24"/>
  <c r="A38" i="24"/>
  <c r="H36" i="24"/>
  <c r="J36" i="24" s="1"/>
  <c r="C36" i="24"/>
  <c r="K35" i="24"/>
  <c r="AI35" i="24" s="1"/>
  <c r="U34" i="24"/>
  <c r="AC34" i="24" s="1"/>
  <c r="AD34" i="24" s="1"/>
  <c r="Z35" i="24"/>
  <c r="AD36" i="19"/>
  <c r="AF35" i="23"/>
  <c r="AB36" i="23"/>
  <c r="Z38" i="14"/>
  <c r="AD38" i="14" s="1"/>
  <c r="H39" i="14"/>
  <c r="J39" i="14" s="1"/>
  <c r="U39" i="14" s="1"/>
  <c r="AC39" i="14" s="1"/>
  <c r="C39" i="14"/>
  <c r="K38" i="14"/>
  <c r="AI37" i="14"/>
  <c r="AJ37" i="14" s="1"/>
  <c r="A41" i="14"/>
  <c r="B40" i="14"/>
  <c r="P40" i="14"/>
  <c r="J36" i="22"/>
  <c r="U36" i="22" s="1"/>
  <c r="AC36" i="22" s="1"/>
  <c r="Z36" i="22"/>
  <c r="K36" i="22"/>
  <c r="AI36" i="22" s="1"/>
  <c r="AI35" i="22"/>
  <c r="H37" i="22"/>
  <c r="C37" i="22"/>
  <c r="A39" i="22"/>
  <c r="B38" i="22"/>
  <c r="AD35" i="22"/>
  <c r="D63" i="16"/>
  <c r="E63" i="16" s="1"/>
  <c r="B39" i="19"/>
  <c r="A40" i="19"/>
  <c r="C38" i="19"/>
  <c r="H38" i="19"/>
  <c r="J37" i="19"/>
  <c r="U37" i="19" s="1"/>
  <c r="AC37" i="19" s="1"/>
  <c r="Z37" i="19"/>
  <c r="K37" i="19"/>
  <c r="AI37" i="19" s="1"/>
  <c r="G42" i="19"/>
  <c r="P41" i="19"/>
  <c r="A39" i="23"/>
  <c r="B39" i="23" s="1"/>
  <c r="P38" i="23"/>
  <c r="W36" i="23"/>
  <c r="AE36" i="23" s="1"/>
  <c r="H37" i="23"/>
  <c r="J37" i="23" s="1"/>
  <c r="K38" i="23" s="1"/>
  <c r="AK38" i="23" s="1"/>
  <c r="C37" i="23"/>
  <c r="B39" i="21"/>
  <c r="G37" i="21"/>
  <c r="P36" i="21"/>
  <c r="C38" i="21"/>
  <c r="H38" i="21"/>
  <c r="J38" i="21" s="1"/>
  <c r="K39" i="21" s="1"/>
  <c r="AB35" i="21"/>
  <c r="W35" i="21"/>
  <c r="AE35" i="21" s="1"/>
  <c r="AF34" i="21"/>
  <c r="AF37" i="16"/>
  <c r="P39" i="16"/>
  <c r="G40" i="16"/>
  <c r="W38" i="16"/>
  <c r="AE38" i="16" s="1"/>
  <c r="AB38" i="16"/>
  <c r="D63" i="20"/>
  <c r="B63" i="20"/>
  <c r="G40" i="22"/>
  <c r="P40" i="22" s="1"/>
  <c r="AC39" i="29" l="1"/>
  <c r="AG39" i="29" s="1"/>
  <c r="AD35" i="24"/>
  <c r="AG39" i="28"/>
  <c r="E41" i="29"/>
  <c r="N40" i="28"/>
  <c r="AG38" i="29"/>
  <c r="M40" i="28"/>
  <c r="AC40" i="28"/>
  <c r="C43" i="28"/>
  <c r="E42" i="28"/>
  <c r="K41" i="28"/>
  <c r="F41" i="28"/>
  <c r="N40" i="29"/>
  <c r="AL40" i="29" s="1"/>
  <c r="AM40" i="29" s="1"/>
  <c r="N40" i="27"/>
  <c r="AN40" i="27" s="1"/>
  <c r="AO40" i="27" s="1"/>
  <c r="A42" i="29"/>
  <c r="B42" i="29" s="1"/>
  <c r="S41" i="29"/>
  <c r="F40" i="29"/>
  <c r="K40" i="29"/>
  <c r="M40" i="29" s="1"/>
  <c r="K40" i="27"/>
  <c r="M40" i="27" s="1"/>
  <c r="AI38" i="27"/>
  <c r="AE39" i="27"/>
  <c r="Z39" i="27"/>
  <c r="AH39" i="27" s="1"/>
  <c r="A42" i="27"/>
  <c r="B42" i="27" s="1"/>
  <c r="E42" i="27" s="1"/>
  <c r="F42" i="27" s="1"/>
  <c r="S41" i="27"/>
  <c r="AI37" i="26"/>
  <c r="Z38" i="26"/>
  <c r="AH38" i="26" s="1"/>
  <c r="AE38" i="26"/>
  <c r="A41" i="26"/>
  <c r="B41" i="26" s="1"/>
  <c r="E41" i="26" s="1"/>
  <c r="F39" i="26"/>
  <c r="K39" i="26"/>
  <c r="M39" i="26" s="1"/>
  <c r="N40" i="26" s="1"/>
  <c r="J41" i="26"/>
  <c r="S40" i="26"/>
  <c r="Z36" i="24"/>
  <c r="U36" i="24"/>
  <c r="AC36" i="24" s="1"/>
  <c r="B38" i="24"/>
  <c r="A39" i="24"/>
  <c r="P38" i="24"/>
  <c r="C37" i="24"/>
  <c r="H37" i="24"/>
  <c r="J37" i="24" s="1"/>
  <c r="K36" i="24"/>
  <c r="AI36" i="24" s="1"/>
  <c r="AF36" i="23"/>
  <c r="AB37" i="23"/>
  <c r="AF38" i="16"/>
  <c r="AD36" i="22"/>
  <c r="K37" i="22"/>
  <c r="AI37" i="22" s="1"/>
  <c r="A42" i="14"/>
  <c r="B41" i="14"/>
  <c r="P41" i="14"/>
  <c r="K39" i="14"/>
  <c r="AI38" i="14"/>
  <c r="AJ38" i="14" s="1"/>
  <c r="Z39" i="14"/>
  <c r="AD39" i="14" s="1"/>
  <c r="H40" i="14"/>
  <c r="J40" i="14" s="1"/>
  <c r="U40" i="14" s="1"/>
  <c r="AC40" i="14" s="1"/>
  <c r="C40" i="14"/>
  <c r="A40" i="22"/>
  <c r="B39" i="22"/>
  <c r="J37" i="22"/>
  <c r="U37" i="22" s="1"/>
  <c r="AC37" i="22" s="1"/>
  <c r="Z37" i="22"/>
  <c r="H38" i="22"/>
  <c r="C38" i="22"/>
  <c r="AD37" i="19"/>
  <c r="K38" i="19"/>
  <c r="AI38" i="19" s="1"/>
  <c r="D62" i="16"/>
  <c r="E62" i="16" s="1"/>
  <c r="J38" i="19"/>
  <c r="U38" i="19" s="1"/>
  <c r="AC38" i="19" s="1"/>
  <c r="Z38" i="19"/>
  <c r="B40" i="19"/>
  <c r="A41" i="19"/>
  <c r="C39" i="19"/>
  <c r="H39" i="19"/>
  <c r="P42" i="19"/>
  <c r="G43" i="19"/>
  <c r="A40" i="23"/>
  <c r="B40" i="23" s="1"/>
  <c r="P39" i="23"/>
  <c r="C38" i="23"/>
  <c r="H38" i="23"/>
  <c r="J38" i="23" s="1"/>
  <c r="K39" i="23" s="1"/>
  <c r="AK39" i="23" s="1"/>
  <c r="W37" i="23"/>
  <c r="AE37" i="23" s="1"/>
  <c r="AF35" i="21"/>
  <c r="AB36" i="21"/>
  <c r="W36" i="21"/>
  <c r="AE36" i="21" s="1"/>
  <c r="G38" i="21"/>
  <c r="P37" i="21"/>
  <c r="C39" i="21"/>
  <c r="H39" i="21"/>
  <c r="J39" i="21" s="1"/>
  <c r="K40" i="21" s="1"/>
  <c r="B40" i="21"/>
  <c r="P40" i="16"/>
  <c r="G41" i="16"/>
  <c r="AB39" i="16"/>
  <c r="W39" i="16"/>
  <c r="AE39" i="16" s="1"/>
  <c r="D64" i="20"/>
  <c r="B64" i="20"/>
  <c r="G41" i="22"/>
  <c r="P41" i="22" s="1"/>
  <c r="E42" i="29" l="1"/>
  <c r="M41" i="28"/>
  <c r="X41" i="28" s="1"/>
  <c r="AF41" i="28" s="1"/>
  <c r="AC41" i="28"/>
  <c r="K42" i="28"/>
  <c r="F42" i="28"/>
  <c r="X40" i="28"/>
  <c r="AF40" i="28" s="1"/>
  <c r="AG40" i="28" s="1"/>
  <c r="N41" i="28"/>
  <c r="E43" i="28"/>
  <c r="C44" i="28"/>
  <c r="AI38" i="26"/>
  <c r="N41" i="29"/>
  <c r="AL41" i="29" s="1"/>
  <c r="AM41" i="29" s="1"/>
  <c r="N41" i="27"/>
  <c r="AN41" i="27" s="1"/>
  <c r="AO41" i="27" s="1"/>
  <c r="X40" i="29"/>
  <c r="AF40" i="29" s="1"/>
  <c r="AC40" i="29"/>
  <c r="A43" i="29"/>
  <c r="B43" i="29" s="1"/>
  <c r="S42" i="29"/>
  <c r="K41" i="29"/>
  <c r="M41" i="29" s="1"/>
  <c r="F41" i="29"/>
  <c r="AE40" i="27"/>
  <c r="AI39" i="27"/>
  <c r="K41" i="27"/>
  <c r="M41" i="27" s="1"/>
  <c r="A43" i="27"/>
  <c r="B43" i="27" s="1"/>
  <c r="E43" i="27" s="1"/>
  <c r="F43" i="27" s="1"/>
  <c r="S42" i="27"/>
  <c r="Z40" i="27"/>
  <c r="AH40" i="27" s="1"/>
  <c r="Z39" i="26"/>
  <c r="AH39" i="26" s="1"/>
  <c r="AE39" i="26"/>
  <c r="F40" i="26"/>
  <c r="K40" i="26"/>
  <c r="M40" i="26" s="1"/>
  <c r="N41" i="26" s="1"/>
  <c r="A42" i="26"/>
  <c r="B42" i="26" s="1"/>
  <c r="E42" i="26" s="1"/>
  <c r="J42" i="26"/>
  <c r="S41" i="26"/>
  <c r="K37" i="24"/>
  <c r="AI37" i="24" s="1"/>
  <c r="B39" i="24"/>
  <c r="P39" i="24"/>
  <c r="A40" i="24"/>
  <c r="C38" i="24"/>
  <c r="H38" i="24"/>
  <c r="J38" i="24" s="1"/>
  <c r="AD36" i="24"/>
  <c r="Z37" i="24"/>
  <c r="U37" i="24"/>
  <c r="AC37" i="24" s="1"/>
  <c r="AB38" i="23"/>
  <c r="Z40" i="14"/>
  <c r="AD40" i="14" s="1"/>
  <c r="K38" i="22"/>
  <c r="AI38" i="22" s="1"/>
  <c r="AD37" i="22"/>
  <c r="H41" i="14"/>
  <c r="J41" i="14" s="1"/>
  <c r="U41" i="14" s="1"/>
  <c r="AC41" i="14" s="1"/>
  <c r="C41" i="14"/>
  <c r="K40" i="14"/>
  <c r="AI39" i="14"/>
  <c r="AJ39" i="14" s="1"/>
  <c r="A43" i="14"/>
  <c r="P42" i="14"/>
  <c r="B42" i="14"/>
  <c r="J38" i="22"/>
  <c r="U38" i="22" s="1"/>
  <c r="AC38" i="22" s="1"/>
  <c r="Z38" i="22"/>
  <c r="H39" i="22"/>
  <c r="C39" i="22"/>
  <c r="A41" i="22"/>
  <c r="B40" i="22"/>
  <c r="K39" i="19"/>
  <c r="D61" i="16"/>
  <c r="E61" i="16" s="1"/>
  <c r="J39" i="19"/>
  <c r="U39" i="19" s="1"/>
  <c r="AC39" i="19" s="1"/>
  <c r="Z39" i="19"/>
  <c r="B41" i="19"/>
  <c r="A42" i="19"/>
  <c r="H40" i="19"/>
  <c r="C40" i="19"/>
  <c r="AD38" i="19"/>
  <c r="AI39" i="19"/>
  <c r="G44" i="19"/>
  <c r="P43" i="19"/>
  <c r="H39" i="23"/>
  <c r="J39" i="23" s="1"/>
  <c r="K40" i="23" s="1"/>
  <c r="AK40" i="23" s="1"/>
  <c r="C39" i="23"/>
  <c r="W38" i="23"/>
  <c r="AE38" i="23" s="1"/>
  <c r="AF37" i="23"/>
  <c r="A41" i="23"/>
  <c r="B41" i="23" s="1"/>
  <c r="P40" i="23"/>
  <c r="AB37" i="21"/>
  <c r="W37" i="21"/>
  <c r="AE37" i="21" s="1"/>
  <c r="B41" i="21"/>
  <c r="G39" i="21"/>
  <c r="P38" i="21"/>
  <c r="AF36" i="21"/>
  <c r="C40" i="21"/>
  <c r="H40" i="21"/>
  <c r="J40" i="21" s="1"/>
  <c r="K41" i="21" s="1"/>
  <c r="AF39" i="16"/>
  <c r="G42" i="16"/>
  <c r="P41" i="16"/>
  <c r="W40" i="16"/>
  <c r="AE40" i="16" s="1"/>
  <c r="AB40" i="16"/>
  <c r="D65" i="20"/>
  <c r="B65" i="20"/>
  <c r="G42" i="22"/>
  <c r="AG41" i="28" l="1"/>
  <c r="E43" i="29"/>
  <c r="N42" i="28"/>
  <c r="E44" i="28"/>
  <c r="C45" i="28"/>
  <c r="F43" i="28"/>
  <c r="K43" i="28"/>
  <c r="M42" i="28"/>
  <c r="AC42" i="28"/>
  <c r="AI39" i="26"/>
  <c r="AE40" i="26"/>
  <c r="N42" i="29"/>
  <c r="AL42" i="29" s="1"/>
  <c r="AM42" i="29" s="1"/>
  <c r="N42" i="27"/>
  <c r="AN42" i="27" s="1"/>
  <c r="AO42" i="27" s="1"/>
  <c r="AG40" i="29"/>
  <c r="AC41" i="29"/>
  <c r="F42" i="29"/>
  <c r="K42" i="29"/>
  <c r="M42" i="29" s="1"/>
  <c r="X42" i="29" s="1"/>
  <c r="AF42" i="29" s="1"/>
  <c r="A44" i="29"/>
  <c r="B44" i="29" s="1"/>
  <c r="E44" i="29" s="1"/>
  <c r="S43" i="29"/>
  <c r="X41" i="29"/>
  <c r="AF41" i="29" s="1"/>
  <c r="AI40" i="27"/>
  <c r="AE41" i="27"/>
  <c r="Z41" i="27"/>
  <c r="AH41" i="27" s="1"/>
  <c r="S43" i="27"/>
  <c r="A44" i="27"/>
  <c r="B44" i="27" s="1"/>
  <c r="E44" i="27" s="1"/>
  <c r="F44" i="27" s="1"/>
  <c r="K42" i="27"/>
  <c r="M42" i="27" s="1"/>
  <c r="Z40" i="26"/>
  <c r="AH40" i="26" s="1"/>
  <c r="K41" i="26"/>
  <c r="M41" i="26" s="1"/>
  <c r="N42" i="26" s="1"/>
  <c r="F41" i="26"/>
  <c r="A43" i="26"/>
  <c r="B43" i="26" s="1"/>
  <c r="E43" i="26" s="1"/>
  <c r="S42" i="26"/>
  <c r="J43" i="26"/>
  <c r="K38" i="24"/>
  <c r="AI38" i="24" s="1"/>
  <c r="U38" i="24"/>
  <c r="AC38" i="24" s="1"/>
  <c r="B40" i="24"/>
  <c r="A41" i="24"/>
  <c r="P40" i="24"/>
  <c r="C39" i="24"/>
  <c r="H39" i="24"/>
  <c r="J39" i="24" s="1"/>
  <c r="AD37" i="24"/>
  <c r="Z38" i="24"/>
  <c r="K40" i="19"/>
  <c r="AI40" i="19" s="1"/>
  <c r="AF38" i="23"/>
  <c r="W39" i="23"/>
  <c r="AE39" i="23" s="1"/>
  <c r="AB39" i="23"/>
  <c r="AD38" i="22"/>
  <c r="K39" i="22"/>
  <c r="AI39" i="22" s="1"/>
  <c r="A44" i="14"/>
  <c r="B43" i="14"/>
  <c r="P43" i="14"/>
  <c r="K41" i="14"/>
  <c r="AI40" i="14"/>
  <c r="AJ40" i="14" s="1"/>
  <c r="Z41" i="14"/>
  <c r="AD41" i="14" s="1"/>
  <c r="H42" i="14"/>
  <c r="J42" i="14" s="1"/>
  <c r="U42" i="14" s="1"/>
  <c r="AC42" i="14" s="1"/>
  <c r="C42" i="14"/>
  <c r="P42" i="22"/>
  <c r="G43" i="22"/>
  <c r="J39" i="22"/>
  <c r="U39" i="22" s="1"/>
  <c r="AC39" i="22" s="1"/>
  <c r="Z39" i="22"/>
  <c r="H40" i="22"/>
  <c r="C40" i="22"/>
  <c r="A42" i="22"/>
  <c r="B41" i="22"/>
  <c r="D60" i="16"/>
  <c r="E60" i="16" s="1"/>
  <c r="B42" i="19"/>
  <c r="A43" i="19"/>
  <c r="J40" i="19"/>
  <c r="U40" i="19" s="1"/>
  <c r="AC40" i="19" s="1"/>
  <c r="Z40" i="19"/>
  <c r="H41" i="19"/>
  <c r="C41" i="19"/>
  <c r="AD39" i="19"/>
  <c r="G45" i="19"/>
  <c r="P44" i="19"/>
  <c r="AF40" i="16"/>
  <c r="P41" i="23"/>
  <c r="A42" i="23"/>
  <c r="B42" i="23" s="1"/>
  <c r="H40" i="23"/>
  <c r="J40" i="23" s="1"/>
  <c r="K41" i="23" s="1"/>
  <c r="AK41" i="23" s="1"/>
  <c r="C40" i="23"/>
  <c r="W38" i="21"/>
  <c r="AE38" i="21" s="1"/>
  <c r="AB38" i="21"/>
  <c r="G40" i="21"/>
  <c r="P39" i="21"/>
  <c r="H41" i="21"/>
  <c r="J41" i="21" s="1"/>
  <c r="K42" i="21" s="1"/>
  <c r="C41" i="21"/>
  <c r="B42" i="21"/>
  <c r="AF37" i="21"/>
  <c r="AB41" i="16"/>
  <c r="W41" i="16"/>
  <c r="AE41" i="16" s="1"/>
  <c r="G43" i="16"/>
  <c r="P42" i="16"/>
  <c r="D66" i="20"/>
  <c r="B66" i="20"/>
  <c r="AC42" i="29" l="1"/>
  <c r="AG42" i="29" s="1"/>
  <c r="X42" i="28"/>
  <c r="AF42" i="28" s="1"/>
  <c r="AG42" i="28" s="1"/>
  <c r="N43" i="28"/>
  <c r="M43" i="28"/>
  <c r="AC43" i="28"/>
  <c r="C46" i="28"/>
  <c r="E45" i="28"/>
  <c r="K44" i="28"/>
  <c r="F44" i="28"/>
  <c r="AI40" i="26"/>
  <c r="Z41" i="26"/>
  <c r="AH41" i="26" s="1"/>
  <c r="AI41" i="27"/>
  <c r="AF38" i="21"/>
  <c r="AE41" i="26"/>
  <c r="N43" i="29"/>
  <c r="AL43" i="29" s="1"/>
  <c r="AM43" i="29" s="1"/>
  <c r="N43" i="27"/>
  <c r="AN43" i="27" s="1"/>
  <c r="AO43" i="27" s="1"/>
  <c r="AG41" i="29"/>
  <c r="S44" i="29"/>
  <c r="K43" i="29"/>
  <c r="M43" i="29" s="1"/>
  <c r="F43" i="29"/>
  <c r="AE42" i="27"/>
  <c r="Z42" i="27"/>
  <c r="AH42" i="27" s="1"/>
  <c r="A45" i="27"/>
  <c r="B45" i="27" s="1"/>
  <c r="E45" i="27" s="1"/>
  <c r="F45" i="27" s="1"/>
  <c r="S44" i="27"/>
  <c r="K43" i="27"/>
  <c r="M43" i="27" s="1"/>
  <c r="A44" i="26"/>
  <c r="B44" i="26" s="1"/>
  <c r="E44" i="26" s="1"/>
  <c r="K42" i="26"/>
  <c r="M42" i="26" s="1"/>
  <c r="N43" i="26" s="1"/>
  <c r="F42" i="26"/>
  <c r="J44" i="26"/>
  <c r="S43" i="26"/>
  <c r="AD39" i="22"/>
  <c r="AD38" i="24"/>
  <c r="K39" i="24"/>
  <c r="AI39" i="24" s="1"/>
  <c r="B41" i="24"/>
  <c r="A42" i="24"/>
  <c r="P41" i="24"/>
  <c r="U39" i="24"/>
  <c r="AC39" i="24" s="1"/>
  <c r="H40" i="24"/>
  <c r="J40" i="24" s="1"/>
  <c r="C40" i="24"/>
  <c r="Z39" i="24"/>
  <c r="Z42" i="14"/>
  <c r="AD42" i="14" s="1"/>
  <c r="AF39" i="23"/>
  <c r="AB40" i="23"/>
  <c r="K42" i="14"/>
  <c r="AI41" i="14"/>
  <c r="AJ41" i="14" s="1"/>
  <c r="H43" i="14"/>
  <c r="J43" i="14" s="1"/>
  <c r="U43" i="14" s="1"/>
  <c r="AC43" i="14" s="1"/>
  <c r="C43" i="14"/>
  <c r="B44" i="14"/>
  <c r="P44" i="14"/>
  <c r="A43" i="22"/>
  <c r="B42" i="22"/>
  <c r="J40" i="22"/>
  <c r="U40" i="22" s="1"/>
  <c r="AC40" i="22" s="1"/>
  <c r="Z40" i="22"/>
  <c r="K40" i="22"/>
  <c r="G44" i="22"/>
  <c r="P43" i="22"/>
  <c r="H41" i="22"/>
  <c r="C41" i="22"/>
  <c r="AD40" i="19"/>
  <c r="K41" i="19"/>
  <c r="AI41" i="19" s="1"/>
  <c r="D59" i="16"/>
  <c r="E59" i="16" s="1"/>
  <c r="J41" i="19"/>
  <c r="U41" i="19" s="1"/>
  <c r="AC41" i="19" s="1"/>
  <c r="Z41" i="19"/>
  <c r="B43" i="19"/>
  <c r="A44" i="19"/>
  <c r="H42" i="19"/>
  <c r="C42" i="19"/>
  <c r="G46" i="19"/>
  <c r="P45" i="19"/>
  <c r="C41" i="23"/>
  <c r="H41" i="23"/>
  <c r="J41" i="23" s="1"/>
  <c r="K42" i="23" s="1"/>
  <c r="W40" i="23"/>
  <c r="AE40" i="23" s="1"/>
  <c r="P42" i="23"/>
  <c r="AB39" i="21"/>
  <c r="W39" i="21"/>
  <c r="AE39" i="21" s="1"/>
  <c r="B43" i="21"/>
  <c r="G41" i="21"/>
  <c r="P40" i="21"/>
  <c r="H42" i="21"/>
  <c r="J42" i="21" s="1"/>
  <c r="K43" i="21" s="1"/>
  <c r="C42" i="21"/>
  <c r="AF41" i="16"/>
  <c r="W42" i="16"/>
  <c r="AE42" i="16" s="1"/>
  <c r="AB42" i="16"/>
  <c r="P43" i="16"/>
  <c r="G44" i="16"/>
  <c r="D67" i="20"/>
  <c r="B67" i="20"/>
  <c r="K40" i="24" l="1"/>
  <c r="AI40" i="24" s="1"/>
  <c r="AC44" i="28"/>
  <c r="M44" i="28"/>
  <c r="K45" i="28"/>
  <c r="F45" i="28"/>
  <c r="E46" i="28"/>
  <c r="C47" i="28"/>
  <c r="X43" i="28"/>
  <c r="AF43" i="28" s="1"/>
  <c r="AG43" i="28" s="1"/>
  <c r="N44" i="28"/>
  <c r="AI41" i="26"/>
  <c r="Z42" i="26"/>
  <c r="AH42" i="26" s="1"/>
  <c r="AE42" i="26"/>
  <c r="AK42" i="23"/>
  <c r="B12" i="23" s="1"/>
  <c r="AG42" i="23"/>
  <c r="N44" i="29"/>
  <c r="AL44" i="29" s="1"/>
  <c r="N44" i="27"/>
  <c r="AN44" i="27" s="1"/>
  <c r="AO44" i="27" s="1"/>
  <c r="AI42" i="27"/>
  <c r="F44" i="29"/>
  <c r="G44" i="29" s="1"/>
  <c r="K44" i="29"/>
  <c r="M44" i="29" s="1"/>
  <c r="AH44" i="29" s="1"/>
  <c r="X43" i="29"/>
  <c r="AF43" i="29" s="1"/>
  <c r="AC43" i="29"/>
  <c r="Z43" i="27"/>
  <c r="AH43" i="27" s="1"/>
  <c r="AE43" i="27"/>
  <c r="S45" i="27"/>
  <c r="K44" i="27"/>
  <c r="M44" i="27" s="1"/>
  <c r="K43" i="26"/>
  <c r="M43" i="26" s="1"/>
  <c r="N44" i="26" s="1"/>
  <c r="F43" i="26"/>
  <c r="A45" i="26"/>
  <c r="B45" i="26" s="1"/>
  <c r="E45" i="26" s="1"/>
  <c r="J45" i="26"/>
  <c r="S44" i="26"/>
  <c r="K41" i="24"/>
  <c r="AI41" i="24" s="1"/>
  <c r="K41" i="22"/>
  <c r="AI41" i="22" s="1"/>
  <c r="U40" i="24"/>
  <c r="AC40" i="24" s="1"/>
  <c r="Z40" i="24"/>
  <c r="AD39" i="24"/>
  <c r="B42" i="24"/>
  <c r="P42" i="24"/>
  <c r="H41" i="24"/>
  <c r="C41" i="24"/>
  <c r="AF40" i="23"/>
  <c r="W41" i="23"/>
  <c r="AE41" i="23" s="1"/>
  <c r="AB41" i="23"/>
  <c r="AD40" i="22"/>
  <c r="AI40" i="22"/>
  <c r="Z43" i="14"/>
  <c r="AD43" i="14" s="1"/>
  <c r="K43" i="14"/>
  <c r="AI42" i="14"/>
  <c r="AJ42" i="14" s="1"/>
  <c r="H44" i="14"/>
  <c r="J44" i="14" s="1"/>
  <c r="U44" i="14" s="1"/>
  <c r="AC44" i="14" s="1"/>
  <c r="C44" i="14"/>
  <c r="D44" i="14" s="1"/>
  <c r="G45" i="22"/>
  <c r="P44" i="22"/>
  <c r="C42" i="22"/>
  <c r="H42" i="22"/>
  <c r="J41" i="22"/>
  <c r="U41" i="22" s="1"/>
  <c r="AC41" i="22" s="1"/>
  <c r="Z41" i="22"/>
  <c r="A44" i="22"/>
  <c r="B43" i="22"/>
  <c r="D58" i="16"/>
  <c r="E58" i="16" s="1"/>
  <c r="J42" i="19"/>
  <c r="U42" i="19" s="1"/>
  <c r="AC42" i="19" s="1"/>
  <c r="Z42" i="19"/>
  <c r="K42" i="19"/>
  <c r="B44" i="19"/>
  <c r="A45" i="19"/>
  <c r="C43" i="19"/>
  <c r="H43" i="19"/>
  <c r="AD41" i="19"/>
  <c r="G47" i="19"/>
  <c r="P46" i="19"/>
  <c r="AI42" i="19"/>
  <c r="AF42" i="16"/>
  <c r="H42" i="23"/>
  <c r="J42" i="23" s="1"/>
  <c r="C42" i="23"/>
  <c r="D42" i="23" s="1"/>
  <c r="E42" i="23" s="1"/>
  <c r="AB40" i="21"/>
  <c r="W40" i="21"/>
  <c r="AE40" i="21" s="1"/>
  <c r="H43" i="21"/>
  <c r="J43" i="21" s="1"/>
  <c r="K44" i="21" s="1"/>
  <c r="C43" i="21"/>
  <c r="B44" i="21"/>
  <c r="G42" i="21"/>
  <c r="P41" i="21"/>
  <c r="AF39" i="21"/>
  <c r="P44" i="16"/>
  <c r="G45" i="16"/>
  <c r="AB43" i="16"/>
  <c r="W43" i="16"/>
  <c r="AE43" i="16" s="1"/>
  <c r="D68" i="20"/>
  <c r="D69" i="20" s="1"/>
  <c r="D70" i="20" s="1"/>
  <c r="D71" i="20" s="1"/>
  <c r="D72" i="20" s="1"/>
  <c r="D73" i="20" s="1"/>
  <c r="D74" i="20" s="1"/>
  <c r="D75" i="20" s="1"/>
  <c r="D76" i="20" s="1"/>
  <c r="D77" i="20" s="1"/>
  <c r="D78" i="20" s="1"/>
  <c r="D79" i="20" s="1"/>
  <c r="D80" i="20" s="1"/>
  <c r="D81" i="20" s="1"/>
  <c r="D82" i="20" s="1"/>
  <c r="D83" i="20" s="1"/>
  <c r="D84" i="20" s="1"/>
  <c r="D85" i="20" s="1"/>
  <c r="D86" i="20" s="1"/>
  <c r="D87" i="20" s="1"/>
  <c r="D88" i="20" s="1"/>
  <c r="D89" i="20" s="1"/>
  <c r="D90" i="20" s="1"/>
  <c r="D91" i="20" s="1"/>
  <c r="D92" i="20" s="1"/>
  <c r="D93" i="20" s="1"/>
  <c r="D94" i="20" s="1"/>
  <c r="D95" i="20" s="1"/>
  <c r="D96" i="20" s="1"/>
  <c r="D97" i="20" s="1"/>
  <c r="D98" i="20" s="1"/>
  <c r="B68" i="20"/>
  <c r="B69" i="20" s="1"/>
  <c r="B70" i="20" s="1"/>
  <c r="B71" i="20" s="1"/>
  <c r="B72" i="20" s="1"/>
  <c r="B73" i="20" s="1"/>
  <c r="B74" i="20" s="1"/>
  <c r="B75" i="20" s="1"/>
  <c r="B76" i="20" s="1"/>
  <c r="B77" i="20" s="1"/>
  <c r="B78" i="20" s="1"/>
  <c r="B79" i="20" s="1"/>
  <c r="B80" i="20" s="1"/>
  <c r="B81" i="20" s="1"/>
  <c r="B82" i="20" s="1"/>
  <c r="B83" i="20" s="1"/>
  <c r="B84" i="20" s="1"/>
  <c r="B85" i="20" s="1"/>
  <c r="B86" i="20" s="1"/>
  <c r="B87" i="20" s="1"/>
  <c r="B88" i="20" s="1"/>
  <c r="B89" i="20" s="1"/>
  <c r="B90" i="20" s="1"/>
  <c r="B91" i="20" s="1"/>
  <c r="B92" i="20" s="1"/>
  <c r="B93" i="20" s="1"/>
  <c r="B94" i="20" s="1"/>
  <c r="B95" i="20" s="1"/>
  <c r="B96" i="20" s="1"/>
  <c r="B97" i="20" s="1"/>
  <c r="B98" i="20" s="1"/>
  <c r="D41" i="23" l="1"/>
  <c r="D43" i="14"/>
  <c r="E44" i="14"/>
  <c r="AM44" i="29"/>
  <c r="E17" i="29" s="1"/>
  <c r="E18" i="29" s="1"/>
  <c r="AG43" i="29"/>
  <c r="AD40" i="24"/>
  <c r="F46" i="28"/>
  <c r="K46" i="28"/>
  <c r="M45" i="28"/>
  <c r="X45" i="28" s="1"/>
  <c r="AF45" i="28" s="1"/>
  <c r="AC45" i="28"/>
  <c r="E47" i="28"/>
  <c r="C48" i="28"/>
  <c r="X44" i="28"/>
  <c r="AF44" i="28" s="1"/>
  <c r="AG44" i="28" s="1"/>
  <c r="N45" i="28"/>
  <c r="AI42" i="26"/>
  <c r="AF41" i="23"/>
  <c r="AC44" i="29"/>
  <c r="X44" i="29"/>
  <c r="AF44" i="29" s="1"/>
  <c r="H44" i="29"/>
  <c r="G43" i="29"/>
  <c r="AI43" i="27"/>
  <c r="N45" i="27"/>
  <c r="AN45" i="27" s="1"/>
  <c r="AJ44" i="27"/>
  <c r="AE44" i="27"/>
  <c r="Z44" i="27"/>
  <c r="AH44" i="27" s="1"/>
  <c r="K45" i="27"/>
  <c r="M45" i="27" s="1"/>
  <c r="AJ45" i="27" s="1"/>
  <c r="G45" i="27"/>
  <c r="Z43" i="26"/>
  <c r="AH43" i="26" s="1"/>
  <c r="AE43" i="26"/>
  <c r="A46" i="26"/>
  <c r="B46" i="26" s="1"/>
  <c r="E46" i="26" s="1"/>
  <c r="K44" i="26"/>
  <c r="M44" i="26" s="1"/>
  <c r="N45" i="26" s="1"/>
  <c r="F44" i="26"/>
  <c r="J46" i="26"/>
  <c r="S45" i="26"/>
  <c r="J41" i="24"/>
  <c r="Z41" i="24"/>
  <c r="H42" i="24"/>
  <c r="J42" i="24" s="1"/>
  <c r="C42" i="24"/>
  <c r="D42" i="24" s="1"/>
  <c r="AB42" i="23"/>
  <c r="K44" i="14"/>
  <c r="AI43" i="14"/>
  <c r="AJ43" i="14" s="1"/>
  <c r="Z44" i="14"/>
  <c r="AD44" i="14" s="1"/>
  <c r="J42" i="22"/>
  <c r="U42" i="22" s="1"/>
  <c r="AC42" i="22" s="1"/>
  <c r="Z42" i="22"/>
  <c r="H43" i="22"/>
  <c r="C43" i="22"/>
  <c r="A45" i="22"/>
  <c r="B44" i="22"/>
  <c r="G46" i="22"/>
  <c r="P45" i="22"/>
  <c r="K42" i="22"/>
  <c r="AI42" i="22" s="1"/>
  <c r="AD41" i="22"/>
  <c r="K43" i="19"/>
  <c r="AI43" i="19" s="1"/>
  <c r="AD42" i="19"/>
  <c r="D57" i="16"/>
  <c r="E57" i="16" s="1"/>
  <c r="J43" i="19"/>
  <c r="U43" i="19" s="1"/>
  <c r="AC43" i="19" s="1"/>
  <c r="Z43" i="19"/>
  <c r="B45" i="19"/>
  <c r="A46" i="19"/>
  <c r="C44" i="19"/>
  <c r="H44" i="19"/>
  <c r="G48" i="19"/>
  <c r="P47" i="19"/>
  <c r="W42" i="23"/>
  <c r="AE42" i="23" s="1"/>
  <c r="G43" i="21"/>
  <c r="P42" i="21"/>
  <c r="AF40" i="21"/>
  <c r="H44" i="21"/>
  <c r="J44" i="21" s="1"/>
  <c r="K45" i="21" s="1"/>
  <c r="C44" i="21"/>
  <c r="B45" i="21"/>
  <c r="AB41" i="21"/>
  <c r="W41" i="21"/>
  <c r="AE41" i="21" s="1"/>
  <c r="AF43" i="16"/>
  <c r="G46" i="16"/>
  <c r="P45" i="16"/>
  <c r="AB44" i="16"/>
  <c r="W44" i="16"/>
  <c r="AE44" i="16" s="1"/>
  <c r="D40" i="23" l="1"/>
  <c r="E41" i="23"/>
  <c r="E42" i="24"/>
  <c r="D41" i="24"/>
  <c r="D42" i="14"/>
  <c r="E43" i="14"/>
  <c r="AO45" i="27"/>
  <c r="E17" i="27" s="1"/>
  <c r="N46" i="28"/>
  <c r="AG45" i="28"/>
  <c r="C49" i="28"/>
  <c r="E48" i="28"/>
  <c r="F47" i="28"/>
  <c r="K47" i="28"/>
  <c r="M46" i="28"/>
  <c r="AC46" i="28"/>
  <c r="AI43" i="26"/>
  <c r="AG44" i="29"/>
  <c r="T43" i="29" s="1"/>
  <c r="H43" i="29"/>
  <c r="G42" i="29"/>
  <c r="H45" i="27"/>
  <c r="G44" i="27"/>
  <c r="Z45" i="27"/>
  <c r="AH45" i="27" s="1"/>
  <c r="AI44" i="27"/>
  <c r="AE45" i="27"/>
  <c r="Z44" i="26"/>
  <c r="AH44" i="26" s="1"/>
  <c r="F45" i="26"/>
  <c r="K45" i="26"/>
  <c r="M45" i="26" s="1"/>
  <c r="N46" i="26" s="1"/>
  <c r="AE44" i="26"/>
  <c r="A47" i="26"/>
  <c r="B47" i="26" s="1"/>
  <c r="E47" i="26" s="1"/>
  <c r="S46" i="26"/>
  <c r="J47" i="26"/>
  <c r="Z42" i="24"/>
  <c r="U42" i="24"/>
  <c r="AC42" i="24" s="1"/>
  <c r="K42" i="24"/>
  <c r="AI42" i="24" s="1"/>
  <c r="B12" i="24" s="1"/>
  <c r="B16" i="24" s="1"/>
  <c r="B17" i="24" s="1"/>
  <c r="U41" i="24"/>
  <c r="AC41" i="24" s="1"/>
  <c r="AD41" i="24" s="1"/>
  <c r="AI44" i="14"/>
  <c r="AJ44" i="14" s="1"/>
  <c r="G47" i="22"/>
  <c r="P46" i="22"/>
  <c r="H44" i="22"/>
  <c r="C44" i="22"/>
  <c r="A46" i="22"/>
  <c r="B45" i="22"/>
  <c r="J43" i="22"/>
  <c r="U43" i="22" s="1"/>
  <c r="AC43" i="22" s="1"/>
  <c r="Z43" i="22"/>
  <c r="K43" i="22"/>
  <c r="AD42" i="22"/>
  <c r="K44" i="19"/>
  <c r="AI44" i="19" s="1"/>
  <c r="D56" i="16"/>
  <c r="E56" i="16" s="1"/>
  <c r="J44" i="19"/>
  <c r="U44" i="19" s="1"/>
  <c r="AC44" i="19" s="1"/>
  <c r="Z44" i="19"/>
  <c r="B46" i="19"/>
  <c r="A47" i="19"/>
  <c r="C45" i="19"/>
  <c r="H45" i="19"/>
  <c r="AD43" i="19"/>
  <c r="P48" i="19"/>
  <c r="G49" i="19"/>
  <c r="AF42" i="23"/>
  <c r="AH42" i="23" s="1"/>
  <c r="H45" i="21"/>
  <c r="J45" i="21" s="1"/>
  <c r="K46" i="21" s="1"/>
  <c r="C45" i="21"/>
  <c r="B46" i="21"/>
  <c r="W42" i="21"/>
  <c r="AE42" i="21" s="1"/>
  <c r="AB42" i="21"/>
  <c r="G44" i="21"/>
  <c r="P43" i="21"/>
  <c r="AF41" i="21"/>
  <c r="AF44" i="16"/>
  <c r="W45" i="16"/>
  <c r="AE45" i="16" s="1"/>
  <c r="AB45" i="16"/>
  <c r="P46" i="16"/>
  <c r="G47" i="16"/>
  <c r="D39" i="23" l="1"/>
  <c r="E40" i="23"/>
  <c r="E19" i="29"/>
  <c r="A48" i="29" s="1"/>
  <c r="D40" i="24"/>
  <c r="E41" i="24"/>
  <c r="B17" i="14"/>
  <c r="B18" i="14" s="1"/>
  <c r="B19" i="14" s="1"/>
  <c r="B20" i="14" s="1"/>
  <c r="D41" i="14"/>
  <c r="E42" i="14"/>
  <c r="E19" i="27"/>
  <c r="B16" i="23"/>
  <c r="M47" i="28"/>
  <c r="AC47" i="28"/>
  <c r="X46" i="28"/>
  <c r="AF46" i="28" s="1"/>
  <c r="AG46" i="28" s="1"/>
  <c r="N47" i="28"/>
  <c r="F48" i="28"/>
  <c r="K48" i="28"/>
  <c r="E49" i="28"/>
  <c r="C50" i="28"/>
  <c r="AE45" i="26"/>
  <c r="Z45" i="26"/>
  <c r="AH45" i="26" s="1"/>
  <c r="AI44" i="29"/>
  <c r="AK44" i="29" s="1"/>
  <c r="H42" i="29"/>
  <c r="G41" i="29"/>
  <c r="W43" i="29"/>
  <c r="AH43" i="29" s="1"/>
  <c r="AI43" i="29" s="1"/>
  <c r="AK43" i="29" s="1"/>
  <c r="T42" i="29"/>
  <c r="AI45" i="27"/>
  <c r="AK45" i="27" s="1"/>
  <c r="AM45" i="27" s="1"/>
  <c r="V43" i="27"/>
  <c r="AK44" i="27"/>
  <c r="AM44" i="27" s="1"/>
  <c r="H44" i="27"/>
  <c r="G43" i="27"/>
  <c r="AI44" i="26"/>
  <c r="F46" i="26"/>
  <c r="K46" i="26"/>
  <c r="M46" i="26" s="1"/>
  <c r="N47" i="26" s="1"/>
  <c r="A48" i="26"/>
  <c r="B48" i="26" s="1"/>
  <c r="E48" i="26" s="1"/>
  <c r="S47" i="26"/>
  <c r="J48" i="26"/>
  <c r="AD42" i="24"/>
  <c r="H45" i="22"/>
  <c r="C45" i="22"/>
  <c r="A47" i="22"/>
  <c r="B46" i="22"/>
  <c r="J44" i="22"/>
  <c r="U44" i="22" s="1"/>
  <c r="AC44" i="22" s="1"/>
  <c r="Z44" i="22"/>
  <c r="K44" i="22"/>
  <c r="AI43" i="22"/>
  <c r="AD43" i="22"/>
  <c r="G48" i="22"/>
  <c r="P47" i="22"/>
  <c r="D55" i="16"/>
  <c r="E55" i="16" s="1"/>
  <c r="J45" i="19"/>
  <c r="U45" i="19" s="1"/>
  <c r="AC45" i="19" s="1"/>
  <c r="Z45" i="19"/>
  <c r="K45" i="19"/>
  <c r="AI45" i="19" s="1"/>
  <c r="B47" i="19"/>
  <c r="A48" i="19"/>
  <c r="H46" i="19"/>
  <c r="C46" i="19"/>
  <c r="AD44" i="19"/>
  <c r="P49" i="19"/>
  <c r="G50" i="19"/>
  <c r="AF45" i="16"/>
  <c r="AF42" i="21"/>
  <c r="S41" i="23"/>
  <c r="AJ42" i="23"/>
  <c r="C46" i="21"/>
  <c r="H46" i="21"/>
  <c r="J46" i="21" s="1"/>
  <c r="K47" i="21" s="1"/>
  <c r="G45" i="21"/>
  <c r="P44" i="21"/>
  <c r="B47" i="21"/>
  <c r="W43" i="21"/>
  <c r="AE43" i="21" s="1"/>
  <c r="AB43" i="21"/>
  <c r="G48" i="16"/>
  <c r="P47" i="16"/>
  <c r="W46" i="16"/>
  <c r="AE46" i="16" s="1"/>
  <c r="AB46" i="16"/>
  <c r="D38" i="23" l="1"/>
  <c r="E39" i="23"/>
  <c r="D39" i="24"/>
  <c r="E40" i="24"/>
  <c r="D40" i="14"/>
  <c r="E41" i="14"/>
  <c r="E20" i="27"/>
  <c r="E21" i="27" s="1"/>
  <c r="A49" i="27" s="1"/>
  <c r="B17" i="23"/>
  <c r="K49" i="28"/>
  <c r="F49" i="28"/>
  <c r="AC48" i="28"/>
  <c r="M48" i="28"/>
  <c r="C51" i="28"/>
  <c r="E50" i="28"/>
  <c r="X47" i="28"/>
  <c r="AF47" i="28" s="1"/>
  <c r="AG47" i="28" s="1"/>
  <c r="N48" i="28"/>
  <c r="AI45" i="26"/>
  <c r="AE46" i="26"/>
  <c r="W42" i="29"/>
  <c r="AH42" i="29" s="1"/>
  <c r="AI42" i="29" s="1"/>
  <c r="AK42" i="29" s="1"/>
  <c r="T41" i="29"/>
  <c r="H41" i="29"/>
  <c r="G40" i="29"/>
  <c r="H43" i="27"/>
  <c r="G42" i="27"/>
  <c r="Y43" i="27"/>
  <c r="AJ43" i="27" s="1"/>
  <c r="AK43" i="27" s="1"/>
  <c r="AM43" i="27" s="1"/>
  <c r="V42" i="27"/>
  <c r="Z46" i="26"/>
  <c r="AH46" i="26" s="1"/>
  <c r="K47" i="26"/>
  <c r="M47" i="26" s="1"/>
  <c r="N48" i="26" s="1"/>
  <c r="F47" i="26"/>
  <c r="A49" i="26"/>
  <c r="B49" i="26" s="1"/>
  <c r="E49" i="26" s="1"/>
  <c r="J49" i="26"/>
  <c r="S48" i="26"/>
  <c r="T44" i="14"/>
  <c r="AE44" i="14" s="1"/>
  <c r="AF44" i="14" s="1"/>
  <c r="AD44" i="22"/>
  <c r="K45" i="22"/>
  <c r="AI44" i="22"/>
  <c r="G49" i="22"/>
  <c r="P48" i="22"/>
  <c r="C46" i="22"/>
  <c r="H46" i="22"/>
  <c r="A48" i="22"/>
  <c r="B47" i="22"/>
  <c r="J45" i="22"/>
  <c r="U45" i="22" s="1"/>
  <c r="AC45" i="22" s="1"/>
  <c r="Z45" i="22"/>
  <c r="D54" i="16"/>
  <c r="E54" i="16" s="1"/>
  <c r="B48" i="19"/>
  <c r="A49" i="19"/>
  <c r="J46" i="19"/>
  <c r="U46" i="19" s="1"/>
  <c r="AC46" i="19" s="1"/>
  <c r="Z46" i="19"/>
  <c r="K46" i="19"/>
  <c r="C47" i="19"/>
  <c r="H47" i="19"/>
  <c r="AD45" i="19"/>
  <c r="G51" i="19"/>
  <c r="P50" i="19"/>
  <c r="AF46" i="16"/>
  <c r="V41" i="23"/>
  <c r="S40" i="23"/>
  <c r="C47" i="21"/>
  <c r="H47" i="21"/>
  <c r="J47" i="21" s="1"/>
  <c r="K48" i="21" s="1"/>
  <c r="B48" i="21"/>
  <c r="G46" i="21"/>
  <c r="P45" i="21"/>
  <c r="W44" i="21"/>
  <c r="AE44" i="21" s="1"/>
  <c r="AB44" i="21"/>
  <c r="AF43" i="21"/>
  <c r="AB47" i="16"/>
  <c r="W47" i="16"/>
  <c r="AE47" i="16" s="1"/>
  <c r="G49" i="16"/>
  <c r="P48" i="16"/>
  <c r="D37" i="23" l="1"/>
  <c r="E38" i="23"/>
  <c r="D38" i="24"/>
  <c r="E39" i="24"/>
  <c r="D39" i="14"/>
  <c r="E40" i="14"/>
  <c r="AD46" i="19"/>
  <c r="K50" i="28"/>
  <c r="F50" i="28"/>
  <c r="C52" i="28"/>
  <c r="E51" i="28"/>
  <c r="X48" i="28"/>
  <c r="AF48" i="28" s="1"/>
  <c r="AG48" i="28" s="1"/>
  <c r="N49" i="28"/>
  <c r="M49" i="28"/>
  <c r="AC49" i="28"/>
  <c r="AI46" i="26"/>
  <c r="AE47" i="26"/>
  <c r="Z47" i="26"/>
  <c r="AH47" i="26" s="1"/>
  <c r="AG41" i="23"/>
  <c r="AH41" i="23" s="1"/>
  <c r="AJ41" i="23" s="1"/>
  <c r="AH44" i="14"/>
  <c r="H40" i="29"/>
  <c r="G39" i="29"/>
  <c r="W41" i="29"/>
  <c r="AH41" i="29" s="1"/>
  <c r="AI41" i="29" s="1"/>
  <c r="AK41" i="29" s="1"/>
  <c r="T40" i="29"/>
  <c r="Y42" i="27"/>
  <c r="AJ42" i="27" s="1"/>
  <c r="AK42" i="27" s="1"/>
  <c r="AM42" i="27" s="1"/>
  <c r="V41" i="27"/>
  <c r="H42" i="27"/>
  <c r="G41" i="27"/>
  <c r="A50" i="26"/>
  <c r="B50" i="26" s="1"/>
  <c r="E50" i="26" s="1"/>
  <c r="F48" i="26"/>
  <c r="K48" i="26"/>
  <c r="M48" i="26" s="1"/>
  <c r="N49" i="26" s="1"/>
  <c r="J50" i="26"/>
  <c r="S49" i="26"/>
  <c r="Q43" i="14"/>
  <c r="Q42" i="14" s="1"/>
  <c r="AD45" i="22"/>
  <c r="G50" i="22"/>
  <c r="P49" i="22"/>
  <c r="C47" i="22"/>
  <c r="H47" i="22"/>
  <c r="A49" i="22"/>
  <c r="B48" i="22"/>
  <c r="J46" i="22"/>
  <c r="U46" i="22" s="1"/>
  <c r="AC46" i="22" s="1"/>
  <c r="Z46" i="22"/>
  <c r="K46" i="22"/>
  <c r="AI45" i="22"/>
  <c r="K47" i="19"/>
  <c r="AI47" i="19" s="1"/>
  <c r="AI46" i="19"/>
  <c r="D53" i="16"/>
  <c r="E53" i="16" s="1"/>
  <c r="J47" i="19"/>
  <c r="Z47" i="19"/>
  <c r="B49" i="19"/>
  <c r="A50" i="19"/>
  <c r="H48" i="19"/>
  <c r="C48" i="19"/>
  <c r="P51" i="19"/>
  <c r="G52" i="19"/>
  <c r="V40" i="23"/>
  <c r="S39" i="23"/>
  <c r="W45" i="21"/>
  <c r="AE45" i="21" s="1"/>
  <c r="AB45" i="21"/>
  <c r="G47" i="21"/>
  <c r="P46" i="21"/>
  <c r="B49" i="21"/>
  <c r="H48" i="21"/>
  <c r="J48" i="21" s="1"/>
  <c r="K49" i="21" s="1"/>
  <c r="C48" i="21"/>
  <c r="AF44" i="21"/>
  <c r="AF47" i="16"/>
  <c r="W48" i="16"/>
  <c r="AE48" i="16" s="1"/>
  <c r="AB48" i="16"/>
  <c r="G50" i="16"/>
  <c r="P49" i="16"/>
  <c r="D36" i="23" l="1"/>
  <c r="E37" i="23"/>
  <c r="D37" i="24"/>
  <c r="E38" i="24"/>
  <c r="D38" i="14"/>
  <c r="E39" i="14"/>
  <c r="AE48" i="26"/>
  <c r="AD46" i="22"/>
  <c r="C53" i="28"/>
  <c r="E52" i="28"/>
  <c r="K51" i="28"/>
  <c r="F51" i="28"/>
  <c r="X49" i="28"/>
  <c r="AF49" i="28" s="1"/>
  <c r="AG49" i="28" s="1"/>
  <c r="N50" i="28"/>
  <c r="M50" i="28"/>
  <c r="AC50" i="28"/>
  <c r="AI47" i="26"/>
  <c r="Z48" i="26"/>
  <c r="AH48" i="26" s="1"/>
  <c r="AG40" i="23"/>
  <c r="AH40" i="23" s="1"/>
  <c r="AJ40" i="23" s="1"/>
  <c r="H39" i="29"/>
  <c r="G38" i="29"/>
  <c r="W40" i="29"/>
  <c r="AH40" i="29" s="1"/>
  <c r="AI40" i="29" s="1"/>
  <c r="AK40" i="29" s="1"/>
  <c r="T39" i="29"/>
  <c r="H41" i="27"/>
  <c r="G40" i="27"/>
  <c r="Y41" i="27"/>
  <c r="AJ41" i="27" s="1"/>
  <c r="AK41" i="27" s="1"/>
  <c r="AM41" i="27" s="1"/>
  <c r="V40" i="27"/>
  <c r="K49" i="26"/>
  <c r="M49" i="26" s="1"/>
  <c r="N50" i="26" s="1"/>
  <c r="F49" i="26"/>
  <c r="A51" i="26"/>
  <c r="B51" i="26" s="1"/>
  <c r="E51" i="26" s="1"/>
  <c r="S50" i="26"/>
  <c r="J51" i="26"/>
  <c r="T43" i="14"/>
  <c r="AE43" i="14" s="1"/>
  <c r="AF43" i="14" s="1"/>
  <c r="Q41" i="24"/>
  <c r="T42" i="24"/>
  <c r="AF45" i="21"/>
  <c r="Q41" i="14"/>
  <c r="T42" i="14"/>
  <c r="AE42" i="14" s="1"/>
  <c r="AF42" i="14" s="1"/>
  <c r="A50" i="22"/>
  <c r="B49" i="22"/>
  <c r="J47" i="22"/>
  <c r="U47" i="22" s="1"/>
  <c r="AC47" i="22" s="1"/>
  <c r="Z47" i="22"/>
  <c r="K47" i="22"/>
  <c r="AI46" i="22"/>
  <c r="G51" i="22"/>
  <c r="P50" i="22"/>
  <c r="H48" i="22"/>
  <c r="C48" i="22"/>
  <c r="D52" i="16"/>
  <c r="E52" i="16" s="1"/>
  <c r="J48" i="19"/>
  <c r="Z48" i="19"/>
  <c r="B50" i="19"/>
  <c r="A51" i="19"/>
  <c r="H49" i="19"/>
  <c r="C49" i="19"/>
  <c r="U47" i="19"/>
  <c r="AC47" i="19" s="1"/>
  <c r="AD47" i="19" s="1"/>
  <c r="K48" i="19"/>
  <c r="AI48" i="19" s="1"/>
  <c r="G53" i="19"/>
  <c r="P52" i="19"/>
  <c r="AF48" i="16"/>
  <c r="V39" i="23"/>
  <c r="S38" i="23"/>
  <c r="H49" i="21"/>
  <c r="J49" i="21" s="1"/>
  <c r="K50" i="21" s="1"/>
  <c r="C49" i="21"/>
  <c r="B50" i="21"/>
  <c r="G48" i="21"/>
  <c r="P47" i="21"/>
  <c r="AB46" i="21"/>
  <c r="W46" i="21"/>
  <c r="AE46" i="21" s="1"/>
  <c r="W49" i="16"/>
  <c r="AE49" i="16" s="1"/>
  <c r="AB49" i="16"/>
  <c r="P50" i="16"/>
  <c r="G51" i="16"/>
  <c r="D35" i="23" l="1"/>
  <c r="E36" i="23"/>
  <c r="D36" i="24"/>
  <c r="E37" i="24"/>
  <c r="D37" i="14"/>
  <c r="E38" i="14"/>
  <c r="AI48" i="26"/>
  <c r="AE42" i="24"/>
  <c r="AF42" i="24" s="1"/>
  <c r="AH42" i="24" s="1"/>
  <c r="K52" i="28"/>
  <c r="F52" i="28"/>
  <c r="E53" i="28"/>
  <c r="C54" i="28"/>
  <c r="X50" i="28"/>
  <c r="AF50" i="28" s="1"/>
  <c r="AG50" i="28" s="1"/>
  <c r="N51" i="28"/>
  <c r="M51" i="28"/>
  <c r="AC51" i="28"/>
  <c r="AG39" i="23"/>
  <c r="AH39" i="23" s="1"/>
  <c r="AJ39" i="23" s="1"/>
  <c r="AH42" i="14"/>
  <c r="AH43" i="14"/>
  <c r="W39" i="29"/>
  <c r="AH39" i="29" s="1"/>
  <c r="AI39" i="29" s="1"/>
  <c r="AK39" i="29" s="1"/>
  <c r="T38" i="29"/>
  <c r="H38" i="29"/>
  <c r="G37" i="29"/>
  <c r="Y40" i="27"/>
  <c r="AJ40" i="27" s="1"/>
  <c r="AK40" i="27" s="1"/>
  <c r="AM40" i="27" s="1"/>
  <c r="V39" i="27"/>
  <c r="H40" i="27"/>
  <c r="G39" i="27"/>
  <c r="Z49" i="26"/>
  <c r="AH49" i="26" s="1"/>
  <c r="AE49" i="26"/>
  <c r="K50" i="26"/>
  <c r="M50" i="26" s="1"/>
  <c r="N51" i="26" s="1"/>
  <c r="F50" i="26"/>
  <c r="A52" i="26"/>
  <c r="B52" i="26" s="1"/>
  <c r="E52" i="26" s="1"/>
  <c r="S51" i="26"/>
  <c r="J52" i="26"/>
  <c r="T41" i="24"/>
  <c r="Q40" i="24"/>
  <c r="AD47" i="22"/>
  <c r="Q40" i="14"/>
  <c r="T41" i="14"/>
  <c r="AE41" i="14" s="1"/>
  <c r="AF41" i="14" s="1"/>
  <c r="G52" i="22"/>
  <c r="P51" i="22"/>
  <c r="K48" i="22"/>
  <c r="AI47" i="22"/>
  <c r="J48" i="22"/>
  <c r="U48" i="22" s="1"/>
  <c r="AC48" i="22" s="1"/>
  <c r="Z48" i="22"/>
  <c r="H49" i="22"/>
  <c r="C49" i="22"/>
  <c r="A51" i="22"/>
  <c r="B50" i="22"/>
  <c r="D51" i="16"/>
  <c r="E51" i="16" s="1"/>
  <c r="J49" i="19"/>
  <c r="Z49" i="19"/>
  <c r="B51" i="19"/>
  <c r="A52" i="19"/>
  <c r="C50" i="19"/>
  <c r="H50" i="19"/>
  <c r="U48" i="19"/>
  <c r="AC48" i="19" s="1"/>
  <c r="AD48" i="19" s="1"/>
  <c r="K49" i="19"/>
  <c r="AI49" i="19" s="1"/>
  <c r="P53" i="19"/>
  <c r="G54" i="19"/>
  <c r="V38" i="23"/>
  <c r="S37" i="23"/>
  <c r="AF46" i="21"/>
  <c r="H50" i="21"/>
  <c r="J50" i="21" s="1"/>
  <c r="K51" i="21" s="1"/>
  <c r="C50" i="21"/>
  <c r="AB47" i="21"/>
  <c r="W47" i="21"/>
  <c r="AE47" i="21" s="1"/>
  <c r="G49" i="21"/>
  <c r="P48" i="21"/>
  <c r="B51" i="21"/>
  <c r="AF49" i="16"/>
  <c r="P51" i="16"/>
  <c r="G52" i="16"/>
  <c r="AB50" i="16"/>
  <c r="W50" i="16"/>
  <c r="AE50" i="16" s="1"/>
  <c r="D34" i="23" l="1"/>
  <c r="E35" i="23"/>
  <c r="D35" i="24"/>
  <c r="E36" i="24"/>
  <c r="D36" i="14"/>
  <c r="E37" i="14"/>
  <c r="AE41" i="24"/>
  <c r="AF41" i="24" s="1"/>
  <c r="AH41" i="24" s="1"/>
  <c r="AD48" i="22"/>
  <c r="X51" i="28"/>
  <c r="AF51" i="28" s="1"/>
  <c r="AG51" i="28" s="1"/>
  <c r="N52" i="28"/>
  <c r="C55" i="28"/>
  <c r="E54" i="28"/>
  <c r="K53" i="28"/>
  <c r="F53" i="28"/>
  <c r="AC52" i="28"/>
  <c r="M52" i="28"/>
  <c r="X52" i="28" s="1"/>
  <c r="AF52" i="28" s="1"/>
  <c r="AI49" i="26"/>
  <c r="AG38" i="23"/>
  <c r="AH38" i="23" s="1"/>
  <c r="AJ38" i="23" s="1"/>
  <c r="AH41" i="14"/>
  <c r="W38" i="29"/>
  <c r="AH38" i="29" s="1"/>
  <c r="AI38" i="29" s="1"/>
  <c r="AK38" i="29" s="1"/>
  <c r="T37" i="29"/>
  <c r="H37" i="29"/>
  <c r="G36" i="29"/>
  <c r="H39" i="27"/>
  <c r="G38" i="27"/>
  <c r="Y39" i="27"/>
  <c r="AJ39" i="27" s="1"/>
  <c r="AK39" i="27" s="1"/>
  <c r="AM39" i="27" s="1"/>
  <c r="V38" i="27"/>
  <c r="Z50" i="26"/>
  <c r="AH50" i="26" s="1"/>
  <c r="AE50" i="26"/>
  <c r="A53" i="26"/>
  <c r="B53" i="26" s="1"/>
  <c r="E53" i="26" s="1"/>
  <c r="F51" i="26"/>
  <c r="K51" i="26"/>
  <c r="M51" i="26" s="1"/>
  <c r="N52" i="26" s="1"/>
  <c r="S52" i="26"/>
  <c r="J53" i="26"/>
  <c r="T40" i="24"/>
  <c r="Q39" i="24"/>
  <c r="Q39" i="14"/>
  <c r="T40" i="14"/>
  <c r="AE40" i="14" s="1"/>
  <c r="AF40" i="14" s="1"/>
  <c r="C50" i="22"/>
  <c r="H50" i="22"/>
  <c r="A52" i="22"/>
  <c r="B51" i="22"/>
  <c r="K49" i="22"/>
  <c r="AI48" i="22"/>
  <c r="J49" i="22"/>
  <c r="U49" i="22" s="1"/>
  <c r="AC49" i="22" s="1"/>
  <c r="Z49" i="22"/>
  <c r="G53" i="22"/>
  <c r="P52" i="22"/>
  <c r="D50" i="16"/>
  <c r="E50" i="16" s="1"/>
  <c r="J50" i="19"/>
  <c r="Z50" i="19"/>
  <c r="B52" i="19"/>
  <c r="A53" i="19"/>
  <c r="H51" i="19"/>
  <c r="C51" i="19"/>
  <c r="U49" i="19"/>
  <c r="AC49" i="19" s="1"/>
  <c r="AD49" i="19" s="1"/>
  <c r="K50" i="19"/>
  <c r="AI50" i="19" s="1"/>
  <c r="P54" i="19"/>
  <c r="G55" i="19"/>
  <c r="V37" i="23"/>
  <c r="S36" i="23"/>
  <c r="B52" i="21"/>
  <c r="G50" i="21"/>
  <c r="P49" i="21"/>
  <c r="AB48" i="21"/>
  <c r="W48" i="21"/>
  <c r="AE48" i="21" s="1"/>
  <c r="AF47" i="21"/>
  <c r="H51" i="21"/>
  <c r="J51" i="21" s="1"/>
  <c r="K52" i="21" s="1"/>
  <c r="C51" i="21"/>
  <c r="AF50" i="16"/>
  <c r="G53" i="16"/>
  <c r="P52" i="16"/>
  <c r="AB51" i="16"/>
  <c r="W51" i="16"/>
  <c r="AE51" i="16" s="1"/>
  <c r="D33" i="23" l="1"/>
  <c r="E34" i="23"/>
  <c r="D34" i="24"/>
  <c r="E35" i="24"/>
  <c r="D35" i="14"/>
  <c r="E36" i="14"/>
  <c r="AE40" i="24"/>
  <c r="AF40" i="24" s="1"/>
  <c r="AH40" i="24" s="1"/>
  <c r="AG52" i="28"/>
  <c r="M53" i="28"/>
  <c r="AC53" i="28"/>
  <c r="K54" i="28"/>
  <c r="F54" i="28"/>
  <c r="E55" i="28"/>
  <c r="C56" i="28"/>
  <c r="N53" i="28"/>
  <c r="Z51" i="26"/>
  <c r="AH51" i="26" s="1"/>
  <c r="AE51" i="26"/>
  <c r="AG37" i="23"/>
  <c r="AH37" i="23" s="1"/>
  <c r="AJ37" i="23" s="1"/>
  <c r="AH40" i="14"/>
  <c r="H36" i="29"/>
  <c r="G35" i="29"/>
  <c r="W37" i="29"/>
  <c r="AH37" i="29" s="1"/>
  <c r="AI37" i="29" s="1"/>
  <c r="AK37" i="29" s="1"/>
  <c r="T36" i="29"/>
  <c r="Y38" i="27"/>
  <c r="AJ38" i="27" s="1"/>
  <c r="AK38" i="27" s="1"/>
  <c r="AM38" i="27" s="1"/>
  <c r="V37" i="27"/>
  <c r="H38" i="27"/>
  <c r="G37" i="27"/>
  <c r="AI50" i="26"/>
  <c r="A54" i="26"/>
  <c r="B54" i="26" s="1"/>
  <c r="E54" i="26" s="1"/>
  <c r="F52" i="26"/>
  <c r="K52" i="26"/>
  <c r="M52" i="26" s="1"/>
  <c r="N53" i="26" s="1"/>
  <c r="J54" i="26"/>
  <c r="S53" i="26"/>
  <c r="T39" i="24"/>
  <c r="Q38" i="24"/>
  <c r="Q38" i="14"/>
  <c r="T39" i="14"/>
  <c r="AE39" i="14" s="1"/>
  <c r="AF39" i="14" s="1"/>
  <c r="G54" i="22"/>
  <c r="P53" i="22"/>
  <c r="K50" i="22"/>
  <c r="AI49" i="22"/>
  <c r="H51" i="22"/>
  <c r="C51" i="22"/>
  <c r="A53" i="22"/>
  <c r="B52" i="22"/>
  <c r="AD49" i="22"/>
  <c r="J50" i="22"/>
  <c r="U50" i="22" s="1"/>
  <c r="AC50" i="22" s="1"/>
  <c r="Z50" i="22"/>
  <c r="D49" i="16"/>
  <c r="E49" i="16" s="1"/>
  <c r="J51" i="19"/>
  <c r="Z51" i="19"/>
  <c r="B53" i="19"/>
  <c r="A54" i="19"/>
  <c r="C52" i="19"/>
  <c r="H52" i="19"/>
  <c r="U50" i="19"/>
  <c r="AC50" i="19" s="1"/>
  <c r="AD50" i="19" s="1"/>
  <c r="K51" i="19"/>
  <c r="AI51" i="19" s="1"/>
  <c r="G56" i="19"/>
  <c r="P55" i="19"/>
  <c r="V36" i="23"/>
  <c r="S35" i="23"/>
  <c r="AB49" i="21"/>
  <c r="W49" i="21"/>
  <c r="AE49" i="21" s="1"/>
  <c r="G51" i="21"/>
  <c r="P50" i="21"/>
  <c r="AF48" i="21"/>
  <c r="H52" i="21"/>
  <c r="J52" i="21" s="1"/>
  <c r="K53" i="21" s="1"/>
  <c r="C52" i="21"/>
  <c r="B53" i="21"/>
  <c r="AF51" i="16"/>
  <c r="W52" i="16"/>
  <c r="AE52" i="16" s="1"/>
  <c r="AB52" i="16"/>
  <c r="P53" i="16"/>
  <c r="G54" i="16"/>
  <c r="D32" i="23" l="1"/>
  <c r="E33" i="23"/>
  <c r="D33" i="24"/>
  <c r="E34" i="24"/>
  <c r="D34" i="14"/>
  <c r="E35" i="14"/>
  <c r="AE39" i="24"/>
  <c r="AF39" i="24" s="1"/>
  <c r="AH39" i="24" s="1"/>
  <c r="X53" i="28"/>
  <c r="AF53" i="28" s="1"/>
  <c r="AG53" i="28" s="1"/>
  <c r="N54" i="28"/>
  <c r="E56" i="28"/>
  <c r="C57" i="28"/>
  <c r="K55" i="28"/>
  <c r="F55" i="28"/>
  <c r="AC54" i="28"/>
  <c r="M54" i="28"/>
  <c r="X54" i="28" s="1"/>
  <c r="AF54" i="28" s="1"/>
  <c r="AI51" i="26"/>
  <c r="AG36" i="23"/>
  <c r="AH36" i="23" s="1"/>
  <c r="AJ36" i="23" s="1"/>
  <c r="AH39" i="14"/>
  <c r="W36" i="29"/>
  <c r="AH36" i="29" s="1"/>
  <c r="AI36" i="29" s="1"/>
  <c r="AK36" i="29" s="1"/>
  <c r="T35" i="29"/>
  <c r="H35" i="29"/>
  <c r="G34" i="29"/>
  <c r="H37" i="27"/>
  <c r="G36" i="27"/>
  <c r="Y37" i="27"/>
  <c r="AJ37" i="27" s="1"/>
  <c r="AK37" i="27" s="1"/>
  <c r="AM37" i="27" s="1"/>
  <c r="V36" i="27"/>
  <c r="Z52" i="26"/>
  <c r="AH52" i="26" s="1"/>
  <c r="AE52" i="26"/>
  <c r="F53" i="26"/>
  <c r="K53" i="26"/>
  <c r="M53" i="26" s="1"/>
  <c r="N54" i="26" s="1"/>
  <c r="A55" i="26"/>
  <c r="B55" i="26" s="1"/>
  <c r="E55" i="26" s="1"/>
  <c r="J55" i="26"/>
  <c r="S54" i="26"/>
  <c r="T38" i="24"/>
  <c r="Q37" i="24"/>
  <c r="AD50" i="22"/>
  <c r="Q37" i="14"/>
  <c r="T38" i="14"/>
  <c r="AE38" i="14" s="1"/>
  <c r="AF38" i="14" s="1"/>
  <c r="J51" i="22"/>
  <c r="U51" i="22" s="1"/>
  <c r="AC51" i="22" s="1"/>
  <c r="Z51" i="22"/>
  <c r="K51" i="22"/>
  <c r="AI50" i="22"/>
  <c r="H52" i="22"/>
  <c r="C52" i="22"/>
  <c r="A54" i="22"/>
  <c r="B53" i="22"/>
  <c r="G55" i="22"/>
  <c r="P54" i="22"/>
  <c r="D48" i="16"/>
  <c r="E48" i="16" s="1"/>
  <c r="J52" i="19"/>
  <c r="Z52" i="19"/>
  <c r="B54" i="19"/>
  <c r="A55" i="19"/>
  <c r="H53" i="19"/>
  <c r="C53" i="19"/>
  <c r="U51" i="19"/>
  <c r="AC51" i="19" s="1"/>
  <c r="AD51" i="19" s="1"/>
  <c r="K52" i="19"/>
  <c r="AI52" i="19" s="1"/>
  <c r="P56" i="19"/>
  <c r="G57" i="19"/>
  <c r="AF52" i="16"/>
  <c r="V35" i="23"/>
  <c r="S34" i="23"/>
  <c r="AB50" i="21"/>
  <c r="W50" i="21"/>
  <c r="AE50" i="21" s="1"/>
  <c r="G52" i="21"/>
  <c r="P51" i="21"/>
  <c r="H53" i="21"/>
  <c r="J53" i="21" s="1"/>
  <c r="K54" i="21" s="1"/>
  <c r="C53" i="21"/>
  <c r="AF49" i="21"/>
  <c r="B54" i="21"/>
  <c r="G55" i="16"/>
  <c r="P54" i="16"/>
  <c r="AB53" i="16"/>
  <c r="W53" i="16"/>
  <c r="AE53" i="16" s="1"/>
  <c r="D31" i="23" l="1"/>
  <c r="E32" i="23"/>
  <c r="D32" i="24"/>
  <c r="E33" i="24"/>
  <c r="D33" i="14"/>
  <c r="E34" i="14"/>
  <c r="AE38" i="24"/>
  <c r="AF38" i="24" s="1"/>
  <c r="AH38" i="24" s="1"/>
  <c r="N55" i="28"/>
  <c r="AG54" i="28"/>
  <c r="M55" i="28"/>
  <c r="AC55" i="28"/>
  <c r="E57" i="28"/>
  <c r="C58" i="28"/>
  <c r="F56" i="28"/>
  <c r="K56" i="28"/>
  <c r="Z53" i="26"/>
  <c r="AH53" i="26" s="1"/>
  <c r="AG35" i="23"/>
  <c r="AH35" i="23" s="1"/>
  <c r="AJ35" i="23" s="1"/>
  <c r="AH38" i="14"/>
  <c r="H34" i="29"/>
  <c r="G33" i="29"/>
  <c r="W35" i="29"/>
  <c r="AH35" i="29" s="1"/>
  <c r="AI35" i="29" s="1"/>
  <c r="AK35" i="29" s="1"/>
  <c r="T34" i="29"/>
  <c r="H36" i="27"/>
  <c r="G35" i="27"/>
  <c r="Y36" i="27"/>
  <c r="AJ36" i="27" s="1"/>
  <c r="AK36" i="27" s="1"/>
  <c r="AM36" i="27" s="1"/>
  <c r="V35" i="27"/>
  <c r="AI52" i="26"/>
  <c r="AE53" i="26"/>
  <c r="A56" i="26"/>
  <c r="B56" i="26" s="1"/>
  <c r="E56" i="26" s="1"/>
  <c r="F54" i="26"/>
  <c r="K54" i="26"/>
  <c r="M54" i="26" s="1"/>
  <c r="N55" i="26" s="1"/>
  <c r="J56" i="26"/>
  <c r="S55" i="26"/>
  <c r="T37" i="24"/>
  <c r="Q36" i="24"/>
  <c r="AD51" i="22"/>
  <c r="Q36" i="14"/>
  <c r="T37" i="14"/>
  <c r="AE37" i="14" s="1"/>
  <c r="AF37" i="14" s="1"/>
  <c r="G56" i="22"/>
  <c r="P55" i="22"/>
  <c r="K52" i="22"/>
  <c r="AI51" i="22"/>
  <c r="H53" i="22"/>
  <c r="C53" i="22"/>
  <c r="A55" i="22"/>
  <c r="B54" i="22"/>
  <c r="J52" i="22"/>
  <c r="U52" i="22" s="1"/>
  <c r="AC52" i="22" s="1"/>
  <c r="Z52" i="22"/>
  <c r="D47" i="16"/>
  <c r="E47" i="16" s="1"/>
  <c r="B55" i="19"/>
  <c r="A56" i="19"/>
  <c r="C54" i="19"/>
  <c r="H54" i="19"/>
  <c r="J53" i="19"/>
  <c r="Z53" i="19"/>
  <c r="U52" i="19"/>
  <c r="AC52" i="19" s="1"/>
  <c r="AD52" i="19" s="1"/>
  <c r="K53" i="19"/>
  <c r="AI53" i="19" s="1"/>
  <c r="P57" i="19"/>
  <c r="G58" i="19"/>
  <c r="V34" i="23"/>
  <c r="S33" i="23"/>
  <c r="C54" i="21"/>
  <c r="H54" i="21"/>
  <c r="J54" i="21" s="1"/>
  <c r="K55" i="21" s="1"/>
  <c r="AB51" i="21"/>
  <c r="W51" i="21"/>
  <c r="AE51" i="21" s="1"/>
  <c r="G53" i="21"/>
  <c r="P52" i="21"/>
  <c r="AF50" i="21"/>
  <c r="B55" i="21"/>
  <c r="AF53" i="16"/>
  <c r="W54" i="16"/>
  <c r="AE54" i="16" s="1"/>
  <c r="AB54" i="16"/>
  <c r="G56" i="16"/>
  <c r="P55" i="16"/>
  <c r="D30" i="23" l="1"/>
  <c r="E31" i="23"/>
  <c r="D31" i="24"/>
  <c r="E32" i="24"/>
  <c r="D32" i="14"/>
  <c r="E33" i="14"/>
  <c r="AE37" i="24"/>
  <c r="AF37" i="24" s="1"/>
  <c r="AH37" i="24" s="1"/>
  <c r="AI53" i="26"/>
  <c r="AC56" i="28"/>
  <c r="M56" i="28"/>
  <c r="C59" i="28"/>
  <c r="E58" i="28"/>
  <c r="K57" i="28"/>
  <c r="F57" i="28"/>
  <c r="X55" i="28"/>
  <c r="AF55" i="28" s="1"/>
  <c r="AG55" i="28" s="1"/>
  <c r="N56" i="28"/>
  <c r="Z54" i="26"/>
  <c r="AH54" i="26" s="1"/>
  <c r="AE54" i="26"/>
  <c r="AG34" i="23"/>
  <c r="AH34" i="23" s="1"/>
  <c r="AJ34" i="23" s="1"/>
  <c r="AH37" i="14"/>
  <c r="W34" i="29"/>
  <c r="AH34" i="29" s="1"/>
  <c r="AI34" i="29" s="1"/>
  <c r="AK34" i="29" s="1"/>
  <c r="T33" i="29"/>
  <c r="H33" i="29"/>
  <c r="G32" i="29"/>
  <c r="H35" i="27"/>
  <c r="G34" i="27"/>
  <c r="Y35" i="27"/>
  <c r="AJ35" i="27" s="1"/>
  <c r="AK35" i="27" s="1"/>
  <c r="AM35" i="27" s="1"/>
  <c r="V34" i="27"/>
  <c r="A57" i="26"/>
  <c r="B57" i="26" s="1"/>
  <c r="E57" i="26" s="1"/>
  <c r="K55" i="26"/>
  <c r="M55" i="26" s="1"/>
  <c r="N56" i="26" s="1"/>
  <c r="F55" i="26"/>
  <c r="J57" i="26"/>
  <c r="S56" i="26"/>
  <c r="T36" i="24"/>
  <c r="Q35" i="24"/>
  <c r="AD52" i="22"/>
  <c r="Q35" i="14"/>
  <c r="T36" i="14"/>
  <c r="AE36" i="14" s="1"/>
  <c r="AF36" i="14" s="1"/>
  <c r="K53" i="22"/>
  <c r="AI52" i="22"/>
  <c r="J53" i="22"/>
  <c r="U53" i="22" s="1"/>
  <c r="AC53" i="22" s="1"/>
  <c r="Z53" i="22"/>
  <c r="G57" i="22"/>
  <c r="P56" i="22"/>
  <c r="H54" i="22"/>
  <c r="C54" i="22"/>
  <c r="A56" i="22"/>
  <c r="B55" i="22"/>
  <c r="D46" i="16"/>
  <c r="E46" i="16" s="1"/>
  <c r="K54" i="19"/>
  <c r="AI54" i="19" s="1"/>
  <c r="U53" i="19"/>
  <c r="AC53" i="19" s="1"/>
  <c r="AD53" i="19" s="1"/>
  <c r="J54" i="19"/>
  <c r="Z54" i="19"/>
  <c r="B56" i="19"/>
  <c r="A57" i="19"/>
  <c r="C55" i="19"/>
  <c r="H55" i="19"/>
  <c r="G59" i="19"/>
  <c r="P58" i="19"/>
  <c r="AF54" i="16"/>
  <c r="V33" i="23"/>
  <c r="S32" i="23"/>
  <c r="AB52" i="21"/>
  <c r="W52" i="21"/>
  <c r="AE52" i="21" s="1"/>
  <c r="G54" i="21"/>
  <c r="P53" i="21"/>
  <c r="AF51" i="21"/>
  <c r="C55" i="21"/>
  <c r="H55" i="21"/>
  <c r="J55" i="21" s="1"/>
  <c r="K56" i="21" s="1"/>
  <c r="B56" i="21"/>
  <c r="AB55" i="16"/>
  <c r="W55" i="16"/>
  <c r="AE55" i="16" s="1"/>
  <c r="P56" i="16"/>
  <c r="G57" i="16"/>
  <c r="D29" i="23" l="1"/>
  <c r="E30" i="23"/>
  <c r="D30" i="24"/>
  <c r="E31" i="24"/>
  <c r="D31" i="14"/>
  <c r="E32" i="14"/>
  <c r="AE36" i="24"/>
  <c r="AF36" i="24" s="1"/>
  <c r="AH36" i="24" s="1"/>
  <c r="AC57" i="28"/>
  <c r="M57" i="28"/>
  <c r="X57" i="28" s="1"/>
  <c r="AF57" i="28" s="1"/>
  <c r="K58" i="28"/>
  <c r="F58" i="28"/>
  <c r="E59" i="28"/>
  <c r="C60" i="28"/>
  <c r="X56" i="28"/>
  <c r="AF56" i="28" s="1"/>
  <c r="AG56" i="28" s="1"/>
  <c r="N57" i="28"/>
  <c r="AI54" i="26"/>
  <c r="AE55" i="26"/>
  <c r="Z55" i="26"/>
  <c r="AH55" i="26" s="1"/>
  <c r="AG33" i="23"/>
  <c r="AH33" i="23" s="1"/>
  <c r="AJ33" i="23" s="1"/>
  <c r="AH36" i="14"/>
  <c r="W33" i="29"/>
  <c r="AH33" i="29" s="1"/>
  <c r="AI33" i="29" s="1"/>
  <c r="AK33" i="29" s="1"/>
  <c r="T32" i="29"/>
  <c r="H32" i="29"/>
  <c r="G31" i="29"/>
  <c r="H34" i="27"/>
  <c r="G33" i="27"/>
  <c r="Y34" i="27"/>
  <c r="AJ34" i="27" s="1"/>
  <c r="AK34" i="27" s="1"/>
  <c r="AM34" i="27" s="1"/>
  <c r="V33" i="27"/>
  <c r="A58" i="26"/>
  <c r="B58" i="26" s="1"/>
  <c r="E58" i="26" s="1"/>
  <c r="K56" i="26"/>
  <c r="M56" i="26" s="1"/>
  <c r="N57" i="26" s="1"/>
  <c r="F56" i="26"/>
  <c r="J58" i="26"/>
  <c r="S57" i="26"/>
  <c r="T35" i="24"/>
  <c r="Q34" i="24"/>
  <c r="AD53" i="22"/>
  <c r="Q34" i="14"/>
  <c r="T35" i="14"/>
  <c r="AE35" i="14" s="1"/>
  <c r="AF35" i="14" s="1"/>
  <c r="J54" i="22"/>
  <c r="U54" i="22" s="1"/>
  <c r="AC54" i="22" s="1"/>
  <c r="Z54" i="22"/>
  <c r="H55" i="22"/>
  <c r="C55" i="22"/>
  <c r="A57" i="22"/>
  <c r="B56" i="22"/>
  <c r="G58" i="22"/>
  <c r="P57" i="22"/>
  <c r="K54" i="22"/>
  <c r="AI53" i="22"/>
  <c r="D45" i="16"/>
  <c r="E45" i="16" s="1"/>
  <c r="B57" i="19"/>
  <c r="A58" i="19"/>
  <c r="H56" i="19"/>
  <c r="C56" i="19"/>
  <c r="K55" i="19"/>
  <c r="AI55" i="19" s="1"/>
  <c r="U54" i="19"/>
  <c r="AC54" i="19" s="1"/>
  <c r="AD54" i="19" s="1"/>
  <c r="J55" i="19"/>
  <c r="Z55" i="19"/>
  <c r="P59" i="19"/>
  <c r="G60" i="19"/>
  <c r="V32" i="23"/>
  <c r="S31" i="23"/>
  <c r="AB53" i="21"/>
  <c r="W53" i="21"/>
  <c r="AE53" i="21" s="1"/>
  <c r="G55" i="21"/>
  <c r="P54" i="21"/>
  <c r="H56" i="21"/>
  <c r="J56" i="21" s="1"/>
  <c r="K57" i="21" s="1"/>
  <c r="C56" i="21"/>
  <c r="AF52" i="21"/>
  <c r="B57" i="21"/>
  <c r="P57" i="16"/>
  <c r="G58" i="16"/>
  <c r="AB56" i="16"/>
  <c r="W56" i="16"/>
  <c r="AE56" i="16" s="1"/>
  <c r="AF55" i="16"/>
  <c r="D28" i="23" l="1"/>
  <c r="E29" i="23"/>
  <c r="D29" i="24"/>
  <c r="E30" i="24"/>
  <c r="D30" i="14"/>
  <c r="E31" i="14"/>
  <c r="AE35" i="24"/>
  <c r="AF35" i="24" s="1"/>
  <c r="AH35" i="24" s="1"/>
  <c r="N58" i="28"/>
  <c r="K59" i="28"/>
  <c r="F59" i="28"/>
  <c r="M58" i="28"/>
  <c r="AC58" i="28"/>
  <c r="C61" i="28"/>
  <c r="E60" i="28"/>
  <c r="AG57" i="28"/>
  <c r="AI55" i="26"/>
  <c r="AE56" i="26"/>
  <c r="AG32" i="23"/>
  <c r="AH32" i="23" s="1"/>
  <c r="AJ32" i="23" s="1"/>
  <c r="AH35" i="14"/>
  <c r="H31" i="29"/>
  <c r="G30" i="29"/>
  <c r="W32" i="29"/>
  <c r="AH32" i="29" s="1"/>
  <c r="AI32" i="29" s="1"/>
  <c r="AK32" i="29" s="1"/>
  <c r="T31" i="29"/>
  <c r="Y33" i="27"/>
  <c r="AJ33" i="27" s="1"/>
  <c r="AK33" i="27" s="1"/>
  <c r="AM33" i="27" s="1"/>
  <c r="V32" i="27"/>
  <c r="H33" i="27"/>
  <c r="G32" i="27"/>
  <c r="Z56" i="26"/>
  <c r="AH56" i="26" s="1"/>
  <c r="F57" i="26"/>
  <c r="K57" i="26"/>
  <c r="M57" i="26" s="1"/>
  <c r="N58" i="26" s="1"/>
  <c r="A59" i="26"/>
  <c r="B59" i="26" s="1"/>
  <c r="E59" i="26" s="1"/>
  <c r="S58" i="26"/>
  <c r="J59" i="26"/>
  <c r="T34" i="24"/>
  <c r="Q33" i="24"/>
  <c r="AD54" i="22"/>
  <c r="Q33" i="14"/>
  <c r="T34" i="14"/>
  <c r="AE34" i="14" s="1"/>
  <c r="AF34" i="14" s="1"/>
  <c r="J55" i="22"/>
  <c r="U55" i="22" s="1"/>
  <c r="AC55" i="22" s="1"/>
  <c r="Z55" i="22"/>
  <c r="K55" i="22"/>
  <c r="AI54" i="22"/>
  <c r="G59" i="22"/>
  <c r="P58" i="22"/>
  <c r="H56" i="22"/>
  <c r="C56" i="22"/>
  <c r="A58" i="22"/>
  <c r="B57" i="22"/>
  <c r="D44" i="16"/>
  <c r="E44" i="16" s="1"/>
  <c r="K56" i="19"/>
  <c r="AI56" i="19" s="1"/>
  <c r="U55" i="19"/>
  <c r="AC55" i="19" s="1"/>
  <c r="AD55" i="19" s="1"/>
  <c r="J56" i="19"/>
  <c r="Z56" i="19"/>
  <c r="B58" i="19"/>
  <c r="A59" i="19"/>
  <c r="C57" i="19"/>
  <c r="H57" i="19"/>
  <c r="P60" i="19"/>
  <c r="G61" i="19"/>
  <c r="V31" i="23"/>
  <c r="S30" i="23"/>
  <c r="C57" i="21"/>
  <c r="H57" i="21"/>
  <c r="J57" i="21" s="1"/>
  <c r="K58" i="21" s="1"/>
  <c r="AF53" i="21"/>
  <c r="W54" i="21"/>
  <c r="AE54" i="21" s="1"/>
  <c r="AB54" i="21"/>
  <c r="G56" i="21"/>
  <c r="P55" i="21"/>
  <c r="B58" i="21"/>
  <c r="AF56" i="16"/>
  <c r="P58" i="16"/>
  <c r="G59" i="16"/>
  <c r="W57" i="16"/>
  <c r="AE57" i="16" s="1"/>
  <c r="AB57" i="16"/>
  <c r="D27" i="23" l="1"/>
  <c r="E28" i="23"/>
  <c r="D28" i="24"/>
  <c r="E29" i="24"/>
  <c r="D29" i="14"/>
  <c r="E30" i="14"/>
  <c r="AE34" i="24"/>
  <c r="AF34" i="24" s="1"/>
  <c r="AH34" i="24" s="1"/>
  <c r="K60" i="28"/>
  <c r="F60" i="28"/>
  <c r="C62" i="28"/>
  <c r="E61" i="28"/>
  <c r="X58" i="28"/>
  <c r="AF58" i="28" s="1"/>
  <c r="AG58" i="28" s="1"/>
  <c r="N59" i="28"/>
  <c r="M59" i="28"/>
  <c r="X59" i="28" s="1"/>
  <c r="AF59" i="28" s="1"/>
  <c r="AC59" i="28"/>
  <c r="AI56" i="26"/>
  <c r="AE57" i="26"/>
  <c r="AG31" i="23"/>
  <c r="AH31" i="23" s="1"/>
  <c r="AJ31" i="23" s="1"/>
  <c r="AH34" i="14"/>
  <c r="H30" i="29"/>
  <c r="G29" i="29"/>
  <c r="W31" i="29"/>
  <c r="AH31" i="29" s="1"/>
  <c r="AI31" i="29" s="1"/>
  <c r="AK31" i="29" s="1"/>
  <c r="T30" i="29"/>
  <c r="H32" i="27"/>
  <c r="G31" i="27"/>
  <c r="Y32" i="27"/>
  <c r="AJ32" i="27" s="1"/>
  <c r="AK32" i="27" s="1"/>
  <c r="AM32" i="27" s="1"/>
  <c r="V31" i="27"/>
  <c r="Z57" i="26"/>
  <c r="AH57" i="26" s="1"/>
  <c r="K58" i="26"/>
  <c r="M58" i="26" s="1"/>
  <c r="N59" i="26" s="1"/>
  <c r="F58" i="26"/>
  <c r="A60" i="26"/>
  <c r="B60" i="26" s="1"/>
  <c r="E60" i="26" s="1"/>
  <c r="S59" i="26"/>
  <c r="J60" i="26"/>
  <c r="T33" i="24"/>
  <c r="Q32" i="24"/>
  <c r="AD55" i="22"/>
  <c r="Q32" i="14"/>
  <c r="T33" i="14"/>
  <c r="AE33" i="14" s="1"/>
  <c r="AF33" i="14" s="1"/>
  <c r="H57" i="22"/>
  <c r="C57" i="22"/>
  <c r="A59" i="22"/>
  <c r="B58" i="22"/>
  <c r="J56" i="22"/>
  <c r="U56" i="22" s="1"/>
  <c r="AC56" i="22" s="1"/>
  <c r="Z56" i="22"/>
  <c r="K56" i="22"/>
  <c r="AI55" i="22"/>
  <c r="G60" i="22"/>
  <c r="P59" i="22"/>
  <c r="D43" i="16"/>
  <c r="E43" i="16" s="1"/>
  <c r="B59" i="19"/>
  <c r="A60" i="19"/>
  <c r="C58" i="19"/>
  <c r="H58" i="19"/>
  <c r="K57" i="19"/>
  <c r="AI57" i="19" s="1"/>
  <c r="U56" i="19"/>
  <c r="AC56" i="19" s="1"/>
  <c r="AD56" i="19" s="1"/>
  <c r="J57" i="19"/>
  <c r="Z57" i="19"/>
  <c r="P61" i="19"/>
  <c r="G62" i="19"/>
  <c r="AF54" i="21"/>
  <c r="V30" i="23"/>
  <c r="S29" i="23"/>
  <c r="G57" i="21"/>
  <c r="P56" i="21"/>
  <c r="AB55" i="21"/>
  <c r="W55" i="21"/>
  <c r="AE55" i="21" s="1"/>
  <c r="H58" i="21"/>
  <c r="J58" i="21" s="1"/>
  <c r="K59" i="21" s="1"/>
  <c r="C58" i="21"/>
  <c r="B59" i="21"/>
  <c r="P59" i="16"/>
  <c r="G60" i="16"/>
  <c r="AB58" i="16"/>
  <c r="W58" i="16"/>
  <c r="AE58" i="16" s="1"/>
  <c r="AF57" i="16"/>
  <c r="D26" i="23" l="1"/>
  <c r="E27" i="23"/>
  <c r="D27" i="24"/>
  <c r="E28" i="24"/>
  <c r="D28" i="14"/>
  <c r="E29" i="14"/>
  <c r="AD56" i="22"/>
  <c r="AE33" i="24"/>
  <c r="AF33" i="24" s="1"/>
  <c r="AH33" i="24" s="1"/>
  <c r="N60" i="28"/>
  <c r="F61" i="28"/>
  <c r="K61" i="28"/>
  <c r="E62" i="28"/>
  <c r="C63" i="28"/>
  <c r="AG59" i="28"/>
  <c r="AC60" i="28"/>
  <c r="M60" i="28"/>
  <c r="AI57" i="26"/>
  <c r="AE58" i="26"/>
  <c r="Z58" i="26"/>
  <c r="AH58" i="26" s="1"/>
  <c r="AG30" i="23"/>
  <c r="AH30" i="23" s="1"/>
  <c r="AJ30" i="23" s="1"/>
  <c r="AH33" i="14"/>
  <c r="H29" i="29"/>
  <c r="G28" i="29"/>
  <c r="W30" i="29"/>
  <c r="AH30" i="29" s="1"/>
  <c r="AI30" i="29" s="1"/>
  <c r="AK30" i="29" s="1"/>
  <c r="T29" i="29"/>
  <c r="Y31" i="27"/>
  <c r="AJ31" i="27" s="1"/>
  <c r="AK31" i="27" s="1"/>
  <c r="AM31" i="27" s="1"/>
  <c r="V30" i="27"/>
  <c r="H31" i="27"/>
  <c r="G30" i="27"/>
  <c r="K59" i="26"/>
  <c r="M59" i="26" s="1"/>
  <c r="N60" i="26" s="1"/>
  <c r="F59" i="26"/>
  <c r="A61" i="26"/>
  <c r="B61" i="26" s="1"/>
  <c r="E61" i="26" s="1"/>
  <c r="S60" i="26"/>
  <c r="J61" i="26"/>
  <c r="T32" i="24"/>
  <c r="Q31" i="24"/>
  <c r="Q31" i="14"/>
  <c r="T32" i="14"/>
  <c r="AE32" i="14" s="1"/>
  <c r="AF32" i="14" s="1"/>
  <c r="K57" i="22"/>
  <c r="AI56" i="22"/>
  <c r="G61" i="22"/>
  <c r="P60" i="22"/>
  <c r="C58" i="22"/>
  <c r="H58" i="22"/>
  <c r="A60" i="22"/>
  <c r="B59" i="22"/>
  <c r="J57" i="22"/>
  <c r="U57" i="22" s="1"/>
  <c r="AC57" i="22" s="1"/>
  <c r="Z57" i="22"/>
  <c r="D42" i="16"/>
  <c r="E42" i="16" s="1"/>
  <c r="K58" i="19"/>
  <c r="AI58" i="19" s="1"/>
  <c r="U57" i="19"/>
  <c r="AC57" i="19" s="1"/>
  <c r="AD57" i="19" s="1"/>
  <c r="J58" i="19"/>
  <c r="Z58" i="19"/>
  <c r="B60" i="19"/>
  <c r="A61" i="19"/>
  <c r="H59" i="19"/>
  <c r="C59" i="19"/>
  <c r="P62" i="19"/>
  <c r="G63" i="19"/>
  <c r="V29" i="23"/>
  <c r="S28" i="23"/>
  <c r="B60" i="21"/>
  <c r="AB56" i="21"/>
  <c r="W56" i="21"/>
  <c r="AE56" i="21" s="1"/>
  <c r="G58" i="21"/>
  <c r="P57" i="21"/>
  <c r="AF55" i="21"/>
  <c r="H59" i="21"/>
  <c r="J59" i="21" s="1"/>
  <c r="K60" i="21" s="1"/>
  <c r="C59" i="21"/>
  <c r="AF58" i="16"/>
  <c r="G61" i="16"/>
  <c r="P60" i="16"/>
  <c r="W59" i="16"/>
  <c r="AE59" i="16" s="1"/>
  <c r="AB59" i="16"/>
  <c r="D25" i="23" l="1"/>
  <c r="E26" i="23"/>
  <c r="D26" i="24"/>
  <c r="E27" i="24"/>
  <c r="D27" i="14"/>
  <c r="E28" i="14"/>
  <c r="AE32" i="24"/>
  <c r="AF32" i="24" s="1"/>
  <c r="AH32" i="24" s="1"/>
  <c r="X60" i="28"/>
  <c r="AF60" i="28" s="1"/>
  <c r="AG60" i="28" s="1"/>
  <c r="N61" i="28"/>
  <c r="E63" i="28"/>
  <c r="C64" i="28"/>
  <c r="K62" i="28"/>
  <c r="F62" i="28"/>
  <c r="AC61" i="28"/>
  <c r="M61" i="28"/>
  <c r="AI58" i="26"/>
  <c r="AE59" i="26"/>
  <c r="AG29" i="23"/>
  <c r="AH29" i="23" s="1"/>
  <c r="AJ29" i="23" s="1"/>
  <c r="AH32" i="14"/>
  <c r="W29" i="29"/>
  <c r="AH29" i="29" s="1"/>
  <c r="AI29" i="29" s="1"/>
  <c r="AK29" i="29" s="1"/>
  <c r="T28" i="29"/>
  <c r="H28" i="29"/>
  <c r="G27" i="29"/>
  <c r="H30" i="27"/>
  <c r="G29" i="27"/>
  <c r="Y30" i="27"/>
  <c r="AJ30" i="27" s="1"/>
  <c r="AK30" i="27" s="1"/>
  <c r="AM30" i="27" s="1"/>
  <c r="V29" i="27"/>
  <c r="Z59" i="26"/>
  <c r="AH59" i="26" s="1"/>
  <c r="K60" i="26"/>
  <c r="M60" i="26" s="1"/>
  <c r="N61" i="26" s="1"/>
  <c r="F60" i="26"/>
  <c r="A62" i="26"/>
  <c r="B62" i="26" s="1"/>
  <c r="E62" i="26" s="1"/>
  <c r="S61" i="26"/>
  <c r="J62" i="26"/>
  <c r="T31" i="24"/>
  <c r="Q30" i="24"/>
  <c r="AD57" i="22"/>
  <c r="AF59" i="16"/>
  <c r="Q30" i="14"/>
  <c r="T31" i="14"/>
  <c r="AE31" i="14" s="1"/>
  <c r="AF31" i="14" s="1"/>
  <c r="G62" i="22"/>
  <c r="P61" i="22"/>
  <c r="A61" i="22"/>
  <c r="B60" i="22"/>
  <c r="J58" i="22"/>
  <c r="U58" i="22" s="1"/>
  <c r="AC58" i="22" s="1"/>
  <c r="Z58" i="22"/>
  <c r="H59" i="22"/>
  <c r="C59" i="22"/>
  <c r="K58" i="22"/>
  <c r="AI57" i="22"/>
  <c r="D41" i="16"/>
  <c r="E41" i="16" s="1"/>
  <c r="J59" i="19"/>
  <c r="Z59" i="19"/>
  <c r="H60" i="19"/>
  <c r="C60" i="19"/>
  <c r="K59" i="19"/>
  <c r="AI59" i="19" s="1"/>
  <c r="U58" i="19"/>
  <c r="AC58" i="19" s="1"/>
  <c r="AD58" i="19" s="1"/>
  <c r="B61" i="19"/>
  <c r="A62" i="19"/>
  <c r="G64" i="19"/>
  <c r="P63" i="19"/>
  <c r="V28" i="23"/>
  <c r="S27" i="23"/>
  <c r="AB57" i="21"/>
  <c r="W57" i="21"/>
  <c r="AE57" i="21" s="1"/>
  <c r="G59" i="21"/>
  <c r="P58" i="21"/>
  <c r="AF56" i="21"/>
  <c r="H60" i="21"/>
  <c r="J60" i="21" s="1"/>
  <c r="K61" i="21" s="1"/>
  <c r="C60" i="21"/>
  <c r="B61" i="21"/>
  <c r="AB60" i="16"/>
  <c r="W60" i="16"/>
  <c r="AE60" i="16" s="1"/>
  <c r="P61" i="16"/>
  <c r="G62" i="16"/>
  <c r="D24" i="23" l="1"/>
  <c r="E24" i="23" s="1"/>
  <c r="E25" i="23"/>
  <c r="D25" i="24"/>
  <c r="E26" i="24"/>
  <c r="D26" i="14"/>
  <c r="E26" i="14" s="1"/>
  <c r="E27" i="14"/>
  <c r="AE31" i="24"/>
  <c r="AF31" i="24" s="1"/>
  <c r="AH31" i="24" s="1"/>
  <c r="M62" i="28"/>
  <c r="AC62" i="28"/>
  <c r="E64" i="28"/>
  <c r="C65" i="28"/>
  <c r="K63" i="28"/>
  <c r="F63" i="28"/>
  <c r="X61" i="28"/>
  <c r="AF61" i="28" s="1"/>
  <c r="AG61" i="28" s="1"/>
  <c r="N62" i="28"/>
  <c r="AI59" i="26"/>
  <c r="AG28" i="23"/>
  <c r="AH28" i="23" s="1"/>
  <c r="AJ28" i="23" s="1"/>
  <c r="AH31" i="14"/>
  <c r="H27" i="29"/>
  <c r="G26" i="29"/>
  <c r="W28" i="29"/>
  <c r="AH28" i="29" s="1"/>
  <c r="AI28" i="29" s="1"/>
  <c r="AK28" i="29" s="1"/>
  <c r="T27" i="29"/>
  <c r="H29" i="27"/>
  <c r="G28" i="27"/>
  <c r="Y29" i="27"/>
  <c r="AJ29" i="27" s="1"/>
  <c r="AK29" i="27" s="1"/>
  <c r="AM29" i="27" s="1"/>
  <c r="V28" i="27"/>
  <c r="AE60" i="26"/>
  <c r="Z60" i="26"/>
  <c r="AH60" i="26" s="1"/>
  <c r="F61" i="26"/>
  <c r="K61" i="26"/>
  <c r="M61" i="26" s="1"/>
  <c r="N62" i="26" s="1"/>
  <c r="A63" i="26"/>
  <c r="B63" i="26" s="1"/>
  <c r="E63" i="26" s="1"/>
  <c r="J63" i="26"/>
  <c r="S62" i="26"/>
  <c r="T30" i="24"/>
  <c r="Q29" i="24"/>
  <c r="AD58" i="22"/>
  <c r="Q29" i="14"/>
  <c r="T30" i="14"/>
  <c r="AE30" i="14" s="1"/>
  <c r="AF30" i="14" s="1"/>
  <c r="H60" i="22"/>
  <c r="C60" i="22"/>
  <c r="A62" i="22"/>
  <c r="B61" i="22"/>
  <c r="K59" i="22"/>
  <c r="AI58" i="22"/>
  <c r="J59" i="22"/>
  <c r="U59" i="22" s="1"/>
  <c r="AC59" i="22" s="1"/>
  <c r="Z59" i="22"/>
  <c r="G63" i="22"/>
  <c r="P62" i="22"/>
  <c r="D40" i="16"/>
  <c r="E40" i="16" s="1"/>
  <c r="B62" i="19"/>
  <c r="A63" i="19"/>
  <c r="C61" i="19"/>
  <c r="H61" i="19"/>
  <c r="J60" i="19"/>
  <c r="Z60" i="19"/>
  <c r="K60" i="19"/>
  <c r="AI60" i="19" s="1"/>
  <c r="U59" i="19"/>
  <c r="AC59" i="19" s="1"/>
  <c r="AD59" i="19" s="1"/>
  <c r="P64" i="19"/>
  <c r="G65" i="19"/>
  <c r="V27" i="23"/>
  <c r="S26" i="23"/>
  <c r="W58" i="21"/>
  <c r="AE58" i="21" s="1"/>
  <c r="AB58" i="21"/>
  <c r="G60" i="21"/>
  <c r="P59" i="21"/>
  <c r="H61" i="21"/>
  <c r="J61" i="21" s="1"/>
  <c r="K62" i="21" s="1"/>
  <c r="C61" i="21"/>
  <c r="AF57" i="21"/>
  <c r="B62" i="21"/>
  <c r="AF60" i="16"/>
  <c r="G63" i="16"/>
  <c r="P62" i="16"/>
  <c r="AB61" i="16"/>
  <c r="W61" i="16"/>
  <c r="AE61" i="16" s="1"/>
  <c r="D24" i="24" l="1"/>
  <c r="E24" i="24" s="1"/>
  <c r="E25" i="24"/>
  <c r="AE30" i="24"/>
  <c r="AF30" i="24" s="1"/>
  <c r="AH30" i="24" s="1"/>
  <c r="M63" i="28"/>
  <c r="X63" i="28" s="1"/>
  <c r="AF63" i="28" s="1"/>
  <c r="AC63" i="28"/>
  <c r="E65" i="28"/>
  <c r="C66" i="28"/>
  <c r="F64" i="28"/>
  <c r="K64" i="28"/>
  <c r="X62" i="28"/>
  <c r="AF62" i="28" s="1"/>
  <c r="AG62" i="28" s="1"/>
  <c r="N63" i="28"/>
  <c r="AI60" i="26"/>
  <c r="AF58" i="21"/>
  <c r="AG27" i="23"/>
  <c r="AH27" i="23" s="1"/>
  <c r="AJ27" i="23" s="1"/>
  <c r="AH30" i="14"/>
  <c r="H26" i="29"/>
  <c r="G25" i="29"/>
  <c r="W27" i="29"/>
  <c r="AH27" i="29" s="1"/>
  <c r="AI27" i="29" s="1"/>
  <c r="AK27" i="29" s="1"/>
  <c r="T26" i="29"/>
  <c r="Y28" i="27"/>
  <c r="AJ28" i="27" s="1"/>
  <c r="AK28" i="27" s="1"/>
  <c r="AM28" i="27" s="1"/>
  <c r="V27" i="27"/>
  <c r="H28" i="27"/>
  <c r="G27" i="27"/>
  <c r="AE61" i="26"/>
  <c r="F62" i="26"/>
  <c r="K62" i="26"/>
  <c r="M62" i="26" s="1"/>
  <c r="N63" i="26" s="1"/>
  <c r="A64" i="26"/>
  <c r="B64" i="26" s="1"/>
  <c r="E64" i="26" s="1"/>
  <c r="Z61" i="26"/>
  <c r="AH61" i="26" s="1"/>
  <c r="J64" i="26"/>
  <c r="S63" i="26"/>
  <c r="T29" i="24"/>
  <c r="Q28" i="24"/>
  <c r="AD59" i="22"/>
  <c r="Q28" i="14"/>
  <c r="T29" i="14"/>
  <c r="AE29" i="14" s="1"/>
  <c r="AF29" i="14" s="1"/>
  <c r="H61" i="22"/>
  <c r="C61" i="22"/>
  <c r="G64" i="22"/>
  <c r="P63" i="22"/>
  <c r="A63" i="22"/>
  <c r="B62" i="22"/>
  <c r="J60" i="22"/>
  <c r="U60" i="22" s="1"/>
  <c r="AC60" i="22" s="1"/>
  <c r="Z60" i="22"/>
  <c r="K60" i="22"/>
  <c r="AI59" i="22"/>
  <c r="D39" i="16"/>
  <c r="E39" i="16" s="1"/>
  <c r="K61" i="19"/>
  <c r="AI61" i="19" s="1"/>
  <c r="U60" i="19"/>
  <c r="AC60" i="19" s="1"/>
  <c r="AD60" i="19" s="1"/>
  <c r="J61" i="19"/>
  <c r="Z61" i="19"/>
  <c r="B63" i="19"/>
  <c r="A64" i="19"/>
  <c r="C62" i="19"/>
  <c r="H62" i="19"/>
  <c r="P65" i="19"/>
  <c r="G66" i="19"/>
  <c r="V26" i="23"/>
  <c r="S25" i="23"/>
  <c r="C62" i="21"/>
  <c r="H62" i="21"/>
  <c r="J62" i="21" s="1"/>
  <c r="K63" i="21" s="1"/>
  <c r="W59" i="21"/>
  <c r="AE59" i="21" s="1"/>
  <c r="AB59" i="21"/>
  <c r="G61" i="21"/>
  <c r="P60" i="21"/>
  <c r="B63" i="21"/>
  <c r="W62" i="16"/>
  <c r="AE62" i="16" s="1"/>
  <c r="AB62" i="16"/>
  <c r="AF61" i="16"/>
  <c r="G64" i="16"/>
  <c r="P63" i="16"/>
  <c r="AD60" i="22" l="1"/>
  <c r="AE29" i="24"/>
  <c r="AF29" i="24" s="1"/>
  <c r="AH29" i="24" s="1"/>
  <c r="AG63" i="28"/>
  <c r="N64" i="28"/>
  <c r="M64" i="28"/>
  <c r="AC64" i="28"/>
  <c r="C67" i="28"/>
  <c r="E66" i="28"/>
  <c r="F65" i="28"/>
  <c r="K65" i="28"/>
  <c r="Z62" i="26"/>
  <c r="AH62" i="26" s="1"/>
  <c r="AG26" i="23"/>
  <c r="AH26" i="23" s="1"/>
  <c r="AJ26" i="23" s="1"/>
  <c r="AH29" i="14"/>
  <c r="H25" i="29"/>
  <c r="G24" i="29"/>
  <c r="H24" i="29" s="1"/>
  <c r="W26" i="29"/>
  <c r="AH26" i="29" s="1"/>
  <c r="AI26" i="29" s="1"/>
  <c r="AK26" i="29" s="1"/>
  <c r="T25" i="29"/>
  <c r="H27" i="27"/>
  <c r="G26" i="27"/>
  <c r="Y27" i="27"/>
  <c r="AJ27" i="27" s="1"/>
  <c r="AK27" i="27" s="1"/>
  <c r="AM27" i="27" s="1"/>
  <c r="V26" i="27"/>
  <c r="AI61" i="26"/>
  <c r="AE62" i="26"/>
  <c r="F63" i="26"/>
  <c r="K63" i="26"/>
  <c r="M63" i="26" s="1"/>
  <c r="N64" i="26" s="1"/>
  <c r="A65" i="26"/>
  <c r="B65" i="26" s="1"/>
  <c r="E65" i="26" s="1"/>
  <c r="S64" i="26"/>
  <c r="J65" i="26"/>
  <c r="T28" i="24"/>
  <c r="Q27" i="24"/>
  <c r="Q27" i="14"/>
  <c r="T28" i="14"/>
  <c r="AE28" i="14" s="1"/>
  <c r="AF28" i="14" s="1"/>
  <c r="J61" i="22"/>
  <c r="U61" i="22" s="1"/>
  <c r="AC61" i="22" s="1"/>
  <c r="Z61" i="22"/>
  <c r="H62" i="22"/>
  <c r="C62" i="22"/>
  <c r="A64" i="22"/>
  <c r="B63" i="22"/>
  <c r="K61" i="22"/>
  <c r="AI60" i="22"/>
  <c r="G65" i="22"/>
  <c r="P64" i="22"/>
  <c r="D38" i="16"/>
  <c r="E38" i="16" s="1"/>
  <c r="J62" i="19"/>
  <c r="Z62" i="19"/>
  <c r="H63" i="19"/>
  <c r="C63" i="19"/>
  <c r="B64" i="19"/>
  <c r="A65" i="19"/>
  <c r="K62" i="19"/>
  <c r="AI62" i="19" s="1"/>
  <c r="U61" i="19"/>
  <c r="AC61" i="19" s="1"/>
  <c r="AD61" i="19" s="1"/>
  <c r="G67" i="19"/>
  <c r="P66" i="19"/>
  <c r="V25" i="23"/>
  <c r="S24" i="23"/>
  <c r="AF59" i="21"/>
  <c r="AB60" i="21"/>
  <c r="W60" i="21"/>
  <c r="AE60" i="21" s="1"/>
  <c r="G62" i="21"/>
  <c r="P61" i="21"/>
  <c r="B64" i="21"/>
  <c r="C63" i="21"/>
  <c r="H63" i="21"/>
  <c r="J63" i="21" s="1"/>
  <c r="K64" i="21" s="1"/>
  <c r="AF62" i="16"/>
  <c r="AB63" i="16"/>
  <c r="W63" i="16"/>
  <c r="AE63" i="16" s="1"/>
  <c r="G65" i="16"/>
  <c r="P64" i="16"/>
  <c r="AE28" i="24" l="1"/>
  <c r="AF28" i="24" s="1"/>
  <c r="AH28" i="24" s="1"/>
  <c r="M65" i="28"/>
  <c r="AC65" i="28"/>
  <c r="K66" i="28"/>
  <c r="F66" i="28"/>
  <c r="C68" i="28"/>
  <c r="E67" i="28"/>
  <c r="X64" i="28"/>
  <c r="AF64" i="28" s="1"/>
  <c r="AG64" i="28" s="1"/>
  <c r="N65" i="28"/>
  <c r="AI62" i="26"/>
  <c r="AE63" i="26"/>
  <c r="Z63" i="26"/>
  <c r="AH63" i="26" s="1"/>
  <c r="AG25" i="23"/>
  <c r="AH25" i="23" s="1"/>
  <c r="AJ25" i="23" s="1"/>
  <c r="AH28" i="14"/>
  <c r="W25" i="29"/>
  <c r="AH25" i="29" s="1"/>
  <c r="AI25" i="29" s="1"/>
  <c r="AK25" i="29" s="1"/>
  <c r="T24" i="29"/>
  <c r="W24" i="29" s="1"/>
  <c r="AH24" i="29" s="1"/>
  <c r="AI24" i="29" s="1"/>
  <c r="AK24" i="29" s="1"/>
  <c r="Y26" i="27"/>
  <c r="AJ26" i="27" s="1"/>
  <c r="AK26" i="27" s="1"/>
  <c r="AM26" i="27" s="1"/>
  <c r="V25" i="27"/>
  <c r="Y25" i="27" s="1"/>
  <c r="AJ25" i="27" s="1"/>
  <c r="AK25" i="27" s="1"/>
  <c r="AM25" i="27" s="1"/>
  <c r="H26" i="27"/>
  <c r="G25" i="27"/>
  <c r="H25" i="27" s="1"/>
  <c r="F64" i="26"/>
  <c r="K64" i="26"/>
  <c r="M64" i="26" s="1"/>
  <c r="N65" i="26" s="1"/>
  <c r="A66" i="26"/>
  <c r="B66" i="26" s="1"/>
  <c r="E66" i="26" s="1"/>
  <c r="J66" i="26"/>
  <c r="S65" i="26"/>
  <c r="T27" i="24"/>
  <c r="Q26" i="24"/>
  <c r="D25" i="14"/>
  <c r="E25" i="14" s="1"/>
  <c r="Q26" i="14"/>
  <c r="T27" i="14"/>
  <c r="AE27" i="14" s="1"/>
  <c r="AF27" i="14" s="1"/>
  <c r="G66" i="22"/>
  <c r="P65" i="22"/>
  <c r="J62" i="22"/>
  <c r="U62" i="22" s="1"/>
  <c r="AC62" i="22" s="1"/>
  <c r="Z62" i="22"/>
  <c r="AD61" i="22"/>
  <c r="H63" i="22"/>
  <c r="C63" i="22"/>
  <c r="A65" i="22"/>
  <c r="B64" i="22"/>
  <c r="K62" i="22"/>
  <c r="AI61" i="22"/>
  <c r="D37" i="16"/>
  <c r="E37" i="16" s="1"/>
  <c r="B65" i="19"/>
  <c r="A66" i="19"/>
  <c r="H64" i="19"/>
  <c r="C64" i="19"/>
  <c r="J63" i="19"/>
  <c r="Z63" i="19"/>
  <c r="K63" i="19"/>
  <c r="AI63" i="19" s="1"/>
  <c r="U62" i="19"/>
  <c r="AC62" i="19" s="1"/>
  <c r="AD62" i="19" s="1"/>
  <c r="P67" i="19"/>
  <c r="G68" i="19"/>
  <c r="V24" i="23"/>
  <c r="S23" i="23"/>
  <c r="V23" i="23" s="1"/>
  <c r="AG23" i="23" s="1"/>
  <c r="D23" i="23"/>
  <c r="E23" i="23" s="1"/>
  <c r="H64" i="21"/>
  <c r="J64" i="21" s="1"/>
  <c r="K65" i="21" s="1"/>
  <c r="C64" i="21"/>
  <c r="B65" i="21"/>
  <c r="AB61" i="21"/>
  <c r="W61" i="21"/>
  <c r="AE61" i="21" s="1"/>
  <c r="G63" i="21"/>
  <c r="P62" i="21"/>
  <c r="AF60" i="21"/>
  <c r="AF63" i="16"/>
  <c r="AB64" i="16"/>
  <c r="W64" i="16"/>
  <c r="AE64" i="16" s="1"/>
  <c r="P65" i="16"/>
  <c r="G66" i="16"/>
  <c r="T26" i="14" l="1"/>
  <c r="AE26" i="14" s="1"/>
  <c r="AF26" i="14" s="1"/>
  <c r="AH26" i="14" s="1"/>
  <c r="Q25" i="14"/>
  <c r="E9" i="29"/>
  <c r="A61" i="29" s="1"/>
  <c r="AE27" i="24"/>
  <c r="AF27" i="24" s="1"/>
  <c r="AH27" i="24" s="1"/>
  <c r="AD62" i="22"/>
  <c r="F67" i="28"/>
  <c r="K67" i="28"/>
  <c r="C69" i="28"/>
  <c r="E68" i="28"/>
  <c r="M66" i="28"/>
  <c r="AC66" i="28"/>
  <c r="X65" i="28"/>
  <c r="AF65" i="28" s="1"/>
  <c r="AG65" i="28" s="1"/>
  <c r="N66" i="28"/>
  <c r="AI63" i="26"/>
  <c r="AE64" i="26"/>
  <c r="Z64" i="26"/>
  <c r="AH64" i="26" s="1"/>
  <c r="AG24" i="23"/>
  <c r="AH24" i="23" s="1"/>
  <c r="AJ24" i="23" s="1"/>
  <c r="AH27" i="14"/>
  <c r="E9" i="27"/>
  <c r="A63" i="27" s="1"/>
  <c r="E18" i="27"/>
  <c r="A67" i="26"/>
  <c r="B67" i="26" s="1"/>
  <c r="E67" i="26" s="1"/>
  <c r="F65" i="26"/>
  <c r="K65" i="26"/>
  <c r="M65" i="26" s="1"/>
  <c r="N66" i="26" s="1"/>
  <c r="S66" i="26"/>
  <c r="J67" i="26"/>
  <c r="D23" i="24"/>
  <c r="E23" i="24" s="1"/>
  <c r="T26" i="24"/>
  <c r="Q25" i="24"/>
  <c r="AH23" i="23"/>
  <c r="AJ23" i="23" s="1"/>
  <c r="J63" i="22"/>
  <c r="U63" i="22" s="1"/>
  <c r="AC63" i="22" s="1"/>
  <c r="Z63" i="22"/>
  <c r="K63" i="22"/>
  <c r="AI62" i="22"/>
  <c r="H64" i="22"/>
  <c r="C64" i="22"/>
  <c r="G67" i="22"/>
  <c r="P66" i="22"/>
  <c r="A66" i="22"/>
  <c r="B65" i="22"/>
  <c r="D36" i="16"/>
  <c r="E36" i="16" s="1"/>
  <c r="K64" i="19"/>
  <c r="AI64" i="19" s="1"/>
  <c r="U63" i="19"/>
  <c r="AC63" i="19" s="1"/>
  <c r="AD63" i="19" s="1"/>
  <c r="J64" i="19"/>
  <c r="Z64" i="19"/>
  <c r="B66" i="19"/>
  <c r="A67" i="19"/>
  <c r="H65" i="19"/>
  <c r="C65" i="19"/>
  <c r="P68" i="19"/>
  <c r="G69" i="19"/>
  <c r="AF61" i="21"/>
  <c r="G64" i="21"/>
  <c r="P63" i="21"/>
  <c r="H65" i="21"/>
  <c r="J65" i="21" s="1"/>
  <c r="K66" i="21" s="1"/>
  <c r="C65" i="21"/>
  <c r="B66" i="21"/>
  <c r="W62" i="21"/>
  <c r="AE62" i="21" s="1"/>
  <c r="AB62" i="21"/>
  <c r="P66" i="16"/>
  <c r="G67" i="16"/>
  <c r="W65" i="16"/>
  <c r="AE65" i="16" s="1"/>
  <c r="AB65" i="16"/>
  <c r="AF64" i="16"/>
  <c r="B15" i="23" l="1"/>
  <c r="AE26" i="24"/>
  <c r="AF26" i="24" s="1"/>
  <c r="AH26" i="24" s="1"/>
  <c r="M67" i="28"/>
  <c r="X67" i="28" s="1"/>
  <c r="AF67" i="28" s="1"/>
  <c r="AC67" i="28"/>
  <c r="X66" i="28"/>
  <c r="AF66" i="28" s="1"/>
  <c r="AG66" i="28" s="1"/>
  <c r="N67" i="28"/>
  <c r="K68" i="28"/>
  <c r="F68" i="28"/>
  <c r="C70" i="28"/>
  <c r="E69" i="28"/>
  <c r="AI64" i="26"/>
  <c r="Z65" i="26"/>
  <c r="AH65" i="26" s="1"/>
  <c r="AE65" i="26"/>
  <c r="K66" i="26"/>
  <c r="M66" i="26" s="1"/>
  <c r="N67" i="26" s="1"/>
  <c r="F66" i="26"/>
  <c r="A68" i="26"/>
  <c r="B68" i="26" s="1"/>
  <c r="E68" i="26" s="1"/>
  <c r="S67" i="26"/>
  <c r="J68" i="26"/>
  <c r="T25" i="24"/>
  <c r="Q24" i="24"/>
  <c r="Q23" i="24" s="1"/>
  <c r="AD63" i="22"/>
  <c r="B9" i="23"/>
  <c r="T25" i="14"/>
  <c r="AE25" i="14" s="1"/>
  <c r="AF25" i="14" s="1"/>
  <c r="K64" i="22"/>
  <c r="AI63" i="22"/>
  <c r="H65" i="22"/>
  <c r="C65" i="22"/>
  <c r="A67" i="22"/>
  <c r="B66" i="22"/>
  <c r="G68" i="22"/>
  <c r="P67" i="22"/>
  <c r="J64" i="22"/>
  <c r="U64" i="22" s="1"/>
  <c r="AC64" i="22" s="1"/>
  <c r="Z64" i="22"/>
  <c r="D35" i="16"/>
  <c r="E35" i="16" s="1"/>
  <c r="J65" i="19"/>
  <c r="Z65" i="19"/>
  <c r="B67" i="19"/>
  <c r="A68" i="19"/>
  <c r="K65" i="19"/>
  <c r="AI65" i="19" s="1"/>
  <c r="U64" i="19"/>
  <c r="AC64" i="19" s="1"/>
  <c r="AD64" i="19" s="1"/>
  <c r="C66" i="19"/>
  <c r="H66" i="19"/>
  <c r="P69" i="19"/>
  <c r="G70" i="19"/>
  <c r="AF62" i="21"/>
  <c r="C66" i="21"/>
  <c r="H66" i="21"/>
  <c r="J66" i="21" s="1"/>
  <c r="K67" i="21" s="1"/>
  <c r="B67" i="21"/>
  <c r="AB63" i="21"/>
  <c r="W63" i="21"/>
  <c r="AE63" i="21" s="1"/>
  <c r="G65" i="21"/>
  <c r="P64" i="21"/>
  <c r="AF65" i="16"/>
  <c r="P67" i="16"/>
  <c r="G68" i="16"/>
  <c r="AB66" i="16"/>
  <c r="W66" i="16"/>
  <c r="AE66" i="16" s="1"/>
  <c r="AD64" i="22" l="1"/>
  <c r="AE25" i="24"/>
  <c r="AF25" i="24" s="1"/>
  <c r="AH25" i="24" s="1"/>
  <c r="AG67" i="28"/>
  <c r="N68" i="28"/>
  <c r="E70" i="28"/>
  <c r="C71" i="28"/>
  <c r="M68" i="28"/>
  <c r="AC68" i="28"/>
  <c r="K69" i="28"/>
  <c r="F69" i="28"/>
  <c r="AI65" i="26"/>
  <c r="AH25" i="14"/>
  <c r="B9" i="14" s="1"/>
  <c r="Z66" i="26"/>
  <c r="AH66" i="26" s="1"/>
  <c r="AE66" i="26"/>
  <c r="A69" i="26"/>
  <c r="B69" i="26" s="1"/>
  <c r="E69" i="26" s="1"/>
  <c r="K67" i="26"/>
  <c r="M67" i="26" s="1"/>
  <c r="N68" i="26" s="1"/>
  <c r="F67" i="26"/>
  <c r="S68" i="26"/>
  <c r="J69" i="26"/>
  <c r="T24" i="24"/>
  <c r="T23" i="24"/>
  <c r="C66" i="22"/>
  <c r="H66" i="22"/>
  <c r="A68" i="22"/>
  <c r="B67" i="22"/>
  <c r="J65" i="22"/>
  <c r="U65" i="22" s="1"/>
  <c r="AC65" i="22" s="1"/>
  <c r="Z65" i="22"/>
  <c r="AD65" i="22" s="1"/>
  <c r="G69" i="22"/>
  <c r="P68" i="22"/>
  <c r="K65" i="22"/>
  <c r="AI64" i="22"/>
  <c r="D34" i="16"/>
  <c r="E34" i="16" s="1"/>
  <c r="B68" i="19"/>
  <c r="A69" i="19"/>
  <c r="H67" i="19"/>
  <c r="C67" i="19"/>
  <c r="J66" i="19"/>
  <c r="Z66" i="19"/>
  <c r="K66" i="19"/>
  <c r="AI66" i="19" s="1"/>
  <c r="U65" i="19"/>
  <c r="AC65" i="19" s="1"/>
  <c r="AD65" i="19" s="1"/>
  <c r="P70" i="19"/>
  <c r="G71" i="19"/>
  <c r="G66" i="21"/>
  <c r="P65" i="21"/>
  <c r="AF63" i="21"/>
  <c r="C67" i="21"/>
  <c r="H67" i="21"/>
  <c r="J67" i="21" s="1"/>
  <c r="K68" i="21" s="1"/>
  <c r="B68" i="21"/>
  <c r="AB64" i="21"/>
  <c r="W64" i="21"/>
  <c r="AE64" i="21" s="1"/>
  <c r="AF66" i="16"/>
  <c r="G69" i="16"/>
  <c r="P68" i="16"/>
  <c r="W67" i="16"/>
  <c r="AE67" i="16" s="1"/>
  <c r="AB67" i="16"/>
  <c r="AI66" i="26" l="1"/>
  <c r="AE24" i="24"/>
  <c r="AF24" i="24" s="1"/>
  <c r="AH24" i="24" s="1"/>
  <c r="M69" i="28"/>
  <c r="AC69" i="28"/>
  <c r="X68" i="28"/>
  <c r="AF68" i="28" s="1"/>
  <c r="AG68" i="28" s="1"/>
  <c r="N69" i="28"/>
  <c r="E71" i="28"/>
  <c r="C72" i="28"/>
  <c r="K70" i="28"/>
  <c r="F70" i="28"/>
  <c r="AE67" i="26"/>
  <c r="Z67" i="26"/>
  <c r="AH67" i="26" s="1"/>
  <c r="AF67" i="16"/>
  <c r="AE23" i="24"/>
  <c r="AF23" i="24" s="1"/>
  <c r="AH23" i="24" s="1"/>
  <c r="A70" i="26"/>
  <c r="B70" i="26" s="1"/>
  <c r="E70" i="26" s="1"/>
  <c r="F68" i="26"/>
  <c r="K68" i="26"/>
  <c r="M68" i="26" s="1"/>
  <c r="N69" i="26" s="1"/>
  <c r="S69" i="26"/>
  <c r="J70" i="26"/>
  <c r="K66" i="22"/>
  <c r="AI65" i="22"/>
  <c r="H67" i="22"/>
  <c r="C67" i="22"/>
  <c r="G70" i="22"/>
  <c r="P69" i="22"/>
  <c r="A69" i="22"/>
  <c r="B68" i="22"/>
  <c r="J66" i="22"/>
  <c r="U66" i="22" s="1"/>
  <c r="AC66" i="22" s="1"/>
  <c r="Z66" i="22"/>
  <c r="D33" i="16"/>
  <c r="E33" i="16" s="1"/>
  <c r="K67" i="19"/>
  <c r="AI67" i="19" s="1"/>
  <c r="U66" i="19"/>
  <c r="AC66" i="19" s="1"/>
  <c r="AD66" i="19" s="1"/>
  <c r="J67" i="19"/>
  <c r="Z67" i="19"/>
  <c r="B69" i="19"/>
  <c r="A70" i="19"/>
  <c r="H68" i="19"/>
  <c r="C68" i="19"/>
  <c r="G72" i="19"/>
  <c r="P71" i="19"/>
  <c r="H68" i="21"/>
  <c r="J68" i="21" s="1"/>
  <c r="K69" i="21" s="1"/>
  <c r="C68" i="21"/>
  <c r="B69" i="21"/>
  <c r="AB65" i="21"/>
  <c r="W65" i="21"/>
  <c r="AE65" i="21" s="1"/>
  <c r="G67" i="21"/>
  <c r="P66" i="21"/>
  <c r="AF64" i="21"/>
  <c r="AB68" i="16"/>
  <c r="W68" i="16"/>
  <c r="AE68" i="16" s="1"/>
  <c r="P69" i="16"/>
  <c r="G70" i="16"/>
  <c r="B15" i="24" l="1"/>
  <c r="B9" i="24"/>
  <c r="M70" i="28"/>
  <c r="AC70" i="28"/>
  <c r="E72" i="28"/>
  <c r="C73" i="28"/>
  <c r="K71" i="28"/>
  <c r="F71" i="28"/>
  <c r="X69" i="28"/>
  <c r="AF69" i="28" s="1"/>
  <c r="AG69" i="28" s="1"/>
  <c r="N70" i="28"/>
  <c r="AI67" i="26"/>
  <c r="AE68" i="26"/>
  <c r="Z68" i="26"/>
  <c r="AH68" i="26" s="1"/>
  <c r="A71" i="26"/>
  <c r="B71" i="26" s="1"/>
  <c r="E71" i="26" s="1"/>
  <c r="K69" i="26"/>
  <c r="M69" i="26" s="1"/>
  <c r="N70" i="26" s="1"/>
  <c r="F69" i="26"/>
  <c r="J71" i="26"/>
  <c r="S70" i="26"/>
  <c r="AD66" i="22"/>
  <c r="J67" i="22"/>
  <c r="U67" i="22" s="1"/>
  <c r="AC67" i="22" s="1"/>
  <c r="Z67" i="22"/>
  <c r="A70" i="22"/>
  <c r="B69" i="22"/>
  <c r="H68" i="22"/>
  <c r="C68" i="22"/>
  <c r="G71" i="22"/>
  <c r="P70" i="22"/>
  <c r="K67" i="22"/>
  <c r="AI66" i="22"/>
  <c r="D32" i="16"/>
  <c r="E32" i="16" s="1"/>
  <c r="J68" i="19"/>
  <c r="Z68" i="19"/>
  <c r="B70" i="19"/>
  <c r="A71" i="19"/>
  <c r="K68" i="19"/>
  <c r="AI68" i="19" s="1"/>
  <c r="U67" i="19"/>
  <c r="AC67" i="19" s="1"/>
  <c r="AD67" i="19" s="1"/>
  <c r="H69" i="19"/>
  <c r="C69" i="19"/>
  <c r="P72" i="19"/>
  <c r="G73" i="19"/>
  <c r="AF65" i="21"/>
  <c r="B70" i="21"/>
  <c r="G68" i="21"/>
  <c r="P67" i="21"/>
  <c r="H69" i="21"/>
  <c r="J69" i="21" s="1"/>
  <c r="K70" i="21" s="1"/>
  <c r="C69" i="21"/>
  <c r="AB66" i="21"/>
  <c r="W66" i="21"/>
  <c r="AE66" i="21" s="1"/>
  <c r="AF68" i="16"/>
  <c r="W69" i="16"/>
  <c r="AE69" i="16" s="1"/>
  <c r="AB69" i="16"/>
  <c r="P70" i="16"/>
  <c r="G71" i="16"/>
  <c r="M71" i="28" l="1"/>
  <c r="AC71" i="28"/>
  <c r="E73" i="28"/>
  <c r="C74" i="28"/>
  <c r="F72" i="28"/>
  <c r="K72" i="28"/>
  <c r="X70" i="28"/>
  <c r="AF70" i="28" s="1"/>
  <c r="AG70" i="28" s="1"/>
  <c r="N71" i="28"/>
  <c r="AI68" i="26"/>
  <c r="AE69" i="26"/>
  <c r="Z69" i="26"/>
  <c r="AH69" i="26" s="1"/>
  <c r="A72" i="26"/>
  <c r="B72" i="26" s="1"/>
  <c r="E72" i="26" s="1"/>
  <c r="K70" i="26"/>
  <c r="M70" i="26" s="1"/>
  <c r="N71" i="26" s="1"/>
  <c r="F70" i="26"/>
  <c r="S71" i="26"/>
  <c r="J72" i="26"/>
  <c r="AD67" i="22"/>
  <c r="J68" i="22"/>
  <c r="U68" i="22" s="1"/>
  <c r="AC68" i="22" s="1"/>
  <c r="Z68" i="22"/>
  <c r="AD68" i="22" s="1"/>
  <c r="K68" i="22"/>
  <c r="AI67" i="22"/>
  <c r="H69" i="22"/>
  <c r="C69" i="22"/>
  <c r="G72" i="22"/>
  <c r="P71" i="22"/>
  <c r="A71" i="22"/>
  <c r="B70" i="22"/>
  <c r="D31" i="16"/>
  <c r="E31" i="16" s="1"/>
  <c r="AF69" i="16"/>
  <c r="J69" i="19"/>
  <c r="Z69" i="19"/>
  <c r="B71" i="19"/>
  <c r="A72" i="19"/>
  <c r="C70" i="19"/>
  <c r="H70" i="19"/>
  <c r="K69" i="19"/>
  <c r="AI69" i="19" s="1"/>
  <c r="U68" i="19"/>
  <c r="AC68" i="19" s="1"/>
  <c r="AD68" i="19" s="1"/>
  <c r="P73" i="19"/>
  <c r="G74" i="19"/>
  <c r="AF66" i="21"/>
  <c r="C70" i="21"/>
  <c r="H70" i="21"/>
  <c r="J70" i="21" s="1"/>
  <c r="K71" i="21" s="1"/>
  <c r="A72" i="21"/>
  <c r="B72" i="21" s="1"/>
  <c r="B71" i="21"/>
  <c r="G69" i="21"/>
  <c r="P68" i="21"/>
  <c r="AB67" i="21"/>
  <c r="W67" i="21"/>
  <c r="AE67" i="21" s="1"/>
  <c r="G72" i="16"/>
  <c r="P71" i="16"/>
  <c r="W70" i="16"/>
  <c r="AE70" i="16" s="1"/>
  <c r="AB70" i="16"/>
  <c r="M72" i="28" l="1"/>
  <c r="X72" i="28" s="1"/>
  <c r="AF72" i="28" s="1"/>
  <c r="AC72" i="28"/>
  <c r="C75" i="28"/>
  <c r="E75" i="28" s="1"/>
  <c r="E74" i="28"/>
  <c r="K73" i="28"/>
  <c r="F73" i="28"/>
  <c r="X71" i="28"/>
  <c r="AF71" i="28" s="1"/>
  <c r="AG71" i="28" s="1"/>
  <c r="N72" i="28"/>
  <c r="AI69" i="26"/>
  <c r="F71" i="26"/>
  <c r="K71" i="26"/>
  <c r="M71" i="26" s="1"/>
  <c r="N72" i="26" s="1"/>
  <c r="Z70" i="26"/>
  <c r="AH70" i="26" s="1"/>
  <c r="A73" i="26"/>
  <c r="B73" i="26" s="1"/>
  <c r="E73" i="26" s="1"/>
  <c r="AE70" i="26"/>
  <c r="J73" i="26"/>
  <c r="S72" i="26"/>
  <c r="J69" i="22"/>
  <c r="U69" i="22" s="1"/>
  <c r="AC69" i="22" s="1"/>
  <c r="Z69" i="22"/>
  <c r="C70" i="22"/>
  <c r="H70" i="22"/>
  <c r="A72" i="22"/>
  <c r="B71" i="22"/>
  <c r="K69" i="22"/>
  <c r="AI68" i="22"/>
  <c r="G73" i="22"/>
  <c r="P73" i="22" s="1"/>
  <c r="P72" i="22"/>
  <c r="D30" i="16"/>
  <c r="E30" i="16" s="1"/>
  <c r="H71" i="19"/>
  <c r="C71" i="19"/>
  <c r="J70" i="19"/>
  <c r="Z70" i="19"/>
  <c r="B72" i="19"/>
  <c r="A73" i="19"/>
  <c r="K70" i="19"/>
  <c r="AI70" i="19" s="1"/>
  <c r="U69" i="19"/>
  <c r="AC69" i="19" s="1"/>
  <c r="AD69" i="19" s="1"/>
  <c r="G75" i="19"/>
  <c r="P75" i="19" s="1"/>
  <c r="P74" i="19"/>
  <c r="AF70" i="16"/>
  <c r="AF67" i="21"/>
  <c r="W68" i="21"/>
  <c r="AE68" i="21" s="1"/>
  <c r="AB68" i="21"/>
  <c r="G70" i="21"/>
  <c r="P69" i="21"/>
  <c r="C71" i="21"/>
  <c r="H71" i="21"/>
  <c r="J71" i="21" s="1"/>
  <c r="K72" i="21" s="1"/>
  <c r="AG72" i="21" s="1"/>
  <c r="H72" i="21"/>
  <c r="J72" i="21" s="1"/>
  <c r="C72" i="21"/>
  <c r="D72" i="21" s="1"/>
  <c r="AB71" i="16"/>
  <c r="W71" i="16"/>
  <c r="AE71" i="16" s="1"/>
  <c r="G73" i="16"/>
  <c r="P72" i="16"/>
  <c r="AG72" i="28" l="1"/>
  <c r="N73" i="28"/>
  <c r="F74" i="28"/>
  <c r="K74" i="28"/>
  <c r="K75" i="28"/>
  <c r="F75" i="28"/>
  <c r="M73" i="28"/>
  <c r="AC73" i="28"/>
  <c r="AI70" i="26"/>
  <c r="AE71" i="26"/>
  <c r="Z71" i="26"/>
  <c r="AH71" i="26" s="1"/>
  <c r="F72" i="26"/>
  <c r="K72" i="26"/>
  <c r="M72" i="26" s="1"/>
  <c r="N73" i="26" s="1"/>
  <c r="A74" i="26"/>
  <c r="B74" i="26" s="1"/>
  <c r="E74" i="26" s="1"/>
  <c r="J74" i="26"/>
  <c r="S73" i="26"/>
  <c r="AF68" i="21"/>
  <c r="C71" i="22"/>
  <c r="H71" i="22"/>
  <c r="K70" i="22"/>
  <c r="AI69" i="22"/>
  <c r="A73" i="22"/>
  <c r="B73" i="22" s="1"/>
  <c r="B72" i="22"/>
  <c r="J70" i="22"/>
  <c r="U70" i="22" s="1"/>
  <c r="AC70" i="22" s="1"/>
  <c r="Z70" i="22"/>
  <c r="AD69" i="22"/>
  <c r="D29" i="16"/>
  <c r="E29" i="16" s="1"/>
  <c r="B73" i="19"/>
  <c r="A74" i="19"/>
  <c r="H72" i="19"/>
  <c r="C72" i="19"/>
  <c r="K71" i="19"/>
  <c r="AI71" i="19" s="1"/>
  <c r="U70" i="19"/>
  <c r="AC70" i="19" s="1"/>
  <c r="AD70" i="19" s="1"/>
  <c r="J71" i="19"/>
  <c r="Z71" i="19"/>
  <c r="W69" i="21"/>
  <c r="AE69" i="21" s="1"/>
  <c r="AB69" i="21"/>
  <c r="G71" i="21"/>
  <c r="P70" i="21"/>
  <c r="D71" i="21"/>
  <c r="E72" i="21"/>
  <c r="AB72" i="16"/>
  <c r="W72" i="16"/>
  <c r="AE72" i="16" s="1"/>
  <c r="P73" i="16"/>
  <c r="G74" i="16"/>
  <c r="AF71" i="16"/>
  <c r="X73" i="28" l="1"/>
  <c r="AF73" i="28" s="1"/>
  <c r="AG73" i="28" s="1"/>
  <c r="N74" i="28"/>
  <c r="M75" i="28"/>
  <c r="AC75" i="28"/>
  <c r="AC74" i="28"/>
  <c r="M74" i="28"/>
  <c r="AI71" i="26"/>
  <c r="AE72" i="26"/>
  <c r="Z72" i="26"/>
  <c r="AH72" i="26" s="1"/>
  <c r="F73" i="26"/>
  <c r="K73" i="26"/>
  <c r="M73" i="26" s="1"/>
  <c r="N74" i="26" s="1"/>
  <c r="A75" i="26"/>
  <c r="B75" i="26" s="1"/>
  <c r="E75" i="26" s="1"/>
  <c r="J75" i="26"/>
  <c r="S74" i="26"/>
  <c r="AD70" i="22"/>
  <c r="K71" i="22"/>
  <c r="AI70" i="22"/>
  <c r="H72" i="22"/>
  <c r="C72" i="22"/>
  <c r="H73" i="22"/>
  <c r="C73" i="22"/>
  <c r="D73" i="22"/>
  <c r="E73" i="22" s="1"/>
  <c r="J71" i="22"/>
  <c r="U71" i="22" s="1"/>
  <c r="AC71" i="22" s="1"/>
  <c r="Z71" i="22"/>
  <c r="D28" i="16"/>
  <c r="E28" i="16" s="1"/>
  <c r="K72" i="19"/>
  <c r="AI72" i="19" s="1"/>
  <c r="U71" i="19"/>
  <c r="AC71" i="19" s="1"/>
  <c r="AD71" i="19" s="1"/>
  <c r="J72" i="19"/>
  <c r="Z72" i="19"/>
  <c r="B74" i="19"/>
  <c r="A75" i="19"/>
  <c r="B75" i="19" s="1"/>
  <c r="H73" i="19"/>
  <c r="C73" i="19"/>
  <c r="AF69" i="21"/>
  <c r="D70" i="21"/>
  <c r="E71" i="21"/>
  <c r="G72" i="21"/>
  <c r="P72" i="21" s="1"/>
  <c r="P71" i="21"/>
  <c r="AB70" i="21"/>
  <c r="W70" i="21"/>
  <c r="AE70" i="21" s="1"/>
  <c r="P74" i="16"/>
  <c r="G75" i="16"/>
  <c r="W73" i="16"/>
  <c r="AE73" i="16" s="1"/>
  <c r="AB73" i="16"/>
  <c r="AF72" i="16"/>
  <c r="X74" i="28" l="1"/>
  <c r="AF74" i="28" s="1"/>
  <c r="AG74" i="28" s="1"/>
  <c r="N75" i="28"/>
  <c r="X75" i="28"/>
  <c r="AF75" i="28" s="1"/>
  <c r="AG75" i="28" s="1"/>
  <c r="AH75" i="28"/>
  <c r="K74" i="26"/>
  <c r="M74" i="26" s="1"/>
  <c r="N75" i="26" s="1"/>
  <c r="F74" i="26"/>
  <c r="A76" i="26"/>
  <c r="B76" i="26" s="1"/>
  <c r="E76" i="26" s="1"/>
  <c r="Z73" i="26"/>
  <c r="AH73" i="26" s="1"/>
  <c r="AE73" i="26"/>
  <c r="AI72" i="26"/>
  <c r="S75" i="26"/>
  <c r="J76" i="26"/>
  <c r="S76" i="26" s="1"/>
  <c r="AD71" i="22"/>
  <c r="D72" i="22"/>
  <c r="E72" i="22" s="1"/>
  <c r="K72" i="22"/>
  <c r="AI71" i="22"/>
  <c r="J73" i="22"/>
  <c r="Z73" i="22"/>
  <c r="J72" i="22"/>
  <c r="U72" i="22" s="1"/>
  <c r="AC72" i="22" s="1"/>
  <c r="Z72" i="22"/>
  <c r="AD72" i="22" s="1"/>
  <c r="D27" i="16"/>
  <c r="E27" i="16" s="1"/>
  <c r="J73" i="19"/>
  <c r="Z73" i="19"/>
  <c r="H75" i="19"/>
  <c r="C75" i="19"/>
  <c r="D75" i="19" s="1"/>
  <c r="E75" i="19" s="1"/>
  <c r="C74" i="19"/>
  <c r="H74" i="19"/>
  <c r="K73" i="19"/>
  <c r="AI73" i="19" s="1"/>
  <c r="U72" i="19"/>
  <c r="AC72" i="19" s="1"/>
  <c r="AD72" i="19" s="1"/>
  <c r="AF73" i="16"/>
  <c r="AB71" i="21"/>
  <c r="W71" i="21"/>
  <c r="AE71" i="21" s="1"/>
  <c r="AF70" i="21"/>
  <c r="AB72" i="21"/>
  <c r="W72" i="21"/>
  <c r="AE72" i="21" s="1"/>
  <c r="D69" i="21"/>
  <c r="E70" i="21"/>
  <c r="P75" i="16"/>
  <c r="G76" i="16"/>
  <c r="P76" i="16" s="1"/>
  <c r="AB74" i="16"/>
  <c r="W74" i="16"/>
  <c r="AE74" i="16" s="1"/>
  <c r="B14" i="21" l="1"/>
  <c r="T74" i="28"/>
  <c r="W74" i="28" s="1"/>
  <c r="AH74" i="28" s="1"/>
  <c r="AI74" i="28" s="1"/>
  <c r="AK74" i="28" s="1"/>
  <c r="AI75" i="28"/>
  <c r="AK75" i="28" s="1"/>
  <c r="AI73" i="26"/>
  <c r="AE74" i="26"/>
  <c r="Z74" i="26"/>
  <c r="AH74" i="26" s="1"/>
  <c r="K76" i="26"/>
  <c r="M76" i="26" s="1"/>
  <c r="AJ76" i="26" s="1"/>
  <c r="F76" i="26"/>
  <c r="G76" i="26" s="1"/>
  <c r="H76" i="26" s="1"/>
  <c r="K75" i="26"/>
  <c r="M75" i="26" s="1"/>
  <c r="N76" i="26" s="1"/>
  <c r="F75" i="26"/>
  <c r="D71" i="22"/>
  <c r="D70" i="22" s="1"/>
  <c r="AE73" i="22"/>
  <c r="U73" i="22"/>
  <c r="K73" i="22"/>
  <c r="AI73" i="22" s="1"/>
  <c r="AI72" i="22"/>
  <c r="D74" i="19"/>
  <c r="E74" i="19" s="1"/>
  <c r="D26" i="16"/>
  <c r="E26" i="16" s="1"/>
  <c r="K74" i="19"/>
  <c r="AI74" i="19" s="1"/>
  <c r="U73" i="19"/>
  <c r="J74" i="19"/>
  <c r="Z74" i="19"/>
  <c r="J75" i="19"/>
  <c r="Z75" i="19"/>
  <c r="D68" i="21"/>
  <c r="E69" i="21"/>
  <c r="AF72" i="21"/>
  <c r="AF71" i="21"/>
  <c r="AB76" i="16"/>
  <c r="W76" i="16"/>
  <c r="AF74" i="16"/>
  <c r="W75" i="16"/>
  <c r="AE75" i="16" s="1"/>
  <c r="AB75" i="16"/>
  <c r="AC73" i="22" l="1"/>
  <c r="AD73" i="22" s="1"/>
  <c r="B14" i="22"/>
  <c r="AE76" i="16"/>
  <c r="B15" i="16"/>
  <c r="T73" i="28"/>
  <c r="AI74" i="26"/>
  <c r="G75" i="26"/>
  <c r="G74" i="26" s="1"/>
  <c r="H74" i="26" s="1"/>
  <c r="Z76" i="26"/>
  <c r="AH76" i="26" s="1"/>
  <c r="AE76" i="26"/>
  <c r="AE75" i="26"/>
  <c r="Z75" i="26"/>
  <c r="AH75" i="26" s="1"/>
  <c r="E71" i="22"/>
  <c r="D69" i="22"/>
  <c r="E70" i="22"/>
  <c r="D73" i="19"/>
  <c r="E73" i="19" s="1"/>
  <c r="D25" i="16"/>
  <c r="E25" i="16" s="1"/>
  <c r="AE75" i="19"/>
  <c r="U75" i="19"/>
  <c r="K75" i="19"/>
  <c r="AI75" i="19" s="1"/>
  <c r="U74" i="19"/>
  <c r="AC74" i="19" s="1"/>
  <c r="AD74" i="19" s="1"/>
  <c r="AC73" i="19"/>
  <c r="AD73" i="19" s="1"/>
  <c r="AF75" i="16"/>
  <c r="AH72" i="21"/>
  <c r="AJ72" i="21" s="1"/>
  <c r="S71" i="21"/>
  <c r="D67" i="21"/>
  <c r="E68" i="21"/>
  <c r="AF76" i="16"/>
  <c r="AH76" i="16" s="1"/>
  <c r="AJ76" i="16" s="1"/>
  <c r="AC75" i="19" l="1"/>
  <c r="B15" i="19"/>
  <c r="S70" i="21"/>
  <c r="AG70" i="21" s="1"/>
  <c r="AH70" i="21" s="1"/>
  <c r="AJ70" i="21" s="1"/>
  <c r="AG71" i="21"/>
  <c r="W73" i="28"/>
  <c r="AH73" i="28" s="1"/>
  <c r="AI73" i="28" s="1"/>
  <c r="AK73" i="28" s="1"/>
  <c r="T72" i="28"/>
  <c r="G73" i="26"/>
  <c r="G72" i="26" s="1"/>
  <c r="H75" i="26"/>
  <c r="E15" i="26"/>
  <c r="AI76" i="26"/>
  <c r="AK76" i="26" s="1"/>
  <c r="AM76" i="26" s="1"/>
  <c r="AI75" i="26"/>
  <c r="D68" i="22"/>
  <c r="E69" i="22"/>
  <c r="AF73" i="22"/>
  <c r="AH73" i="22" s="1"/>
  <c r="Q72" i="22"/>
  <c r="D72" i="19"/>
  <c r="E72" i="19" s="1"/>
  <c r="AD75" i="19"/>
  <c r="AF75" i="19" s="1"/>
  <c r="AH75" i="19" s="1"/>
  <c r="Q74" i="19"/>
  <c r="T74" i="19" s="1"/>
  <c r="AE74" i="19" s="1"/>
  <c r="AF74" i="19" s="1"/>
  <c r="AH74" i="19" s="1"/>
  <c r="D66" i="21"/>
  <c r="E67" i="21"/>
  <c r="AH71" i="21"/>
  <c r="AJ71" i="21" s="1"/>
  <c r="V71" i="21"/>
  <c r="S75" i="16"/>
  <c r="V75" i="16" s="1"/>
  <c r="S69" i="21" l="1"/>
  <c r="AG69" i="21" s="1"/>
  <c r="AH69" i="21" s="1"/>
  <c r="AJ69" i="21" s="1"/>
  <c r="V70" i="21"/>
  <c r="W72" i="28"/>
  <c r="AH72" i="28" s="1"/>
  <c r="AI72" i="28" s="1"/>
  <c r="AK72" i="28" s="1"/>
  <c r="T71" i="28"/>
  <c r="H73" i="26"/>
  <c r="V75" i="26"/>
  <c r="AJ75" i="26" s="1"/>
  <c r="AK75" i="26" s="1"/>
  <c r="AM75" i="26" s="1"/>
  <c r="H72" i="26"/>
  <c r="G71" i="26"/>
  <c r="D71" i="19"/>
  <c r="E71" i="19" s="1"/>
  <c r="T72" i="22"/>
  <c r="AE72" i="22" s="1"/>
  <c r="AF72" i="22" s="1"/>
  <c r="AH72" i="22" s="1"/>
  <c r="Q71" i="22"/>
  <c r="D67" i="22"/>
  <c r="E68" i="22"/>
  <c r="Q73" i="19"/>
  <c r="D65" i="21"/>
  <c r="E66" i="21"/>
  <c r="AG75" i="16"/>
  <c r="AH75" i="16" s="1"/>
  <c r="AJ75" i="16" s="1"/>
  <c r="S74" i="16"/>
  <c r="V74" i="16" s="1"/>
  <c r="S68" i="21" l="1"/>
  <c r="AG68" i="21" s="1"/>
  <c r="V69" i="21"/>
  <c r="W71" i="28"/>
  <c r="AH71" i="28" s="1"/>
  <c r="AI71" i="28" s="1"/>
  <c r="AK71" i="28" s="1"/>
  <c r="T70" i="28"/>
  <c r="V74" i="26"/>
  <c r="AJ74" i="26" s="1"/>
  <c r="AK74" i="26" s="1"/>
  <c r="AM74" i="26" s="1"/>
  <c r="Y75" i="26"/>
  <c r="H71" i="26"/>
  <c r="G70" i="26"/>
  <c r="D70" i="19"/>
  <c r="D69" i="19" s="1"/>
  <c r="D66" i="22"/>
  <c r="E67" i="22"/>
  <c r="T71" i="22"/>
  <c r="AE71" i="22" s="1"/>
  <c r="AF71" i="22" s="1"/>
  <c r="AH71" i="22" s="1"/>
  <c r="Q70" i="22"/>
  <c r="T73" i="19"/>
  <c r="AE73" i="19" s="1"/>
  <c r="AF73" i="19" s="1"/>
  <c r="AH73" i="19" s="1"/>
  <c r="Q72" i="19"/>
  <c r="AH68" i="21"/>
  <c r="AJ68" i="21" s="1"/>
  <c r="V68" i="21"/>
  <c r="S67" i="21"/>
  <c r="AG67" i="21" s="1"/>
  <c r="D64" i="21"/>
  <c r="E65" i="21"/>
  <c r="AG74" i="16"/>
  <c r="AH74" i="16" s="1"/>
  <c r="AJ74" i="16" s="1"/>
  <c r="S73" i="16"/>
  <c r="AG73" i="16" s="1"/>
  <c r="AH73" i="16" s="1"/>
  <c r="AJ73" i="16" s="1"/>
  <c r="E70" i="19" l="1"/>
  <c r="W70" i="28"/>
  <c r="AH70" i="28" s="1"/>
  <c r="AI70" i="28" s="1"/>
  <c r="AK70" i="28" s="1"/>
  <c r="T69" i="28"/>
  <c r="V73" i="26"/>
  <c r="AJ73" i="26" s="1"/>
  <c r="AK73" i="26" s="1"/>
  <c r="AM73" i="26" s="1"/>
  <c r="Y74" i="26"/>
  <c r="H70" i="26"/>
  <c r="G69" i="26"/>
  <c r="T70" i="22"/>
  <c r="AE70" i="22" s="1"/>
  <c r="AF70" i="22" s="1"/>
  <c r="AH70" i="22" s="1"/>
  <c r="Q69" i="22"/>
  <c r="D65" i="22"/>
  <c r="E66" i="22"/>
  <c r="T72" i="19"/>
  <c r="AE72" i="19" s="1"/>
  <c r="AF72" i="19" s="1"/>
  <c r="AH72" i="19" s="1"/>
  <c r="Q71" i="19"/>
  <c r="E69" i="19"/>
  <c r="D68" i="19"/>
  <c r="D63" i="21"/>
  <c r="E64" i="21"/>
  <c r="AH67" i="21"/>
  <c r="AJ67" i="21" s="1"/>
  <c r="S66" i="21"/>
  <c r="AG66" i="21" s="1"/>
  <c r="V67" i="21"/>
  <c r="V73" i="16"/>
  <c r="S72" i="16"/>
  <c r="V72" i="16" s="1"/>
  <c r="W69" i="28" l="1"/>
  <c r="AH69" i="28" s="1"/>
  <c r="AI69" i="28" s="1"/>
  <c r="AK69" i="28" s="1"/>
  <c r="T68" i="28"/>
  <c r="V72" i="26"/>
  <c r="AJ72" i="26" s="1"/>
  <c r="AK72" i="26" s="1"/>
  <c r="AM72" i="26" s="1"/>
  <c r="Y73" i="26"/>
  <c r="H69" i="26"/>
  <c r="G68" i="26"/>
  <c r="D64" i="22"/>
  <c r="E65" i="22"/>
  <c r="T69" i="22"/>
  <c r="AE69" i="22" s="1"/>
  <c r="AF69" i="22" s="1"/>
  <c r="AH69" i="22" s="1"/>
  <c r="Q68" i="22"/>
  <c r="Q70" i="19"/>
  <c r="T71" i="19"/>
  <c r="AE71" i="19" s="1"/>
  <c r="AF71" i="19" s="1"/>
  <c r="AH71" i="19" s="1"/>
  <c r="E68" i="19"/>
  <c r="D67" i="19"/>
  <c r="AG72" i="16"/>
  <c r="AH72" i="16" s="1"/>
  <c r="AJ72" i="16" s="1"/>
  <c r="S71" i="16"/>
  <c r="V71" i="16" s="1"/>
  <c r="AH66" i="21"/>
  <c r="AJ66" i="21" s="1"/>
  <c r="V66" i="21"/>
  <c r="S65" i="21"/>
  <c r="AG65" i="21" s="1"/>
  <c r="D62" i="21"/>
  <c r="E63" i="21"/>
  <c r="W68" i="28" l="1"/>
  <c r="AH68" i="28" s="1"/>
  <c r="AI68" i="28" s="1"/>
  <c r="AK68" i="28" s="1"/>
  <c r="T67" i="28"/>
  <c r="V71" i="26"/>
  <c r="AJ71" i="26" s="1"/>
  <c r="AK71" i="26" s="1"/>
  <c r="AM71" i="26" s="1"/>
  <c r="Y72" i="26"/>
  <c r="H68" i="26"/>
  <c r="G67" i="26"/>
  <c r="T68" i="22"/>
  <c r="AE68" i="22" s="1"/>
  <c r="AF68" i="22" s="1"/>
  <c r="AH68" i="22" s="1"/>
  <c r="Q67" i="22"/>
  <c r="D63" i="22"/>
  <c r="E64" i="22"/>
  <c r="AG71" i="16"/>
  <c r="AH71" i="16" s="1"/>
  <c r="AJ71" i="16" s="1"/>
  <c r="Q69" i="19"/>
  <c r="T70" i="19"/>
  <c r="AE70" i="19" s="1"/>
  <c r="AF70" i="19" s="1"/>
  <c r="AH70" i="19" s="1"/>
  <c r="D66" i="19"/>
  <c r="E67" i="19"/>
  <c r="S70" i="16"/>
  <c r="AG70" i="16" s="1"/>
  <c r="AH70" i="16" s="1"/>
  <c r="AJ70" i="16" s="1"/>
  <c r="D61" i="21"/>
  <c r="E62" i="21"/>
  <c r="AH65" i="21"/>
  <c r="AJ65" i="21" s="1"/>
  <c r="S64" i="21"/>
  <c r="AG64" i="21" s="1"/>
  <c r="V65" i="21"/>
  <c r="W67" i="28" l="1"/>
  <c r="AH67" i="28" s="1"/>
  <c r="AI67" i="28" s="1"/>
  <c r="AK67" i="28" s="1"/>
  <c r="T66" i="28"/>
  <c r="V70" i="26"/>
  <c r="Y70" i="26" s="1"/>
  <c r="Y71" i="26"/>
  <c r="H67" i="26"/>
  <c r="G66" i="26"/>
  <c r="D62" i="22"/>
  <c r="E63" i="22"/>
  <c r="T67" i="22"/>
  <c r="AE67" i="22" s="1"/>
  <c r="AF67" i="22" s="1"/>
  <c r="AH67" i="22" s="1"/>
  <c r="Q66" i="22"/>
  <c r="T69" i="19"/>
  <c r="AE69" i="19" s="1"/>
  <c r="AF69" i="19" s="1"/>
  <c r="AH69" i="19" s="1"/>
  <c r="Q68" i="19"/>
  <c r="E66" i="19"/>
  <c r="D65" i="19"/>
  <c r="S69" i="16"/>
  <c r="S68" i="16" s="1"/>
  <c r="V70" i="16"/>
  <c r="AH64" i="21"/>
  <c r="AJ64" i="21" s="1"/>
  <c r="V64" i="21"/>
  <c r="S63" i="21"/>
  <c r="AG63" i="21" s="1"/>
  <c r="D60" i="21"/>
  <c r="E61" i="21"/>
  <c r="W66" i="28" l="1"/>
  <c r="AH66" i="28" s="1"/>
  <c r="AI66" i="28" s="1"/>
  <c r="AK66" i="28" s="1"/>
  <c r="T65" i="28"/>
  <c r="V69" i="26"/>
  <c r="Y69" i="26" s="1"/>
  <c r="AJ70" i="26"/>
  <c r="AK70" i="26" s="1"/>
  <c r="AM70" i="26" s="1"/>
  <c r="H66" i="26"/>
  <c r="G65" i="26"/>
  <c r="T66" i="22"/>
  <c r="AE66" i="22" s="1"/>
  <c r="AF66" i="22" s="1"/>
  <c r="AH66" i="22" s="1"/>
  <c r="Q65" i="22"/>
  <c r="D61" i="22"/>
  <c r="E62" i="22"/>
  <c r="T68" i="19"/>
  <c r="AE68" i="19" s="1"/>
  <c r="AF68" i="19" s="1"/>
  <c r="AH68" i="19" s="1"/>
  <c r="Q67" i="19"/>
  <c r="D64" i="19"/>
  <c r="E65" i="19"/>
  <c r="V69" i="16"/>
  <c r="AG69" i="16"/>
  <c r="AH69" i="16" s="1"/>
  <c r="AJ69" i="16" s="1"/>
  <c r="D59" i="21"/>
  <c r="E60" i="21"/>
  <c r="AH63" i="21"/>
  <c r="AJ63" i="21" s="1"/>
  <c r="V63" i="21"/>
  <c r="S62" i="21"/>
  <c r="AG62" i="21" s="1"/>
  <c r="V68" i="16"/>
  <c r="AG68" i="16"/>
  <c r="AH68" i="16" s="1"/>
  <c r="AJ68" i="16" s="1"/>
  <c r="S67" i="16"/>
  <c r="W65" i="28" l="1"/>
  <c r="AH65" i="28" s="1"/>
  <c r="AI65" i="28" s="1"/>
  <c r="AK65" i="28" s="1"/>
  <c r="T64" i="28"/>
  <c r="V68" i="26"/>
  <c r="Y68" i="26" s="1"/>
  <c r="AJ69" i="26"/>
  <c r="AK69" i="26" s="1"/>
  <c r="AM69" i="26" s="1"/>
  <c r="H65" i="26"/>
  <c r="G64" i="26"/>
  <c r="D60" i="22"/>
  <c r="E61" i="22"/>
  <c r="T65" i="22"/>
  <c r="AE65" i="22" s="1"/>
  <c r="AF65" i="22" s="1"/>
  <c r="AH65" i="22" s="1"/>
  <c r="Q64" i="22"/>
  <c r="Q66" i="19"/>
  <c r="T67" i="19"/>
  <c r="AE67" i="19" s="1"/>
  <c r="AF67" i="19" s="1"/>
  <c r="AH67" i="19" s="1"/>
  <c r="E64" i="19"/>
  <c r="D63" i="19"/>
  <c r="AH62" i="21"/>
  <c r="AJ62" i="21" s="1"/>
  <c r="S61" i="21"/>
  <c r="AG61" i="21" s="1"/>
  <c r="V62" i="21"/>
  <c r="D58" i="21"/>
  <c r="E59" i="21"/>
  <c r="V67" i="16"/>
  <c r="AG67" i="16"/>
  <c r="AH67" i="16" s="1"/>
  <c r="AJ67" i="16" s="1"/>
  <c r="S66" i="16"/>
  <c r="W64" i="28" l="1"/>
  <c r="AH64" i="28" s="1"/>
  <c r="AI64" i="28" s="1"/>
  <c r="AK64" i="28" s="1"/>
  <c r="T63" i="28"/>
  <c r="AJ68" i="26"/>
  <c r="AK68" i="26" s="1"/>
  <c r="AM68" i="26" s="1"/>
  <c r="V67" i="26"/>
  <c r="AJ67" i="26" s="1"/>
  <c r="AK67" i="26" s="1"/>
  <c r="AM67" i="26" s="1"/>
  <c r="H64" i="26"/>
  <c r="G63" i="26"/>
  <c r="T64" i="22"/>
  <c r="AE64" i="22" s="1"/>
  <c r="AF64" i="22" s="1"/>
  <c r="AH64" i="22" s="1"/>
  <c r="Q63" i="22"/>
  <c r="D59" i="22"/>
  <c r="E60" i="22"/>
  <c r="Q65" i="19"/>
  <c r="T66" i="19"/>
  <c r="AE66" i="19" s="1"/>
  <c r="AF66" i="19" s="1"/>
  <c r="AH66" i="19" s="1"/>
  <c r="E63" i="19"/>
  <c r="D62" i="19"/>
  <c r="D57" i="21"/>
  <c r="E58" i="21"/>
  <c r="AH61" i="21"/>
  <c r="AJ61" i="21" s="1"/>
  <c r="S60" i="21"/>
  <c r="AG60" i="21" s="1"/>
  <c r="V61" i="21"/>
  <c r="AG66" i="16"/>
  <c r="AH66" i="16" s="1"/>
  <c r="AJ66" i="16" s="1"/>
  <c r="V66" i="16"/>
  <c r="S65" i="16"/>
  <c r="W63" i="28" l="1"/>
  <c r="AH63" i="28" s="1"/>
  <c r="AI63" i="28" s="1"/>
  <c r="AK63" i="28" s="1"/>
  <c r="T62" i="28"/>
  <c r="V66" i="26"/>
  <c r="Y66" i="26" s="1"/>
  <c r="Y67" i="26"/>
  <c r="H63" i="26"/>
  <c r="G62" i="26"/>
  <c r="D58" i="22"/>
  <c r="E59" i="22"/>
  <c r="T63" i="22"/>
  <c r="AE63" i="22" s="1"/>
  <c r="AF63" i="22" s="1"/>
  <c r="AH63" i="22" s="1"/>
  <c r="Q62" i="22"/>
  <c r="Q64" i="19"/>
  <c r="T65" i="19"/>
  <c r="AE65" i="19" s="1"/>
  <c r="AF65" i="19" s="1"/>
  <c r="AH65" i="19" s="1"/>
  <c r="E62" i="19"/>
  <c r="D61" i="19"/>
  <c r="AH60" i="21"/>
  <c r="AJ60" i="21" s="1"/>
  <c r="S59" i="21"/>
  <c r="AG59" i="21" s="1"/>
  <c r="V60" i="21"/>
  <c r="D56" i="21"/>
  <c r="E57" i="21"/>
  <c r="AG65" i="16"/>
  <c r="AH65" i="16" s="1"/>
  <c r="AJ65" i="16" s="1"/>
  <c r="V65" i="16"/>
  <c r="S64" i="16"/>
  <c r="W62" i="28" l="1"/>
  <c r="AH62" i="28" s="1"/>
  <c r="AI62" i="28" s="1"/>
  <c r="AK62" i="28" s="1"/>
  <c r="T61" i="28"/>
  <c r="V65" i="26"/>
  <c r="Y65" i="26" s="1"/>
  <c r="AJ66" i="26"/>
  <c r="AK66" i="26" s="1"/>
  <c r="AM66" i="26" s="1"/>
  <c r="H62" i="26"/>
  <c r="G61" i="26"/>
  <c r="T62" i="22"/>
  <c r="AE62" i="22" s="1"/>
  <c r="AF62" i="22" s="1"/>
  <c r="AH62" i="22" s="1"/>
  <c r="Q61" i="22"/>
  <c r="D57" i="22"/>
  <c r="E58" i="22"/>
  <c r="T64" i="19"/>
  <c r="AE64" i="19" s="1"/>
  <c r="AF64" i="19" s="1"/>
  <c r="AH64" i="19" s="1"/>
  <c r="Q63" i="19"/>
  <c r="E61" i="19"/>
  <c r="D60" i="19"/>
  <c r="D55" i="21"/>
  <c r="E56" i="21"/>
  <c r="AH59" i="21"/>
  <c r="AJ59" i="21" s="1"/>
  <c r="S58" i="21"/>
  <c r="AG58" i="21" s="1"/>
  <c r="V59" i="21"/>
  <c r="AG64" i="16"/>
  <c r="AH64" i="16" s="1"/>
  <c r="AJ64" i="16" s="1"/>
  <c r="V64" i="16"/>
  <c r="S63" i="16"/>
  <c r="W61" i="28" l="1"/>
  <c r="AH61" i="28" s="1"/>
  <c r="AI61" i="28" s="1"/>
  <c r="AK61" i="28" s="1"/>
  <c r="T60" i="28"/>
  <c r="AJ65" i="26"/>
  <c r="AK65" i="26" s="1"/>
  <c r="AM65" i="26" s="1"/>
  <c r="V64" i="26"/>
  <c r="Y64" i="26" s="1"/>
  <c r="H61" i="26"/>
  <c r="G60" i="26"/>
  <c r="D56" i="22"/>
  <c r="E57" i="22"/>
  <c r="T61" i="22"/>
  <c r="AE61" i="22" s="1"/>
  <c r="AF61" i="22" s="1"/>
  <c r="AH61" i="22" s="1"/>
  <c r="Q60" i="22"/>
  <c r="Q62" i="19"/>
  <c r="T63" i="19"/>
  <c r="AE63" i="19" s="1"/>
  <c r="AF63" i="19" s="1"/>
  <c r="AH63" i="19" s="1"/>
  <c r="E60" i="19"/>
  <c r="D59" i="19"/>
  <c r="AH58" i="21"/>
  <c r="AJ58" i="21" s="1"/>
  <c r="S57" i="21"/>
  <c r="AG57" i="21" s="1"/>
  <c r="V58" i="21"/>
  <c r="D54" i="21"/>
  <c r="E55" i="21"/>
  <c r="AG63" i="16"/>
  <c r="AH63" i="16" s="1"/>
  <c r="AJ63" i="16" s="1"/>
  <c r="V63" i="16"/>
  <c r="S62" i="16"/>
  <c r="W60" i="28" l="1"/>
  <c r="AH60" i="28" s="1"/>
  <c r="AI60" i="28" s="1"/>
  <c r="AK60" i="28" s="1"/>
  <c r="T59" i="28"/>
  <c r="AJ64" i="26"/>
  <c r="AK64" i="26" s="1"/>
  <c r="AM64" i="26" s="1"/>
  <c r="V63" i="26"/>
  <c r="AJ63" i="26" s="1"/>
  <c r="AK63" i="26" s="1"/>
  <c r="AM63" i="26" s="1"/>
  <c r="H60" i="26"/>
  <c r="G59" i="26"/>
  <c r="T60" i="22"/>
  <c r="AE60" i="22" s="1"/>
  <c r="AF60" i="22" s="1"/>
  <c r="AH60" i="22" s="1"/>
  <c r="Q59" i="22"/>
  <c r="D55" i="22"/>
  <c r="E56" i="22"/>
  <c r="Q61" i="19"/>
  <c r="T62" i="19"/>
  <c r="AE62" i="19" s="1"/>
  <c r="AF62" i="19" s="1"/>
  <c r="AH62" i="19" s="1"/>
  <c r="E59" i="19"/>
  <c r="D58" i="19"/>
  <c r="D53" i="21"/>
  <c r="E54" i="21"/>
  <c r="AH57" i="21"/>
  <c r="AJ57" i="21" s="1"/>
  <c r="S56" i="21"/>
  <c r="AG56" i="21" s="1"/>
  <c r="V57" i="21"/>
  <c r="AG62" i="16"/>
  <c r="AH62" i="16" s="1"/>
  <c r="AJ62" i="16" s="1"/>
  <c r="V62" i="16"/>
  <c r="S61" i="16"/>
  <c r="W59" i="28" l="1"/>
  <c r="AH59" i="28" s="1"/>
  <c r="AI59" i="28" s="1"/>
  <c r="AK59" i="28" s="1"/>
  <c r="T58" i="28"/>
  <c r="V62" i="26"/>
  <c r="Y62" i="26" s="1"/>
  <c r="Y63" i="26"/>
  <c r="H59" i="26"/>
  <c r="G58" i="26"/>
  <c r="D54" i="22"/>
  <c r="E55" i="22"/>
  <c r="T59" i="22"/>
  <c r="AE59" i="22" s="1"/>
  <c r="AF59" i="22" s="1"/>
  <c r="AH59" i="22" s="1"/>
  <c r="Q58" i="22"/>
  <c r="T61" i="19"/>
  <c r="AE61" i="19" s="1"/>
  <c r="AF61" i="19" s="1"/>
  <c r="AH61" i="19" s="1"/>
  <c r="Q60" i="19"/>
  <c r="E58" i="19"/>
  <c r="D57" i="19"/>
  <c r="AH56" i="21"/>
  <c r="AJ56" i="21" s="1"/>
  <c r="S55" i="21"/>
  <c r="AG55" i="21" s="1"/>
  <c r="V56" i="21"/>
  <c r="D52" i="21"/>
  <c r="E53" i="21"/>
  <c r="V61" i="16"/>
  <c r="AG61" i="16"/>
  <c r="AH61" i="16" s="1"/>
  <c r="AJ61" i="16" s="1"/>
  <c r="S60" i="16"/>
  <c r="W58" i="28" l="1"/>
  <c r="AH58" i="28" s="1"/>
  <c r="AI58" i="28" s="1"/>
  <c r="AK58" i="28" s="1"/>
  <c r="T57" i="28"/>
  <c r="V61" i="26"/>
  <c r="Y61" i="26" s="1"/>
  <c r="AJ62" i="26"/>
  <c r="AK62" i="26" s="1"/>
  <c r="AM62" i="26" s="1"/>
  <c r="H58" i="26"/>
  <c r="G57" i="26"/>
  <c r="T58" i="22"/>
  <c r="AE58" i="22" s="1"/>
  <c r="AF58" i="22" s="1"/>
  <c r="AH58" i="22" s="1"/>
  <c r="Q57" i="22"/>
  <c r="D53" i="22"/>
  <c r="E54" i="22"/>
  <c r="T60" i="19"/>
  <c r="AE60" i="19" s="1"/>
  <c r="AF60" i="19" s="1"/>
  <c r="AH60" i="19" s="1"/>
  <c r="Q59" i="19"/>
  <c r="E57" i="19"/>
  <c r="D56" i="19"/>
  <c r="D51" i="21"/>
  <c r="E52" i="21"/>
  <c r="AH55" i="21"/>
  <c r="AJ55" i="21" s="1"/>
  <c r="S54" i="21"/>
  <c r="AG54" i="21" s="1"/>
  <c r="V55" i="21"/>
  <c r="V60" i="16"/>
  <c r="AG60" i="16"/>
  <c r="AH60" i="16" s="1"/>
  <c r="AJ60" i="16" s="1"/>
  <c r="S59" i="16"/>
  <c r="W57" i="28" l="1"/>
  <c r="AH57" i="28" s="1"/>
  <c r="AI57" i="28" s="1"/>
  <c r="AK57" i="28" s="1"/>
  <c r="T56" i="28"/>
  <c r="V60" i="26"/>
  <c r="Y60" i="26" s="1"/>
  <c r="AJ61" i="26"/>
  <c r="AK61" i="26" s="1"/>
  <c r="AM61" i="26" s="1"/>
  <c r="H57" i="26"/>
  <c r="G56" i="26"/>
  <c r="D52" i="22"/>
  <c r="E53" i="22"/>
  <c r="T57" i="22"/>
  <c r="AE57" i="22" s="1"/>
  <c r="AF57" i="22" s="1"/>
  <c r="AH57" i="22" s="1"/>
  <c r="Q56" i="22"/>
  <c r="T59" i="19"/>
  <c r="AE59" i="19" s="1"/>
  <c r="AF59" i="19" s="1"/>
  <c r="AH59" i="19" s="1"/>
  <c r="Q58" i="19"/>
  <c r="E56" i="19"/>
  <c r="D55" i="19"/>
  <c r="AH54" i="21"/>
  <c r="AJ54" i="21" s="1"/>
  <c r="V54" i="21"/>
  <c r="S53" i="21"/>
  <c r="AG53" i="21" s="1"/>
  <c r="D50" i="21"/>
  <c r="E51" i="21"/>
  <c r="V59" i="16"/>
  <c r="AG59" i="16"/>
  <c r="AH59" i="16" s="1"/>
  <c r="AJ59" i="16" s="1"/>
  <c r="S58" i="16"/>
  <c r="W56" i="28" l="1"/>
  <c r="AH56" i="28" s="1"/>
  <c r="AI56" i="28" s="1"/>
  <c r="AK56" i="28" s="1"/>
  <c r="T55" i="28"/>
  <c r="V59" i="26"/>
  <c r="V58" i="26" s="1"/>
  <c r="AJ60" i="26"/>
  <c r="AK60" i="26" s="1"/>
  <c r="AM60" i="26" s="1"/>
  <c r="H56" i="26"/>
  <c r="G55" i="26"/>
  <c r="T56" i="22"/>
  <c r="AE56" i="22" s="1"/>
  <c r="AF56" i="22" s="1"/>
  <c r="AH56" i="22" s="1"/>
  <c r="Q55" i="22"/>
  <c r="D51" i="22"/>
  <c r="E52" i="22"/>
  <c r="T58" i="19"/>
  <c r="AE58" i="19" s="1"/>
  <c r="AF58" i="19" s="1"/>
  <c r="AH58" i="19" s="1"/>
  <c r="Q57" i="19"/>
  <c r="E55" i="19"/>
  <c r="D54" i="19"/>
  <c r="AH53" i="21"/>
  <c r="AJ53" i="21" s="1"/>
  <c r="S52" i="21"/>
  <c r="AG52" i="21" s="1"/>
  <c r="V53" i="21"/>
  <c r="D49" i="21"/>
  <c r="E50" i="21"/>
  <c r="V58" i="16"/>
  <c r="AG58" i="16"/>
  <c r="AH58" i="16" s="1"/>
  <c r="AJ58" i="16" s="1"/>
  <c r="S57" i="16"/>
  <c r="W55" i="28" l="1"/>
  <c r="AH55" i="28" s="1"/>
  <c r="AI55" i="28" s="1"/>
  <c r="AK55" i="28" s="1"/>
  <c r="T54" i="28"/>
  <c r="Y59" i="26"/>
  <c r="AJ59" i="26"/>
  <c r="AK59" i="26" s="1"/>
  <c r="AM59" i="26" s="1"/>
  <c r="Y58" i="26"/>
  <c r="AJ58" i="26"/>
  <c r="AK58" i="26" s="1"/>
  <c r="AM58" i="26" s="1"/>
  <c r="V57" i="26"/>
  <c r="H55" i="26"/>
  <c r="G54" i="26"/>
  <c r="D50" i="22"/>
  <c r="E51" i="22"/>
  <c r="T55" i="22"/>
  <c r="AE55" i="22" s="1"/>
  <c r="AF55" i="22" s="1"/>
  <c r="AH55" i="22" s="1"/>
  <c r="Q54" i="22"/>
  <c r="Q56" i="19"/>
  <c r="T57" i="19"/>
  <c r="AE57" i="19" s="1"/>
  <c r="AF57" i="19" s="1"/>
  <c r="AH57" i="19" s="1"/>
  <c r="E54" i="19"/>
  <c r="D53" i="19"/>
  <c r="D48" i="21"/>
  <c r="E49" i="21"/>
  <c r="AH52" i="21"/>
  <c r="AJ52" i="21" s="1"/>
  <c r="S51" i="21"/>
  <c r="AG51" i="21" s="1"/>
  <c r="V52" i="21"/>
  <c r="AG57" i="16"/>
  <c r="AH57" i="16" s="1"/>
  <c r="AJ57" i="16" s="1"/>
  <c r="V57" i="16"/>
  <c r="S56" i="16"/>
  <c r="W54" i="28" l="1"/>
  <c r="AH54" i="28" s="1"/>
  <c r="AI54" i="28" s="1"/>
  <c r="AK54" i="28" s="1"/>
  <c r="T53" i="28"/>
  <c r="H54" i="26"/>
  <c r="G53" i="26"/>
  <c r="AJ57" i="26"/>
  <c r="AK57" i="26" s="1"/>
  <c r="AM57" i="26" s="1"/>
  <c r="Y57" i="26"/>
  <c r="V56" i="26"/>
  <c r="T54" i="22"/>
  <c r="AE54" i="22" s="1"/>
  <c r="AF54" i="22" s="1"/>
  <c r="AH54" i="22" s="1"/>
  <c r="Q53" i="22"/>
  <c r="D49" i="22"/>
  <c r="E50" i="22"/>
  <c r="T56" i="19"/>
  <c r="AE56" i="19" s="1"/>
  <c r="AF56" i="19" s="1"/>
  <c r="AH56" i="19" s="1"/>
  <c r="Q55" i="19"/>
  <c r="E53" i="19"/>
  <c r="D52" i="19"/>
  <c r="D47" i="21"/>
  <c r="E48" i="21"/>
  <c r="AH51" i="21"/>
  <c r="AJ51" i="21" s="1"/>
  <c r="V51" i="21"/>
  <c r="S50" i="21"/>
  <c r="AG50" i="21" s="1"/>
  <c r="AG56" i="16"/>
  <c r="AH56" i="16" s="1"/>
  <c r="AJ56" i="16" s="1"/>
  <c r="V56" i="16"/>
  <c r="S55" i="16"/>
  <c r="W53" i="28" l="1"/>
  <c r="AH53" i="28" s="1"/>
  <c r="AI53" i="28" s="1"/>
  <c r="AK53" i="28" s="1"/>
  <c r="T52" i="28"/>
  <c r="H53" i="26"/>
  <c r="G52" i="26"/>
  <c r="AJ56" i="26"/>
  <c r="AK56" i="26" s="1"/>
  <c r="AM56" i="26" s="1"/>
  <c r="Y56" i="26"/>
  <c r="V55" i="26"/>
  <c r="D48" i="22"/>
  <c r="E49" i="22"/>
  <c r="T53" i="22"/>
  <c r="AE53" i="22" s="1"/>
  <c r="AF53" i="22" s="1"/>
  <c r="AH53" i="22" s="1"/>
  <c r="Q52" i="22"/>
  <c r="Q54" i="19"/>
  <c r="T55" i="19"/>
  <c r="AE55" i="19" s="1"/>
  <c r="AF55" i="19" s="1"/>
  <c r="AH55" i="19" s="1"/>
  <c r="E52" i="19"/>
  <c r="D51" i="19"/>
  <c r="AH50" i="21"/>
  <c r="AJ50" i="21" s="1"/>
  <c r="S49" i="21"/>
  <c r="AG49" i="21" s="1"/>
  <c r="V50" i="21"/>
  <c r="D46" i="21"/>
  <c r="E47" i="21"/>
  <c r="AG55" i="16"/>
  <c r="AH55" i="16" s="1"/>
  <c r="AJ55" i="16" s="1"/>
  <c r="V55" i="16"/>
  <c r="S54" i="16"/>
  <c r="W52" i="28" l="1"/>
  <c r="AH52" i="28" s="1"/>
  <c r="AI52" i="28" s="1"/>
  <c r="AK52" i="28" s="1"/>
  <c r="T51" i="28"/>
  <c r="AJ55" i="26"/>
  <c r="AK55" i="26" s="1"/>
  <c r="AM55" i="26" s="1"/>
  <c r="Y55" i="26"/>
  <c r="V54" i="26"/>
  <c r="H52" i="26"/>
  <c r="G51" i="26"/>
  <c r="D47" i="22"/>
  <c r="E48" i="22"/>
  <c r="T52" i="22"/>
  <c r="AE52" i="22" s="1"/>
  <c r="AF52" i="22" s="1"/>
  <c r="AH52" i="22" s="1"/>
  <c r="Q51" i="22"/>
  <c r="T54" i="19"/>
  <c r="AE54" i="19" s="1"/>
  <c r="AF54" i="19" s="1"/>
  <c r="AH54" i="19" s="1"/>
  <c r="Q53" i="19"/>
  <c r="E51" i="19"/>
  <c r="D50" i="19"/>
  <c r="D45" i="21"/>
  <c r="E46" i="21"/>
  <c r="AH49" i="21"/>
  <c r="AJ49" i="21" s="1"/>
  <c r="S48" i="21"/>
  <c r="AG48" i="21" s="1"/>
  <c r="V49" i="21"/>
  <c r="AG54" i="16"/>
  <c r="AH54" i="16" s="1"/>
  <c r="AJ54" i="16" s="1"/>
  <c r="V54" i="16"/>
  <c r="S53" i="16"/>
  <c r="T50" i="28" l="1"/>
  <c r="W51" i="28"/>
  <c r="AH51" i="28" s="1"/>
  <c r="AI51" i="28" s="1"/>
  <c r="AK51" i="28" s="1"/>
  <c r="H51" i="26"/>
  <c r="G50" i="26"/>
  <c r="AJ54" i="26"/>
  <c r="AK54" i="26" s="1"/>
  <c r="AM54" i="26" s="1"/>
  <c r="Y54" i="26"/>
  <c r="V53" i="26"/>
  <c r="T51" i="22"/>
  <c r="AE51" i="22" s="1"/>
  <c r="AF51" i="22" s="1"/>
  <c r="AH51" i="22" s="1"/>
  <c r="Q50" i="22"/>
  <c r="D46" i="22"/>
  <c r="E47" i="22"/>
  <c r="T53" i="19"/>
  <c r="AE53" i="19" s="1"/>
  <c r="AF53" i="19" s="1"/>
  <c r="AH53" i="19" s="1"/>
  <c r="Q52" i="19"/>
  <c r="E50" i="19"/>
  <c r="D49" i="19"/>
  <c r="AH48" i="21"/>
  <c r="AJ48" i="21" s="1"/>
  <c r="S47" i="21"/>
  <c r="AG47" i="21" s="1"/>
  <c r="V48" i="21"/>
  <c r="D44" i="21"/>
  <c r="E45" i="21"/>
  <c r="V53" i="16"/>
  <c r="AG53" i="16"/>
  <c r="AH53" i="16" s="1"/>
  <c r="AJ53" i="16" s="1"/>
  <c r="S52" i="16"/>
  <c r="T49" i="28" l="1"/>
  <c r="W50" i="28"/>
  <c r="AH50" i="28" s="1"/>
  <c r="AI50" i="28" s="1"/>
  <c r="AK50" i="28" s="1"/>
  <c r="Y53" i="26"/>
  <c r="AJ53" i="26"/>
  <c r="AK53" i="26" s="1"/>
  <c r="AM53" i="26" s="1"/>
  <c r="V52" i="26"/>
  <c r="H50" i="26"/>
  <c r="G49" i="26"/>
  <c r="D45" i="22"/>
  <c r="E46" i="22"/>
  <c r="T50" i="22"/>
  <c r="AE50" i="22" s="1"/>
  <c r="AF50" i="22" s="1"/>
  <c r="AH50" i="22" s="1"/>
  <c r="Q49" i="22"/>
  <c r="Q51" i="19"/>
  <c r="T52" i="19"/>
  <c r="AE52" i="19" s="1"/>
  <c r="AF52" i="19" s="1"/>
  <c r="AH52" i="19" s="1"/>
  <c r="E49" i="19"/>
  <c r="D48" i="19"/>
  <c r="AH47" i="21"/>
  <c r="AJ47" i="21" s="1"/>
  <c r="S46" i="21"/>
  <c r="AG46" i="21" s="1"/>
  <c r="V47" i="21"/>
  <c r="D43" i="21"/>
  <c r="E44" i="21"/>
  <c r="AG52" i="16"/>
  <c r="AH52" i="16" s="1"/>
  <c r="AJ52" i="16" s="1"/>
  <c r="V52" i="16"/>
  <c r="S51" i="16"/>
  <c r="W49" i="28" l="1"/>
  <c r="AH49" i="28" s="1"/>
  <c r="AI49" i="28" s="1"/>
  <c r="AK49" i="28" s="1"/>
  <c r="T48" i="28"/>
  <c r="H49" i="26"/>
  <c r="G48" i="26"/>
  <c r="AJ52" i="26"/>
  <c r="AK52" i="26" s="1"/>
  <c r="AM52" i="26" s="1"/>
  <c r="Y52" i="26"/>
  <c r="V51" i="26"/>
  <c r="T49" i="22"/>
  <c r="AE49" i="22" s="1"/>
  <c r="AF49" i="22" s="1"/>
  <c r="AH49" i="22" s="1"/>
  <c r="Q48" i="22"/>
  <c r="D44" i="22"/>
  <c r="E45" i="22"/>
  <c r="T51" i="19"/>
  <c r="AE51" i="19" s="1"/>
  <c r="AF51" i="19" s="1"/>
  <c r="AH51" i="19" s="1"/>
  <c r="Q50" i="19"/>
  <c r="E48" i="19"/>
  <c r="D47" i="19"/>
  <c r="D42" i="21"/>
  <c r="E43" i="21"/>
  <c r="AH46" i="21"/>
  <c r="AJ46" i="21" s="1"/>
  <c r="S45" i="21"/>
  <c r="AG45" i="21" s="1"/>
  <c r="V46" i="21"/>
  <c r="V51" i="16"/>
  <c r="AG51" i="16"/>
  <c r="AH51" i="16" s="1"/>
  <c r="AJ51" i="16" s="1"/>
  <c r="S50" i="16"/>
  <c r="T47" i="28" l="1"/>
  <c r="W48" i="28"/>
  <c r="AH48" i="28" s="1"/>
  <c r="AI48" i="28" s="1"/>
  <c r="AK48" i="28" s="1"/>
  <c r="AJ51" i="26"/>
  <c r="AK51" i="26" s="1"/>
  <c r="AM51" i="26" s="1"/>
  <c r="Y51" i="26"/>
  <c r="V50" i="26"/>
  <c r="H48" i="26"/>
  <c r="G47" i="26"/>
  <c r="D43" i="22"/>
  <c r="E44" i="22"/>
  <c r="T48" i="22"/>
  <c r="AE48" i="22" s="1"/>
  <c r="AF48" i="22" s="1"/>
  <c r="AH48" i="22" s="1"/>
  <c r="Q47" i="22"/>
  <c r="T50" i="19"/>
  <c r="AE50" i="19" s="1"/>
  <c r="AF50" i="19" s="1"/>
  <c r="AH50" i="19" s="1"/>
  <c r="Q49" i="19"/>
  <c r="E47" i="19"/>
  <c r="D46" i="19"/>
  <c r="AH45" i="21"/>
  <c r="AJ45" i="21" s="1"/>
  <c r="S44" i="21"/>
  <c r="AG44" i="21" s="1"/>
  <c r="V45" i="21"/>
  <c r="D41" i="21"/>
  <c r="E42" i="21"/>
  <c r="AG50" i="16"/>
  <c r="AH50" i="16" s="1"/>
  <c r="AJ50" i="16" s="1"/>
  <c r="V50" i="16"/>
  <c r="S49" i="16"/>
  <c r="T46" i="28" l="1"/>
  <c r="W47" i="28"/>
  <c r="AH47" i="28" s="1"/>
  <c r="AI47" i="28" s="1"/>
  <c r="AK47" i="28" s="1"/>
  <c r="H47" i="26"/>
  <c r="G46" i="26"/>
  <c r="AJ50" i="26"/>
  <c r="AK50" i="26" s="1"/>
  <c r="AM50" i="26" s="1"/>
  <c r="Y50" i="26"/>
  <c r="V49" i="26"/>
  <c r="T47" i="22"/>
  <c r="AE47" i="22" s="1"/>
  <c r="AF47" i="22" s="1"/>
  <c r="AH47" i="22" s="1"/>
  <c r="Q46" i="22"/>
  <c r="D42" i="22"/>
  <c r="E43" i="22"/>
  <c r="T49" i="19"/>
  <c r="AE49" i="19" s="1"/>
  <c r="AF49" i="19" s="1"/>
  <c r="AH49" i="19" s="1"/>
  <c r="Q48" i="19"/>
  <c r="D45" i="19"/>
  <c r="E46" i="19"/>
  <c r="D40" i="21"/>
  <c r="E41" i="21"/>
  <c r="AH44" i="21"/>
  <c r="AJ44" i="21" s="1"/>
  <c r="S43" i="21"/>
  <c r="AG43" i="21" s="1"/>
  <c r="V44" i="21"/>
  <c r="V49" i="16"/>
  <c r="AG49" i="16"/>
  <c r="AH49" i="16" s="1"/>
  <c r="AJ49" i="16" s="1"/>
  <c r="S48" i="16"/>
  <c r="T45" i="28" l="1"/>
  <c r="W46" i="28"/>
  <c r="AH46" i="28" s="1"/>
  <c r="AI46" i="28" s="1"/>
  <c r="AK46" i="28" s="1"/>
  <c r="H46" i="26"/>
  <c r="G45" i="26"/>
  <c r="AJ49" i="26"/>
  <c r="AK49" i="26" s="1"/>
  <c r="AM49" i="26" s="1"/>
  <c r="Y49" i="26"/>
  <c r="V48" i="26"/>
  <c r="Q45" i="22"/>
  <c r="T46" i="22"/>
  <c r="AE46" i="22" s="1"/>
  <c r="AF46" i="22" s="1"/>
  <c r="AH46" i="22" s="1"/>
  <c r="D41" i="22"/>
  <c r="E42" i="22"/>
  <c r="Q47" i="19"/>
  <c r="T48" i="19"/>
  <c r="AE48" i="19" s="1"/>
  <c r="AF48" i="19" s="1"/>
  <c r="AH48" i="19" s="1"/>
  <c r="E45" i="19"/>
  <c r="D44" i="19"/>
  <c r="D39" i="21"/>
  <c r="E40" i="21"/>
  <c r="AH43" i="21"/>
  <c r="AJ43" i="21" s="1"/>
  <c r="S42" i="21"/>
  <c r="AG42" i="21" s="1"/>
  <c r="V43" i="21"/>
  <c r="V48" i="16"/>
  <c r="AG48" i="16"/>
  <c r="AH48" i="16" s="1"/>
  <c r="AJ48" i="16" s="1"/>
  <c r="S47" i="16"/>
  <c r="W45" i="28" l="1"/>
  <c r="AH45" i="28" s="1"/>
  <c r="AI45" i="28" s="1"/>
  <c r="AK45" i="28" s="1"/>
  <c r="T44" i="28"/>
  <c r="AJ48" i="26"/>
  <c r="AK48" i="26" s="1"/>
  <c r="AM48" i="26" s="1"/>
  <c r="Y48" i="26"/>
  <c r="V47" i="26"/>
  <c r="H45" i="26"/>
  <c r="G44" i="26"/>
  <c r="Q44" i="22"/>
  <c r="T45" i="22"/>
  <c r="AE45" i="22" s="1"/>
  <c r="AF45" i="22" s="1"/>
  <c r="AH45" i="22" s="1"/>
  <c r="D40" i="22"/>
  <c r="E41" i="22"/>
  <c r="Q46" i="19"/>
  <c r="T47" i="19"/>
  <c r="AE47" i="19" s="1"/>
  <c r="AF47" i="19" s="1"/>
  <c r="AH47" i="19" s="1"/>
  <c r="E44" i="19"/>
  <c r="D43" i="19"/>
  <c r="AH42" i="21"/>
  <c r="AJ42" i="21" s="1"/>
  <c r="V42" i="21"/>
  <c r="S41" i="21"/>
  <c r="AG41" i="21" s="1"/>
  <c r="D38" i="21"/>
  <c r="E39" i="21"/>
  <c r="AG47" i="16"/>
  <c r="AH47" i="16" s="1"/>
  <c r="AJ47" i="16" s="1"/>
  <c r="V47" i="16"/>
  <c r="S46" i="16"/>
  <c r="T43" i="28" l="1"/>
  <c r="W44" i="28"/>
  <c r="AH44" i="28" s="1"/>
  <c r="AI44" i="28" s="1"/>
  <c r="AK44" i="28" s="1"/>
  <c r="H44" i="26"/>
  <c r="G43" i="26"/>
  <c r="AJ47" i="26"/>
  <c r="AK47" i="26" s="1"/>
  <c r="AM47" i="26" s="1"/>
  <c r="Y47" i="26"/>
  <c r="V46" i="26"/>
  <c r="D39" i="22"/>
  <c r="E40" i="22"/>
  <c r="Q43" i="22"/>
  <c r="T44" i="22"/>
  <c r="AE44" i="22" s="1"/>
  <c r="AF44" i="22" s="1"/>
  <c r="AH44" i="22" s="1"/>
  <c r="Q45" i="19"/>
  <c r="T46" i="19"/>
  <c r="AE46" i="19" s="1"/>
  <c r="AF46" i="19" s="1"/>
  <c r="AH46" i="19" s="1"/>
  <c r="E43" i="19"/>
  <c r="D42" i="19"/>
  <c r="D37" i="21"/>
  <c r="E38" i="21"/>
  <c r="AH41" i="21"/>
  <c r="AJ41" i="21" s="1"/>
  <c r="S40" i="21"/>
  <c r="AG40" i="21" s="1"/>
  <c r="V41" i="21"/>
  <c r="AG46" i="16"/>
  <c r="AH46" i="16" s="1"/>
  <c r="AJ46" i="16" s="1"/>
  <c r="V46" i="16"/>
  <c r="S45" i="16"/>
  <c r="T42" i="28" l="1"/>
  <c r="W43" i="28"/>
  <c r="AH43" i="28" s="1"/>
  <c r="AI43" i="28" s="1"/>
  <c r="AK43" i="28" s="1"/>
  <c r="H43" i="26"/>
  <c r="G42" i="26"/>
  <c r="AJ46" i="26"/>
  <c r="AK46" i="26" s="1"/>
  <c r="AM46" i="26" s="1"/>
  <c r="Y46" i="26"/>
  <c r="V45" i="26"/>
  <c r="Q42" i="22"/>
  <c r="T43" i="22"/>
  <c r="AE43" i="22" s="1"/>
  <c r="AF43" i="22" s="1"/>
  <c r="AH43" i="22" s="1"/>
  <c r="D38" i="22"/>
  <c r="E39" i="22"/>
  <c r="T45" i="19"/>
  <c r="AE45" i="19" s="1"/>
  <c r="AF45" i="19" s="1"/>
  <c r="AH45" i="19" s="1"/>
  <c r="Q44" i="19"/>
  <c r="E42" i="19"/>
  <c r="D41" i="19"/>
  <c r="AH40" i="21"/>
  <c r="AJ40" i="21" s="1"/>
  <c r="S39" i="21"/>
  <c r="AG39" i="21" s="1"/>
  <c r="V40" i="21"/>
  <c r="D36" i="21"/>
  <c r="E37" i="21"/>
  <c r="V45" i="16"/>
  <c r="AG45" i="16"/>
  <c r="AH45" i="16" s="1"/>
  <c r="AJ45" i="16" s="1"/>
  <c r="S44" i="16"/>
  <c r="W42" i="28" l="1"/>
  <c r="AH42" i="28" s="1"/>
  <c r="AI42" i="28" s="1"/>
  <c r="AK42" i="28" s="1"/>
  <c r="T41" i="28"/>
  <c r="AJ45" i="26"/>
  <c r="AK45" i="26" s="1"/>
  <c r="AM45" i="26" s="1"/>
  <c r="Y45" i="26"/>
  <c r="V44" i="26"/>
  <c r="H42" i="26"/>
  <c r="G41" i="26"/>
  <c r="D37" i="22"/>
  <c r="E38" i="22"/>
  <c r="T42" i="22"/>
  <c r="AE42" i="22" s="1"/>
  <c r="AF42" i="22" s="1"/>
  <c r="AH42" i="22" s="1"/>
  <c r="Q41" i="22"/>
  <c r="T44" i="19"/>
  <c r="AE44" i="19" s="1"/>
  <c r="AF44" i="19" s="1"/>
  <c r="AH44" i="19" s="1"/>
  <c r="Q43" i="19"/>
  <c r="E41" i="19"/>
  <c r="D40" i="19"/>
  <c r="D35" i="21"/>
  <c r="E36" i="21"/>
  <c r="AH39" i="21"/>
  <c r="AJ39" i="21" s="1"/>
  <c r="V39" i="21"/>
  <c r="S38" i="21"/>
  <c r="AG38" i="21" s="1"/>
  <c r="AG44" i="16"/>
  <c r="AH44" i="16" s="1"/>
  <c r="AJ44" i="16" s="1"/>
  <c r="V44" i="16"/>
  <c r="S43" i="16"/>
  <c r="T40" i="28" l="1"/>
  <c r="W41" i="28"/>
  <c r="AH41" i="28" s="1"/>
  <c r="AI41" i="28" s="1"/>
  <c r="AK41" i="28" s="1"/>
  <c r="H41" i="26"/>
  <c r="G40" i="26"/>
  <c r="AJ44" i="26"/>
  <c r="AK44" i="26" s="1"/>
  <c r="AM44" i="26" s="1"/>
  <c r="Y44" i="26"/>
  <c r="V43" i="26"/>
  <c r="Q40" i="22"/>
  <c r="T41" i="22"/>
  <c r="AE41" i="22" s="1"/>
  <c r="AF41" i="22" s="1"/>
  <c r="AH41" i="22" s="1"/>
  <c r="D36" i="22"/>
  <c r="E37" i="22"/>
  <c r="Q42" i="19"/>
  <c r="T43" i="19"/>
  <c r="AE43" i="19" s="1"/>
  <c r="AF43" i="19" s="1"/>
  <c r="AH43" i="19" s="1"/>
  <c r="E40" i="19"/>
  <c r="D39" i="19"/>
  <c r="AH38" i="21"/>
  <c r="AJ38" i="21" s="1"/>
  <c r="S37" i="21"/>
  <c r="AG37" i="21" s="1"/>
  <c r="V38" i="21"/>
  <c r="D34" i="21"/>
  <c r="E35" i="21"/>
  <c r="AG43" i="16"/>
  <c r="AH43" i="16" s="1"/>
  <c r="AJ43" i="16" s="1"/>
  <c r="V43" i="16"/>
  <c r="S42" i="16"/>
  <c r="W40" i="28" l="1"/>
  <c r="AH40" i="28" s="1"/>
  <c r="AI40" i="28" s="1"/>
  <c r="AK40" i="28" s="1"/>
  <c r="T39" i="28"/>
  <c r="Y43" i="26"/>
  <c r="AJ43" i="26"/>
  <c r="AK43" i="26" s="1"/>
  <c r="AM43" i="26" s="1"/>
  <c r="V42" i="26"/>
  <c r="H40" i="26"/>
  <c r="G39" i="26"/>
  <c r="D35" i="22"/>
  <c r="E36" i="22"/>
  <c r="T40" i="22"/>
  <c r="AE40" i="22" s="1"/>
  <c r="AF40" i="22" s="1"/>
  <c r="AH40" i="22" s="1"/>
  <c r="Q39" i="22"/>
  <c r="T42" i="19"/>
  <c r="AE42" i="19" s="1"/>
  <c r="AF42" i="19" s="1"/>
  <c r="AH42" i="19" s="1"/>
  <c r="Q41" i="19"/>
  <c r="E39" i="19"/>
  <c r="D38" i="19"/>
  <c r="D33" i="21"/>
  <c r="E34" i="21"/>
  <c r="AH37" i="21"/>
  <c r="AJ37" i="21" s="1"/>
  <c r="V37" i="21"/>
  <c r="S36" i="21"/>
  <c r="AG36" i="21" s="1"/>
  <c r="AG42" i="16"/>
  <c r="AH42" i="16" s="1"/>
  <c r="AJ42" i="16" s="1"/>
  <c r="V42" i="16"/>
  <c r="S41" i="16"/>
  <c r="T38" i="28" l="1"/>
  <c r="W39" i="28"/>
  <c r="AH39" i="28" s="1"/>
  <c r="AI39" i="28" s="1"/>
  <c r="AK39" i="28" s="1"/>
  <c r="H39" i="26"/>
  <c r="G38" i="26"/>
  <c r="AJ42" i="26"/>
  <c r="AK42" i="26" s="1"/>
  <c r="AM42" i="26" s="1"/>
  <c r="Y42" i="26"/>
  <c r="V41" i="26"/>
  <c r="T39" i="22"/>
  <c r="AE39" i="22" s="1"/>
  <c r="AF39" i="22" s="1"/>
  <c r="AH39" i="22" s="1"/>
  <c r="Q38" i="22"/>
  <c r="D34" i="22"/>
  <c r="E35" i="22"/>
  <c r="T41" i="19"/>
  <c r="AE41" i="19" s="1"/>
  <c r="AF41" i="19" s="1"/>
  <c r="AH41" i="19" s="1"/>
  <c r="Q40" i="19"/>
  <c r="E38" i="19"/>
  <c r="D37" i="19"/>
  <c r="AH36" i="21"/>
  <c r="AJ36" i="21" s="1"/>
  <c r="V36" i="21"/>
  <c r="S35" i="21"/>
  <c r="AG35" i="21" s="1"/>
  <c r="D32" i="21"/>
  <c r="E33" i="21"/>
  <c r="AG41" i="16"/>
  <c r="AH41" i="16" s="1"/>
  <c r="AJ41" i="16" s="1"/>
  <c r="V41" i="16"/>
  <c r="S40" i="16"/>
  <c r="W38" i="28" l="1"/>
  <c r="AH38" i="28" s="1"/>
  <c r="AI38" i="28" s="1"/>
  <c r="AK38" i="28" s="1"/>
  <c r="T37" i="28"/>
  <c r="AJ41" i="26"/>
  <c r="AK41" i="26" s="1"/>
  <c r="AM41" i="26" s="1"/>
  <c r="Y41" i="26"/>
  <c r="V40" i="26"/>
  <c r="H38" i="26"/>
  <c r="G37" i="26"/>
  <c r="D33" i="22"/>
  <c r="E34" i="22"/>
  <c r="Q37" i="22"/>
  <c r="T38" i="22"/>
  <c r="AE38" i="22" s="1"/>
  <c r="AF38" i="22" s="1"/>
  <c r="AH38" i="22" s="1"/>
  <c r="T40" i="19"/>
  <c r="AE40" i="19" s="1"/>
  <c r="AF40" i="19" s="1"/>
  <c r="AH40" i="19" s="1"/>
  <c r="Q39" i="19"/>
  <c r="E37" i="19"/>
  <c r="D36" i="19"/>
  <c r="AH35" i="21"/>
  <c r="AJ35" i="21" s="1"/>
  <c r="S34" i="21"/>
  <c r="AG34" i="21" s="1"/>
  <c r="V35" i="21"/>
  <c r="D31" i="21"/>
  <c r="E32" i="21"/>
  <c r="AG40" i="16"/>
  <c r="AH40" i="16" s="1"/>
  <c r="AJ40" i="16" s="1"/>
  <c r="V40" i="16"/>
  <c r="S39" i="16"/>
  <c r="T36" i="28" l="1"/>
  <c r="W37" i="28"/>
  <c r="AH37" i="28" s="1"/>
  <c r="AI37" i="28" s="1"/>
  <c r="AK37" i="28" s="1"/>
  <c r="H37" i="26"/>
  <c r="G36" i="26"/>
  <c r="AJ40" i="26"/>
  <c r="AK40" i="26" s="1"/>
  <c r="AM40" i="26" s="1"/>
  <c r="Y40" i="26"/>
  <c r="V39" i="26"/>
  <c r="T37" i="22"/>
  <c r="AE37" i="22" s="1"/>
  <c r="AF37" i="22" s="1"/>
  <c r="AH37" i="22" s="1"/>
  <c r="Q36" i="22"/>
  <c r="D32" i="22"/>
  <c r="E33" i="22"/>
  <c r="Q38" i="19"/>
  <c r="T39" i="19"/>
  <c r="AE39" i="19" s="1"/>
  <c r="AF39" i="19" s="1"/>
  <c r="AH39" i="19" s="1"/>
  <c r="D35" i="19"/>
  <c r="E36" i="19"/>
  <c r="D30" i="21"/>
  <c r="E31" i="21"/>
  <c r="AH34" i="21"/>
  <c r="AJ34" i="21" s="1"/>
  <c r="V34" i="21"/>
  <c r="S33" i="21"/>
  <c r="AG33" i="21" s="1"/>
  <c r="AG39" i="16"/>
  <c r="AH39" i="16" s="1"/>
  <c r="AJ39" i="16" s="1"/>
  <c r="V39" i="16"/>
  <c r="S38" i="16"/>
  <c r="T35" i="28" l="1"/>
  <c r="W36" i="28"/>
  <c r="AH36" i="28" s="1"/>
  <c r="AI36" i="28" s="1"/>
  <c r="AK36" i="28" s="1"/>
  <c r="Y39" i="26"/>
  <c r="AJ39" i="26"/>
  <c r="AK39" i="26" s="1"/>
  <c r="AM39" i="26" s="1"/>
  <c r="V38" i="26"/>
  <c r="H36" i="26"/>
  <c r="G35" i="26"/>
  <c r="D31" i="22"/>
  <c r="E32" i="22"/>
  <c r="Q35" i="22"/>
  <c r="T36" i="22"/>
  <c r="AE36" i="22" s="1"/>
  <c r="AF36" i="22" s="1"/>
  <c r="AH36" i="22" s="1"/>
  <c r="Q37" i="19"/>
  <c r="T38" i="19"/>
  <c r="AE38" i="19" s="1"/>
  <c r="AF38" i="19" s="1"/>
  <c r="AH38" i="19" s="1"/>
  <c r="E35" i="19"/>
  <c r="D34" i="19"/>
  <c r="AH33" i="21"/>
  <c r="AJ33" i="21" s="1"/>
  <c r="S32" i="21"/>
  <c r="AG32" i="21" s="1"/>
  <c r="V33" i="21"/>
  <c r="D29" i="21"/>
  <c r="E30" i="21"/>
  <c r="AG38" i="16"/>
  <c r="AH38" i="16" s="1"/>
  <c r="AJ38" i="16" s="1"/>
  <c r="V38" i="16"/>
  <c r="S37" i="16"/>
  <c r="T34" i="28" l="1"/>
  <c r="W35" i="28"/>
  <c r="AH35" i="28" s="1"/>
  <c r="AI35" i="28" s="1"/>
  <c r="AK35" i="28" s="1"/>
  <c r="H35" i="26"/>
  <c r="G34" i="26"/>
  <c r="Y38" i="26"/>
  <c r="AJ38" i="26"/>
  <c r="AK38" i="26" s="1"/>
  <c r="AM38" i="26" s="1"/>
  <c r="V37" i="26"/>
  <c r="T35" i="22"/>
  <c r="AE35" i="22" s="1"/>
  <c r="AF35" i="22" s="1"/>
  <c r="AH35" i="22" s="1"/>
  <c r="Q34" i="22"/>
  <c r="D30" i="22"/>
  <c r="E31" i="22"/>
  <c r="T37" i="19"/>
  <c r="AE37" i="19" s="1"/>
  <c r="AF37" i="19" s="1"/>
  <c r="AH37" i="19" s="1"/>
  <c r="Q36" i="19"/>
  <c r="D33" i="19"/>
  <c r="E34" i="19"/>
  <c r="D28" i="21"/>
  <c r="E29" i="21"/>
  <c r="AH32" i="21"/>
  <c r="AJ32" i="21" s="1"/>
  <c r="S31" i="21"/>
  <c r="AG31" i="21" s="1"/>
  <c r="V32" i="21"/>
  <c r="V37" i="16"/>
  <c r="AG37" i="16"/>
  <c r="AH37" i="16" s="1"/>
  <c r="AJ37" i="16" s="1"/>
  <c r="S36" i="16"/>
  <c r="T33" i="28" l="1"/>
  <c r="W34" i="28"/>
  <c r="AH34" i="28" s="1"/>
  <c r="AI34" i="28" s="1"/>
  <c r="AK34" i="28" s="1"/>
  <c r="AJ37" i="26"/>
  <c r="AK37" i="26" s="1"/>
  <c r="AM37" i="26" s="1"/>
  <c r="Y37" i="26"/>
  <c r="V36" i="26"/>
  <c r="H34" i="26"/>
  <c r="G33" i="26"/>
  <c r="D29" i="22"/>
  <c r="E30" i="22"/>
  <c r="T34" i="22"/>
  <c r="AE34" i="22" s="1"/>
  <c r="AF34" i="22" s="1"/>
  <c r="AH34" i="22" s="1"/>
  <c r="Q33" i="22"/>
  <c r="T36" i="19"/>
  <c r="AE36" i="19" s="1"/>
  <c r="AF36" i="19" s="1"/>
  <c r="AH36" i="19" s="1"/>
  <c r="Q35" i="19"/>
  <c r="D32" i="19"/>
  <c r="E33" i="19"/>
  <c r="AH31" i="21"/>
  <c r="AJ31" i="21" s="1"/>
  <c r="S30" i="21"/>
  <c r="AG30" i="21" s="1"/>
  <c r="V31" i="21"/>
  <c r="D27" i="21"/>
  <c r="E28" i="21"/>
  <c r="V36" i="16"/>
  <c r="AG36" i="16"/>
  <c r="AH36" i="16" s="1"/>
  <c r="AJ36" i="16" s="1"/>
  <c r="S35" i="16"/>
  <c r="W33" i="28" l="1"/>
  <c r="AH33" i="28" s="1"/>
  <c r="AI33" i="28" s="1"/>
  <c r="AK33" i="28" s="1"/>
  <c r="T32" i="28"/>
  <c r="H33" i="26"/>
  <c r="G32" i="26"/>
  <c r="Y36" i="26"/>
  <c r="AJ36" i="26"/>
  <c r="AK36" i="26" s="1"/>
  <c r="AM36" i="26" s="1"/>
  <c r="V35" i="26"/>
  <c r="Q32" i="22"/>
  <c r="T33" i="22"/>
  <c r="AE33" i="22" s="1"/>
  <c r="AF33" i="22" s="1"/>
  <c r="AH33" i="22" s="1"/>
  <c r="D28" i="22"/>
  <c r="E29" i="22"/>
  <c r="Q34" i="19"/>
  <c r="T35" i="19"/>
  <c r="AE35" i="19" s="1"/>
  <c r="AF35" i="19" s="1"/>
  <c r="AH35" i="19" s="1"/>
  <c r="E32" i="19"/>
  <c r="D31" i="19"/>
  <c r="D26" i="21"/>
  <c r="E27" i="21"/>
  <c r="AH30" i="21"/>
  <c r="AJ30" i="21" s="1"/>
  <c r="S29" i="21"/>
  <c r="AG29" i="21" s="1"/>
  <c r="V30" i="21"/>
  <c r="AG35" i="16"/>
  <c r="AH35" i="16" s="1"/>
  <c r="AJ35" i="16" s="1"/>
  <c r="V35" i="16"/>
  <c r="S34" i="16"/>
  <c r="W32" i="28" l="1"/>
  <c r="AH32" i="28" s="1"/>
  <c r="AI32" i="28" s="1"/>
  <c r="AK32" i="28" s="1"/>
  <c r="T31" i="28"/>
  <c r="AJ35" i="26"/>
  <c r="AK35" i="26" s="1"/>
  <c r="AM35" i="26" s="1"/>
  <c r="Y35" i="26"/>
  <c r="V34" i="26"/>
  <c r="H32" i="26"/>
  <c r="G31" i="26"/>
  <c r="D27" i="22"/>
  <c r="E28" i="22"/>
  <c r="T32" i="22"/>
  <c r="AE32" i="22" s="1"/>
  <c r="AF32" i="22" s="1"/>
  <c r="AH32" i="22" s="1"/>
  <c r="Q31" i="22"/>
  <c r="Q33" i="19"/>
  <c r="T34" i="19"/>
  <c r="AE34" i="19" s="1"/>
  <c r="AF34" i="19" s="1"/>
  <c r="AH34" i="19" s="1"/>
  <c r="E31" i="19"/>
  <c r="D30" i="19"/>
  <c r="AH29" i="21"/>
  <c r="AJ29" i="21" s="1"/>
  <c r="S28" i="21"/>
  <c r="AG28" i="21" s="1"/>
  <c r="V29" i="21"/>
  <c r="D25" i="21"/>
  <c r="E26" i="21"/>
  <c r="AG34" i="16"/>
  <c r="AH34" i="16" s="1"/>
  <c r="AJ34" i="16" s="1"/>
  <c r="V34" i="16"/>
  <c r="S33" i="16"/>
  <c r="T30" i="28" l="1"/>
  <c r="W31" i="28"/>
  <c r="AH31" i="28" s="1"/>
  <c r="AI31" i="28" s="1"/>
  <c r="AK31" i="28" s="1"/>
  <c r="H31" i="26"/>
  <c r="G30" i="26"/>
  <c r="AJ34" i="26"/>
  <c r="AK34" i="26" s="1"/>
  <c r="AM34" i="26" s="1"/>
  <c r="Y34" i="26"/>
  <c r="V33" i="26"/>
  <c r="Q30" i="22"/>
  <c r="T31" i="22"/>
  <c r="AE31" i="22" s="1"/>
  <c r="AF31" i="22" s="1"/>
  <c r="AH31" i="22" s="1"/>
  <c r="D26" i="22"/>
  <c r="E27" i="22"/>
  <c r="Q32" i="19"/>
  <c r="T33" i="19"/>
  <c r="AE33" i="19" s="1"/>
  <c r="AF33" i="19" s="1"/>
  <c r="AH33" i="19" s="1"/>
  <c r="E30" i="19"/>
  <c r="D29" i="19"/>
  <c r="D24" i="21"/>
  <c r="E25" i="21"/>
  <c r="AH28" i="21"/>
  <c r="AJ28" i="21" s="1"/>
  <c r="S27" i="21"/>
  <c r="AG27" i="21" s="1"/>
  <c r="V28" i="21"/>
  <c r="AG33" i="16"/>
  <c r="AH33" i="16" s="1"/>
  <c r="AJ33" i="16" s="1"/>
  <c r="V33" i="16"/>
  <c r="S32" i="16"/>
  <c r="T29" i="28" l="1"/>
  <c r="W30" i="28"/>
  <c r="AH30" i="28" s="1"/>
  <c r="AI30" i="28" s="1"/>
  <c r="AK30" i="28" s="1"/>
  <c r="AJ33" i="26"/>
  <c r="AK33" i="26" s="1"/>
  <c r="AM33" i="26" s="1"/>
  <c r="Y33" i="26"/>
  <c r="V32" i="26"/>
  <c r="H30" i="26"/>
  <c r="G29" i="26"/>
  <c r="D25" i="22"/>
  <c r="E26" i="22"/>
  <c r="Q29" i="22"/>
  <c r="T30" i="22"/>
  <c r="AE30" i="22" s="1"/>
  <c r="AF30" i="22" s="1"/>
  <c r="AH30" i="22" s="1"/>
  <c r="T32" i="19"/>
  <c r="AE32" i="19" s="1"/>
  <c r="AF32" i="19" s="1"/>
  <c r="AH32" i="19" s="1"/>
  <c r="Q31" i="19"/>
  <c r="D28" i="19"/>
  <c r="E29" i="19"/>
  <c r="AH27" i="21"/>
  <c r="AJ27" i="21" s="1"/>
  <c r="V27" i="21"/>
  <c r="S26" i="21"/>
  <c r="AG26" i="21" s="1"/>
  <c r="D23" i="21"/>
  <c r="E24" i="21"/>
  <c r="AG32" i="16"/>
  <c r="AH32" i="16" s="1"/>
  <c r="AJ32" i="16" s="1"/>
  <c r="V32" i="16"/>
  <c r="S31" i="16"/>
  <c r="T28" i="28" l="1"/>
  <c r="W29" i="28"/>
  <c r="AH29" i="28" s="1"/>
  <c r="AI29" i="28" s="1"/>
  <c r="AK29" i="28" s="1"/>
  <c r="H29" i="26"/>
  <c r="G28" i="26"/>
  <c r="AJ32" i="26"/>
  <c r="AK32" i="26" s="1"/>
  <c r="AM32" i="26" s="1"/>
  <c r="Y32" i="26"/>
  <c r="V31" i="26"/>
  <c r="Q28" i="22"/>
  <c r="T29" i="22"/>
  <c r="AE29" i="22" s="1"/>
  <c r="AF29" i="22" s="1"/>
  <c r="AH29" i="22" s="1"/>
  <c r="D24" i="22"/>
  <c r="E25" i="22"/>
  <c r="Q30" i="19"/>
  <c r="T31" i="19"/>
  <c r="AE31" i="19" s="1"/>
  <c r="AF31" i="19" s="1"/>
  <c r="AH31" i="19" s="1"/>
  <c r="E28" i="19"/>
  <c r="D27" i="19"/>
  <c r="D22" i="21"/>
  <c r="E23" i="21"/>
  <c r="AH26" i="21"/>
  <c r="AJ26" i="21" s="1"/>
  <c r="S25" i="21"/>
  <c r="AG25" i="21" s="1"/>
  <c r="V26" i="21"/>
  <c r="V31" i="16"/>
  <c r="AG31" i="16"/>
  <c r="AH31" i="16" s="1"/>
  <c r="AJ31" i="16" s="1"/>
  <c r="S30" i="16"/>
  <c r="T27" i="28" l="1"/>
  <c r="W28" i="28"/>
  <c r="AH28" i="28" s="1"/>
  <c r="AI28" i="28" s="1"/>
  <c r="AK28" i="28" s="1"/>
  <c r="Y31" i="26"/>
  <c r="AJ31" i="26"/>
  <c r="AK31" i="26" s="1"/>
  <c r="AM31" i="26" s="1"/>
  <c r="V30" i="26"/>
  <c r="H28" i="26"/>
  <c r="G27" i="26"/>
  <c r="D23" i="22"/>
  <c r="E23" i="22" s="1"/>
  <c r="E24" i="22"/>
  <c r="T28" i="22"/>
  <c r="AE28" i="22" s="1"/>
  <c r="AF28" i="22" s="1"/>
  <c r="AH28" i="22" s="1"/>
  <c r="Q27" i="22"/>
  <c r="T30" i="19"/>
  <c r="AE30" i="19" s="1"/>
  <c r="AF30" i="19" s="1"/>
  <c r="AH30" i="19" s="1"/>
  <c r="Q29" i="19"/>
  <c r="D26" i="19"/>
  <c r="E27" i="19"/>
  <c r="AH25" i="21"/>
  <c r="AJ25" i="21" s="1"/>
  <c r="V25" i="21"/>
  <c r="S24" i="21"/>
  <c r="AG24" i="21" s="1"/>
  <c r="D21" i="21"/>
  <c r="E21" i="21" s="1"/>
  <c r="E22" i="21"/>
  <c r="AG30" i="16"/>
  <c r="AH30" i="16" s="1"/>
  <c r="AJ30" i="16" s="1"/>
  <c r="V30" i="16"/>
  <c r="S29" i="16"/>
  <c r="T26" i="28" l="1"/>
  <c r="W27" i="28"/>
  <c r="AH27" i="28" s="1"/>
  <c r="AI27" i="28" s="1"/>
  <c r="AK27" i="28" s="1"/>
  <c r="H27" i="26"/>
  <c r="G26" i="26"/>
  <c r="AJ30" i="26"/>
  <c r="AK30" i="26" s="1"/>
  <c r="AM30" i="26" s="1"/>
  <c r="Y30" i="26"/>
  <c r="V29" i="26"/>
  <c r="Q26" i="22"/>
  <c r="T27" i="22"/>
  <c r="AE27" i="22" s="1"/>
  <c r="AF27" i="22" s="1"/>
  <c r="AH27" i="22" s="1"/>
  <c r="T29" i="19"/>
  <c r="AE29" i="19" s="1"/>
  <c r="AF29" i="19" s="1"/>
  <c r="AH29" i="19" s="1"/>
  <c r="Q28" i="19"/>
  <c r="E26" i="19"/>
  <c r="D25" i="19"/>
  <c r="E25" i="19" s="1"/>
  <c r="AH24" i="21"/>
  <c r="AJ24" i="21" s="1"/>
  <c r="S23" i="21"/>
  <c r="AG23" i="21" s="1"/>
  <c r="V24" i="21"/>
  <c r="AG29" i="16"/>
  <c r="AH29" i="16" s="1"/>
  <c r="AJ29" i="16" s="1"/>
  <c r="V29" i="16"/>
  <c r="S28" i="16"/>
  <c r="T25" i="28" l="1"/>
  <c r="W25" i="28" s="1"/>
  <c r="AH25" i="28" s="1"/>
  <c r="AI25" i="28" s="1"/>
  <c r="AK25" i="28" s="1"/>
  <c r="W26" i="28"/>
  <c r="AH26" i="28" s="1"/>
  <c r="AI26" i="28" s="1"/>
  <c r="AK26" i="28" s="1"/>
  <c r="AJ29" i="26"/>
  <c r="AK29" i="26" s="1"/>
  <c r="AM29" i="26" s="1"/>
  <c r="Y29" i="26"/>
  <c r="V28" i="26"/>
  <c r="H26" i="26"/>
  <c r="G25" i="26"/>
  <c r="H25" i="26" s="1"/>
  <c r="T26" i="22"/>
  <c r="AE26" i="22" s="1"/>
  <c r="AF26" i="22" s="1"/>
  <c r="AH26" i="22" s="1"/>
  <c r="Q25" i="22"/>
  <c r="T28" i="19"/>
  <c r="AE28" i="19" s="1"/>
  <c r="AF28" i="19" s="1"/>
  <c r="AH28" i="19" s="1"/>
  <c r="Q27" i="19"/>
  <c r="AH23" i="21"/>
  <c r="AJ23" i="21" s="1"/>
  <c r="V23" i="21"/>
  <c r="S22" i="21"/>
  <c r="AG22" i="21" s="1"/>
  <c r="AH22" i="21" s="1"/>
  <c r="AG28" i="16"/>
  <c r="AH28" i="16" s="1"/>
  <c r="AJ28" i="16" s="1"/>
  <c r="V28" i="16"/>
  <c r="S27" i="16"/>
  <c r="E16" i="28" l="1"/>
  <c r="E17" i="28" s="1"/>
  <c r="AJ28" i="26"/>
  <c r="AK28" i="26" s="1"/>
  <c r="AM28" i="26" s="1"/>
  <c r="Y28" i="26"/>
  <c r="V27" i="26"/>
  <c r="T25" i="22"/>
  <c r="AE25" i="22" s="1"/>
  <c r="AF25" i="22" s="1"/>
  <c r="AH25" i="22" s="1"/>
  <c r="Q24" i="22"/>
  <c r="T27" i="19"/>
  <c r="AE27" i="19" s="1"/>
  <c r="AF27" i="19" s="1"/>
  <c r="AH27" i="19" s="1"/>
  <c r="Q26" i="19"/>
  <c r="AJ22" i="21"/>
  <c r="S21" i="21"/>
  <c r="AG21" i="21" s="1"/>
  <c r="V22" i="21"/>
  <c r="AG27" i="16"/>
  <c r="AH27" i="16" s="1"/>
  <c r="AJ27" i="16" s="1"/>
  <c r="V27" i="16"/>
  <c r="S26" i="16"/>
  <c r="AH21" i="21" l="1"/>
  <c r="B13" i="21"/>
  <c r="AJ27" i="26"/>
  <c r="AK27" i="26" s="1"/>
  <c r="AM27" i="26" s="1"/>
  <c r="Y27" i="26"/>
  <c r="V26" i="26"/>
  <c r="Q23" i="22"/>
  <c r="T23" i="22" s="1"/>
  <c r="AE23" i="22" s="1"/>
  <c r="T24" i="22"/>
  <c r="AE24" i="22" s="1"/>
  <c r="Q25" i="19"/>
  <c r="T25" i="19" s="1"/>
  <c r="AE25" i="19" s="1"/>
  <c r="T26" i="19"/>
  <c r="AE26" i="19" s="1"/>
  <c r="AF26" i="19" s="1"/>
  <c r="AH26" i="19" s="1"/>
  <c r="V21" i="21"/>
  <c r="AG26" i="16"/>
  <c r="AH26" i="16" s="1"/>
  <c r="AJ26" i="16" s="1"/>
  <c r="V26" i="16"/>
  <c r="S25" i="16"/>
  <c r="B14" i="19" l="1"/>
  <c r="B13" i="22"/>
  <c r="AJ26" i="26"/>
  <c r="AK26" i="26" s="1"/>
  <c r="AM26" i="26" s="1"/>
  <c r="Y26" i="26"/>
  <c r="V25" i="26"/>
  <c r="AF24" i="22"/>
  <c r="AH24" i="22" s="1"/>
  <c r="AF23" i="22"/>
  <c r="AH23" i="22" s="1"/>
  <c r="AF25" i="19"/>
  <c r="AH25" i="19" s="1"/>
  <c r="B16" i="19" s="1"/>
  <c r="AJ21" i="21"/>
  <c r="B15" i="21" s="1"/>
  <c r="AG25" i="16"/>
  <c r="V25" i="16"/>
  <c r="B16" i="21" l="1"/>
  <c r="B17" i="21" s="1"/>
  <c r="B15" i="22"/>
  <c r="B16" i="22" s="1"/>
  <c r="B17" i="19"/>
  <c r="B18" i="19" s="1"/>
  <c r="AJ25" i="26"/>
  <c r="Y25" i="26"/>
  <c r="AH25" i="16"/>
  <c r="B19" i="19" l="1"/>
  <c r="B21" i="19" s="1"/>
  <c r="B17" i="22"/>
  <c r="E19" i="28"/>
  <c r="E21" i="28" s="1"/>
  <c r="A78" i="28" s="1"/>
  <c r="AJ25" i="16"/>
  <c r="B16" i="16" s="1"/>
  <c r="B14" i="16"/>
  <c r="E14" i="26"/>
  <c r="AK25" i="26"/>
  <c r="AM25" i="26" s="1"/>
  <c r="E16" i="26" s="1"/>
  <c r="B17" i="16" l="1"/>
  <c r="B18" i="16" s="1"/>
  <c r="A91" i="28"/>
  <c r="E18" i="26"/>
  <c r="E17" i="26"/>
  <c r="E19" i="26" s="1"/>
  <c r="E21" i="26" s="1"/>
  <c r="A93" i="26" s="1"/>
  <c r="B19" i="16" l="1"/>
  <c r="B21" i="16" s="1"/>
  <c r="A80" i="16"/>
  <c r="A98" i="16"/>
  <c r="A80" i="26"/>
  <c r="B3" i="18" l="1"/>
  <c r="B12" i="18" s="1"/>
  <c r="G25" i="18"/>
  <c r="G26" i="18" s="1"/>
  <c r="G27" i="18" s="1"/>
  <c r="G28" i="18" s="1"/>
  <c r="G29" i="18" s="1"/>
  <c r="G30" i="18" s="1"/>
  <c r="G31" i="18" s="1"/>
  <c r="G32" i="18" s="1"/>
  <c r="G33" i="18" s="1"/>
  <c r="G34" i="18" s="1"/>
  <c r="G35" i="18" s="1"/>
  <c r="G36" i="18" s="1"/>
  <c r="G37" i="18" s="1"/>
  <c r="G38" i="18" s="1"/>
  <c r="G39" i="18" s="1"/>
  <c r="G40" i="18" s="1"/>
  <c r="G41" i="18" s="1"/>
  <c r="G42" i="18" s="1"/>
  <c r="G43" i="18" s="1"/>
  <c r="G44" i="18" s="1"/>
  <c r="A25" i="18"/>
  <c r="B25" i="18" s="1"/>
  <c r="C25" i="18" s="1"/>
  <c r="B13" i="18" l="1"/>
  <c r="B21" i="18" s="1"/>
  <c r="B15" i="18"/>
  <c r="A26" i="18"/>
  <c r="B26" i="18" s="1"/>
  <c r="H26" i="18" s="1"/>
  <c r="J26" i="18" s="1"/>
  <c r="P25" i="18"/>
  <c r="P26" i="18"/>
  <c r="A27" i="18"/>
  <c r="H25" i="18"/>
  <c r="J25" i="18" s="1"/>
  <c r="K26" i="18" s="1"/>
  <c r="AK26" i="18" s="1"/>
  <c r="O25" i="18"/>
  <c r="AA25" i="18" s="1"/>
  <c r="AL26" i="18" l="1"/>
  <c r="C26" i="18"/>
  <c r="B27" i="18"/>
  <c r="P27" i="18"/>
  <c r="A28" i="18"/>
  <c r="AB26" i="18"/>
  <c r="W26" i="18"/>
  <c r="AE26" i="18" s="1"/>
  <c r="AB25" i="18"/>
  <c r="W25" i="18"/>
  <c r="AE25" i="18" s="1"/>
  <c r="AD25" i="18"/>
  <c r="K27" i="18"/>
  <c r="AK27" i="18" s="1"/>
  <c r="AL27" i="18" s="1"/>
  <c r="AF25" i="18" l="1"/>
  <c r="AF26" i="18"/>
  <c r="P28" i="18"/>
  <c r="A29" i="18"/>
  <c r="B28" i="18"/>
  <c r="H27" i="18"/>
  <c r="J27" i="18" s="1"/>
  <c r="K28" i="18" s="1"/>
  <c r="AK28" i="18" s="1"/>
  <c r="C27" i="18"/>
  <c r="AL28" i="18" l="1"/>
  <c r="W27" i="18"/>
  <c r="AE27" i="18" s="1"/>
  <c r="H28" i="18"/>
  <c r="J28" i="18" s="1"/>
  <c r="K29" i="18" s="1"/>
  <c r="AK29" i="18" s="1"/>
  <c r="AL29" i="18" s="1"/>
  <c r="C28" i="18"/>
  <c r="P29" i="18"/>
  <c r="B29" i="18"/>
  <c r="A30" i="18"/>
  <c r="AB27" i="18"/>
  <c r="AB28" i="18" l="1"/>
  <c r="AF27" i="18"/>
  <c r="A31" i="18"/>
  <c r="P30" i="18"/>
  <c r="B30" i="18"/>
  <c r="H29" i="18"/>
  <c r="J29" i="18" s="1"/>
  <c r="K30" i="18" s="1"/>
  <c r="AK30" i="18" s="1"/>
  <c r="AL30" i="18" s="1"/>
  <c r="C29" i="18"/>
  <c r="W28" i="18"/>
  <c r="AE28" i="18" s="1"/>
  <c r="AF28" i="18" l="1"/>
  <c r="H30" i="18"/>
  <c r="J30" i="18" s="1"/>
  <c r="K31" i="18" s="1"/>
  <c r="AK31" i="18" s="1"/>
  <c r="AL31" i="18" s="1"/>
  <c r="C30" i="18"/>
  <c r="W30" i="18"/>
  <c r="AE30" i="18" s="1"/>
  <c r="AB30" i="18"/>
  <c r="P31" i="18"/>
  <c r="A32" i="18"/>
  <c r="B31" i="18"/>
  <c r="AB29" i="18"/>
  <c r="W29" i="18"/>
  <c r="AE29" i="18" s="1"/>
  <c r="AF30" i="18" l="1"/>
  <c r="AF29" i="18"/>
  <c r="H31" i="18"/>
  <c r="J31" i="18" s="1"/>
  <c r="K32" i="18" s="1"/>
  <c r="AK32" i="18" s="1"/>
  <c r="AL32" i="18" s="1"/>
  <c r="C31" i="18"/>
  <c r="A33" i="18"/>
  <c r="B32" i="18"/>
  <c r="P32" i="18"/>
  <c r="C32" i="18" l="1"/>
  <c r="H32" i="18"/>
  <c r="J32" i="18" s="1"/>
  <c r="K33" i="18" s="1"/>
  <c r="AK33" i="18" s="1"/>
  <c r="AL33" i="18" s="1"/>
  <c r="AB31" i="18"/>
  <c r="B33" i="18"/>
  <c r="P33" i="18"/>
  <c r="A34" i="18"/>
  <c r="W31" i="18"/>
  <c r="AE31" i="18" s="1"/>
  <c r="AF31" i="18" l="1"/>
  <c r="AB32" i="18"/>
  <c r="A35" i="18"/>
  <c r="B34" i="18"/>
  <c r="P34" i="18"/>
  <c r="W32" i="18"/>
  <c r="AE32" i="18" s="1"/>
  <c r="H33" i="18"/>
  <c r="J33" i="18" s="1"/>
  <c r="K34" i="18" s="1"/>
  <c r="AK34" i="18" s="1"/>
  <c r="AL34" i="18" s="1"/>
  <c r="C33" i="18"/>
  <c r="W33" i="18" l="1"/>
  <c r="AE33" i="18" s="1"/>
  <c r="C34" i="18"/>
  <c r="H34" i="18"/>
  <c r="J34" i="18" s="1"/>
  <c r="K35" i="18" s="1"/>
  <c r="AK35" i="18" s="1"/>
  <c r="AL35" i="18" s="1"/>
  <c r="P35" i="18"/>
  <c r="B35" i="18"/>
  <c r="A36" i="18"/>
  <c r="AF32" i="18"/>
  <c r="AB33" i="18"/>
  <c r="AF33" i="18" s="1"/>
  <c r="B36" i="18" l="1"/>
  <c r="P36" i="18"/>
  <c r="A37" i="18"/>
  <c r="H35" i="18"/>
  <c r="J35" i="18" s="1"/>
  <c r="K36" i="18" s="1"/>
  <c r="AK36" i="18" s="1"/>
  <c r="AL36" i="18" s="1"/>
  <c r="C35" i="18"/>
  <c r="AB35" i="18"/>
  <c r="W35" i="18"/>
  <c r="AE35" i="18" s="1"/>
  <c r="AB34" i="18"/>
  <c r="W34" i="18"/>
  <c r="AE34" i="18" s="1"/>
  <c r="AF35" i="18" l="1"/>
  <c r="AF34" i="18"/>
  <c r="B37" i="18"/>
  <c r="P37" i="18"/>
  <c r="A38" i="18"/>
  <c r="H36" i="18"/>
  <c r="J36" i="18" s="1"/>
  <c r="K37" i="18" s="1"/>
  <c r="AK37" i="18" s="1"/>
  <c r="AL37" i="18" s="1"/>
  <c r="C36" i="18"/>
  <c r="AB36" i="18" l="1"/>
  <c r="W36" i="18"/>
  <c r="AE36" i="18" s="1"/>
  <c r="H37" i="18"/>
  <c r="J37" i="18" s="1"/>
  <c r="K38" i="18" s="1"/>
  <c r="AK38" i="18" s="1"/>
  <c r="AL38" i="18" s="1"/>
  <c r="C37" i="18"/>
  <c r="B38" i="18"/>
  <c r="A39" i="18"/>
  <c r="P38" i="18"/>
  <c r="W37" i="18"/>
  <c r="AE37" i="18" s="1"/>
  <c r="AB37" i="18" l="1"/>
  <c r="AF37" i="18" s="1"/>
  <c r="AF36" i="18"/>
  <c r="P39" i="18"/>
  <c r="B39" i="18"/>
  <c r="A40" i="18"/>
  <c r="H38" i="18"/>
  <c r="J38" i="18" s="1"/>
  <c r="K39" i="18" s="1"/>
  <c r="AK39" i="18" s="1"/>
  <c r="AL39" i="18" s="1"/>
  <c r="C38" i="18"/>
  <c r="AB38" i="18" l="1"/>
  <c r="W38" i="18"/>
  <c r="AE38" i="18" s="1"/>
  <c r="A41" i="18"/>
  <c r="B40" i="18"/>
  <c r="P40" i="18"/>
  <c r="C39" i="18"/>
  <c r="H39" i="18"/>
  <c r="J39" i="18" s="1"/>
  <c r="K40" i="18" s="1"/>
  <c r="AK40" i="18" s="1"/>
  <c r="AL40" i="18" s="1"/>
  <c r="AB39" i="18" l="1"/>
  <c r="AF38" i="18"/>
  <c r="H40" i="18"/>
  <c r="J40" i="18" s="1"/>
  <c r="K41" i="18" s="1"/>
  <c r="AK41" i="18" s="1"/>
  <c r="AL41" i="18" s="1"/>
  <c r="C40" i="18"/>
  <c r="A42" i="18"/>
  <c r="B41" i="18"/>
  <c r="P41" i="18"/>
  <c r="W39" i="18"/>
  <c r="AE39" i="18" s="1"/>
  <c r="AF39" i="18" s="1"/>
  <c r="C41" i="18" l="1"/>
  <c r="H41" i="18"/>
  <c r="J41" i="18" s="1"/>
  <c r="K42" i="18" s="1"/>
  <c r="AK42" i="18" s="1"/>
  <c r="AL42" i="18" s="1"/>
  <c r="P42" i="18"/>
  <c r="A43" i="18"/>
  <c r="B42" i="18"/>
  <c r="AB40" i="18"/>
  <c r="W40" i="18"/>
  <c r="AE40" i="18" s="1"/>
  <c r="AF40" i="18" l="1"/>
  <c r="C42" i="18"/>
  <c r="H42" i="18"/>
  <c r="J42" i="18" s="1"/>
  <c r="K43" i="18" s="1"/>
  <c r="AK43" i="18" s="1"/>
  <c r="AL43" i="18" s="1"/>
  <c r="W41" i="18"/>
  <c r="AE41" i="18" s="1"/>
  <c r="B43" i="18"/>
  <c r="P43" i="18"/>
  <c r="A44" i="18"/>
  <c r="AB41" i="18"/>
  <c r="B44" i="18" l="1"/>
  <c r="P44" i="18"/>
  <c r="H43" i="18"/>
  <c r="J43" i="18" s="1"/>
  <c r="K44" i="18" s="1"/>
  <c r="C43" i="18"/>
  <c r="AB42" i="18"/>
  <c r="W42" i="18"/>
  <c r="AE42" i="18" s="1"/>
  <c r="AF41" i="18"/>
  <c r="AK44" i="18" l="1"/>
  <c r="AG44" i="18"/>
  <c r="W43" i="18"/>
  <c r="AE43" i="18" s="1"/>
  <c r="AB43" i="18"/>
  <c r="AF43" i="18" s="1"/>
  <c r="H44" i="18"/>
  <c r="J44" i="18" s="1"/>
  <c r="W44" i="18" s="1"/>
  <c r="AE44" i="18" s="1"/>
  <c r="C44" i="18"/>
  <c r="D44" i="18" s="1"/>
  <c r="AF42" i="18"/>
  <c r="AL44" i="18" l="1"/>
  <c r="B17" i="18" s="1"/>
  <c r="B18" i="18" s="1"/>
  <c r="B19" i="18" s="1"/>
  <c r="B20" i="18" s="1"/>
  <c r="AB44" i="18"/>
  <c r="E44" i="18"/>
  <c r="D43" i="18"/>
  <c r="AF44" i="18"/>
  <c r="E43" i="18" l="1"/>
  <c r="D42" i="18"/>
  <c r="AH44" i="18"/>
  <c r="AJ44" i="18" s="1"/>
  <c r="S43" i="18"/>
  <c r="V43" i="18" l="1"/>
  <c r="AG43" i="18" s="1"/>
  <c r="AH43" i="18" s="1"/>
  <c r="AJ43" i="18" s="1"/>
  <c r="S42" i="18"/>
  <c r="E42" i="18"/>
  <c r="D41" i="18"/>
  <c r="E41" i="18" l="1"/>
  <c r="D40" i="18"/>
  <c r="V42" i="18"/>
  <c r="AG42" i="18" s="1"/>
  <c r="AH42" i="18" s="1"/>
  <c r="AJ42" i="18" s="1"/>
  <c r="S41" i="18"/>
  <c r="V41" i="18" l="1"/>
  <c r="AG41" i="18" s="1"/>
  <c r="AH41" i="18" s="1"/>
  <c r="AJ41" i="18" s="1"/>
  <c r="S40" i="18"/>
  <c r="E40" i="18"/>
  <c r="D39" i="18"/>
  <c r="E39" i="18" l="1"/>
  <c r="D38" i="18"/>
  <c r="V40" i="18"/>
  <c r="AG40" i="18" s="1"/>
  <c r="AH40" i="18" s="1"/>
  <c r="AJ40" i="18" s="1"/>
  <c r="S39" i="18"/>
  <c r="V39" i="18" l="1"/>
  <c r="AG39" i="18" s="1"/>
  <c r="AH39" i="18" s="1"/>
  <c r="AJ39" i="18" s="1"/>
  <c r="S38" i="18"/>
  <c r="E38" i="18"/>
  <c r="D37" i="18"/>
  <c r="E37" i="18" l="1"/>
  <c r="D36" i="18"/>
  <c r="V38" i="18"/>
  <c r="AG38" i="18" s="1"/>
  <c r="AH38" i="18" s="1"/>
  <c r="AJ38" i="18" s="1"/>
  <c r="S37" i="18"/>
  <c r="V37" i="18" l="1"/>
  <c r="AG37" i="18" s="1"/>
  <c r="AH37" i="18" s="1"/>
  <c r="AJ37" i="18" s="1"/>
  <c r="S36" i="18"/>
  <c r="E36" i="18"/>
  <c r="D35" i="18"/>
  <c r="E35" i="18" l="1"/>
  <c r="D34" i="18"/>
  <c r="V36" i="18"/>
  <c r="AG36" i="18" s="1"/>
  <c r="AH36" i="18" s="1"/>
  <c r="AJ36" i="18" s="1"/>
  <c r="S35" i="18"/>
  <c r="V35" i="18" l="1"/>
  <c r="AG35" i="18" s="1"/>
  <c r="AH35" i="18" s="1"/>
  <c r="AJ35" i="18" s="1"/>
  <c r="S34" i="18"/>
  <c r="E34" i="18"/>
  <c r="D33" i="18"/>
  <c r="E33" i="18" l="1"/>
  <c r="D32" i="18"/>
  <c r="V34" i="18"/>
  <c r="AG34" i="18" s="1"/>
  <c r="AH34" i="18" s="1"/>
  <c r="AJ34" i="18" s="1"/>
  <c r="S33" i="18"/>
  <c r="V33" i="18" l="1"/>
  <c r="AG33" i="18" s="1"/>
  <c r="AH33" i="18" s="1"/>
  <c r="AJ33" i="18" s="1"/>
  <c r="S32" i="18"/>
  <c r="E32" i="18"/>
  <c r="D31" i="18"/>
  <c r="E31" i="18" l="1"/>
  <c r="D30" i="18"/>
  <c r="V32" i="18"/>
  <c r="AG32" i="18" s="1"/>
  <c r="AH32" i="18" s="1"/>
  <c r="AJ32" i="18" s="1"/>
  <c r="S31" i="18"/>
  <c r="V31" i="18" l="1"/>
  <c r="AG31" i="18" s="1"/>
  <c r="AH31" i="18" s="1"/>
  <c r="AJ31" i="18" s="1"/>
  <c r="S30" i="18"/>
  <c r="E30" i="18"/>
  <c r="D29" i="18"/>
  <c r="E29" i="18" l="1"/>
  <c r="D28" i="18"/>
  <c r="V30" i="18"/>
  <c r="AG30" i="18" s="1"/>
  <c r="AH30" i="18" s="1"/>
  <c r="AJ30" i="18" s="1"/>
  <c r="S29" i="18"/>
  <c r="V29" i="18" l="1"/>
  <c r="AG29" i="18" s="1"/>
  <c r="AH29" i="18" s="1"/>
  <c r="AJ29" i="18" s="1"/>
  <c r="S28" i="18"/>
  <c r="E28" i="18"/>
  <c r="D27" i="18"/>
  <c r="E27" i="18" l="1"/>
  <c r="D26" i="18"/>
  <c r="V28" i="18"/>
  <c r="AG28" i="18" s="1"/>
  <c r="AH28" i="18" s="1"/>
  <c r="AJ28" i="18" s="1"/>
  <c r="S27" i="18"/>
  <c r="V27" i="18" l="1"/>
  <c r="AG27" i="18" s="1"/>
  <c r="AH27" i="18" s="1"/>
  <c r="AJ27" i="18" s="1"/>
  <c r="S26" i="18"/>
  <c r="E26" i="18"/>
  <c r="D25" i="18"/>
  <c r="E25" i="18" s="1"/>
  <c r="V26" i="18" l="1"/>
  <c r="AG26" i="18" s="1"/>
  <c r="AH26" i="18" s="1"/>
  <c r="AJ26" i="18" s="1"/>
  <c r="S25" i="18"/>
  <c r="V25" i="18" s="1"/>
  <c r="AG25" i="18" s="1"/>
  <c r="AH25" i="18" s="1"/>
  <c r="AJ25" i="18" s="1"/>
  <c r="B9" i="18" l="1"/>
</calcChain>
</file>

<file path=xl/sharedStrings.xml><?xml version="1.0" encoding="utf-8"?>
<sst xmlns="http://schemas.openxmlformats.org/spreadsheetml/2006/main" count="1233" uniqueCount="157">
  <si>
    <t>Age</t>
  </si>
  <si>
    <t>q_x</t>
  </si>
  <si>
    <t>p_x</t>
  </si>
  <si>
    <t>A_x</t>
  </si>
  <si>
    <t>v</t>
  </si>
  <si>
    <t>Age x</t>
  </si>
  <si>
    <t>interest rate</t>
  </si>
  <si>
    <t>A_x:20</t>
  </si>
  <si>
    <t>Formula for A_x</t>
  </si>
  <si>
    <t>v(q_x+p_xA_x+1)</t>
  </si>
  <si>
    <t>Fomrula for A_x:20</t>
  </si>
  <si>
    <t>SPWL</t>
  </si>
  <si>
    <t xml:space="preserve">Premium </t>
  </si>
  <si>
    <t>Expenses</t>
  </si>
  <si>
    <t>Death Benefit</t>
  </si>
  <si>
    <t>Withdrawal Benefit</t>
  </si>
  <si>
    <t>Reserve (eop)</t>
  </si>
  <si>
    <t>Capital (eop)</t>
  </si>
  <si>
    <t>Number of Participants</t>
  </si>
  <si>
    <t>Policy Type</t>
  </si>
  <si>
    <t>Sex</t>
  </si>
  <si>
    <t>Age 2023</t>
  </si>
  <si>
    <t>Policy Count</t>
  </si>
  <si>
    <t>M</t>
  </si>
  <si>
    <t>F</t>
  </si>
  <si>
    <t>T20</t>
  </si>
  <si>
    <t>(aq)_x^d</t>
  </si>
  <si>
    <t>(ap)_x</t>
  </si>
  <si>
    <t>(t-1)_(ap)_x</t>
  </si>
  <si>
    <t>Premium (sop) (+)</t>
  </si>
  <si>
    <t>Expenses (eop) (-)</t>
  </si>
  <si>
    <t>Death Benefits (eop) (-)</t>
  </si>
  <si>
    <t>Withdrawals (eop) (-)</t>
  </si>
  <si>
    <t>Interest (+)</t>
  </si>
  <si>
    <t>Year t</t>
  </si>
  <si>
    <t>EOY Reserve</t>
  </si>
  <si>
    <t>Premium</t>
  </si>
  <si>
    <t>capital required (per 1000 DB)</t>
  </si>
  <si>
    <t>EPV Profits</t>
  </si>
  <si>
    <t>EPV Premiums</t>
  </si>
  <si>
    <t>Lapse Rate</t>
  </si>
  <si>
    <t>Discount factor</t>
  </si>
  <si>
    <t>Desired profit margin</t>
  </si>
  <si>
    <t>Final Value</t>
  </si>
  <si>
    <t>EOY Reserves</t>
  </si>
  <si>
    <t>Revised Cashflow</t>
  </si>
  <si>
    <t>Reserves &amp; Capitals</t>
  </si>
  <si>
    <t>(aq)_x^w</t>
  </si>
  <si>
    <t>Term</t>
  </si>
  <si>
    <t>A_x-E_{x+20}A_{x+20}</t>
  </si>
  <si>
    <t>Expense</t>
  </si>
  <si>
    <t>Capital (-)</t>
  </si>
  <si>
    <t>capital required</t>
  </si>
  <si>
    <t xml:space="preserve">capital required </t>
  </si>
  <si>
    <t>Summary (by gender, age, policy type)</t>
  </si>
  <si>
    <t>Males</t>
  </si>
  <si>
    <t>Females</t>
  </si>
  <si>
    <t>Number of Indviduals</t>
  </si>
  <si>
    <t>SPWL (Č) (Total Cost)</t>
  </si>
  <si>
    <t>T20 (Č) (Total Cost)</t>
  </si>
  <si>
    <t>Total Cost (per person)</t>
  </si>
  <si>
    <t>T20 (Č) Total Cost</t>
  </si>
  <si>
    <t>Reduced q_x</t>
  </si>
  <si>
    <t>Mortality Reduction</t>
  </si>
  <si>
    <t>Moratlity Reduction</t>
  </si>
  <si>
    <t>MDT TABLE</t>
  </si>
  <si>
    <t>Lifetable</t>
  </si>
  <si>
    <t>Amounts Without Decrement</t>
  </si>
  <si>
    <t>Amount With Decrements</t>
  </si>
  <si>
    <t>Profits &amp; Reserves</t>
  </si>
  <si>
    <t>Lapse Rates</t>
  </si>
  <si>
    <t>Withdraw Benefits</t>
  </si>
  <si>
    <t>Death Benefits</t>
  </si>
  <si>
    <t>Reserve EOY</t>
  </si>
  <si>
    <t>Amounts Without Decrements</t>
  </si>
  <si>
    <t>reduced q_X</t>
  </si>
  <si>
    <t>Note: the death benefits will stay constant after 65 for WL and 55 T20, since the average of growth of death benefits for past 10 years is approximately 1</t>
  </si>
  <si>
    <t>Column1</t>
  </si>
  <si>
    <t>Column2</t>
  </si>
  <si>
    <t>Column3</t>
  </si>
  <si>
    <t>Number of Indviduals2</t>
  </si>
  <si>
    <t>Number of Indviduals3</t>
  </si>
  <si>
    <t>SPWL (Č) (Total Cost)4</t>
  </si>
  <si>
    <t>Number of Indviduals5</t>
  </si>
  <si>
    <t>Mangement Expense</t>
  </si>
  <si>
    <t>Mangement Expenses</t>
  </si>
  <si>
    <t>capital requirement</t>
  </si>
  <si>
    <t>N/A</t>
  </si>
  <si>
    <t>PV of Expenses</t>
  </si>
  <si>
    <t>PV of Reserves</t>
  </si>
  <si>
    <t>PV of Capitals</t>
  </si>
  <si>
    <t>Management Expenses</t>
  </si>
  <si>
    <t>PV of Profits</t>
  </si>
  <si>
    <t>=</t>
  </si>
  <si>
    <t>PV of profits</t>
  </si>
  <si>
    <t>Profit/Expense Ratio</t>
  </si>
  <si>
    <t>No. participants male SPWL</t>
  </si>
  <si>
    <t>No. participants male T20</t>
  </si>
  <si>
    <t>No. participants female T20</t>
  </si>
  <si>
    <t>No. participants female SPWL</t>
  </si>
  <si>
    <t>Proportion of Age Group</t>
  </si>
  <si>
    <t>Proportion Participating</t>
  </si>
  <si>
    <t>PV of Individual Expenses</t>
  </si>
  <si>
    <t>PV of Total Expenses</t>
  </si>
  <si>
    <t>Individual Profit/Expense Ratio</t>
  </si>
  <si>
    <t>Increase in Total Expense</t>
  </si>
  <si>
    <t>PV of  Profits</t>
  </si>
  <si>
    <t>PV of Total Profits</t>
  </si>
  <si>
    <t>No of Non Smokers</t>
  </si>
  <si>
    <t>PV of Individual Expenese</t>
  </si>
  <si>
    <t>PV of Individual Profit</t>
  </si>
  <si>
    <t>Individual Profit to Expense Ratio</t>
  </si>
  <si>
    <t>Profit Margin</t>
  </si>
  <si>
    <t>PV of Total Premium</t>
  </si>
  <si>
    <t>Discount for Non Smokers</t>
  </si>
  <si>
    <t>Net Growth in Profits</t>
  </si>
  <si>
    <t>No. smokers (by gender, age, policy type)</t>
  </si>
  <si>
    <t>f</t>
  </si>
  <si>
    <t>T202</t>
  </si>
  <si>
    <t>Total Premium</t>
  </si>
  <si>
    <t>No of Smokers</t>
  </si>
  <si>
    <t>Individual Non-Discount Premium</t>
  </si>
  <si>
    <t>PV of Non-Discount Individual Profits</t>
  </si>
  <si>
    <t>Individual Non-DiscountPremium</t>
  </si>
  <si>
    <t>Percentage Growth in Profits</t>
  </si>
  <si>
    <t>Net Growth in profit</t>
  </si>
  <si>
    <t>Net Growth in expense</t>
  </si>
  <si>
    <t>Net Growth in Total Profits</t>
  </si>
  <si>
    <t>Percentage Growth in Total Profits</t>
  </si>
  <si>
    <t>Sensitivity Analysis (Interest Rates and Expenses Scenario)</t>
  </si>
  <si>
    <t>Sensitivity Analysis (Mortality Reduction and Interest Rates)</t>
  </si>
  <si>
    <t>Original q_x</t>
  </si>
  <si>
    <t>Reduction 1</t>
  </si>
  <si>
    <t>Reduction 2</t>
  </si>
  <si>
    <t>Sensitivity Analysis (Interest Rates and Expenses)</t>
  </si>
  <si>
    <t>Sensitivity Analysis (Mortality Reduction)</t>
  </si>
  <si>
    <t>Decrease in Mortality Rate</t>
  </si>
  <si>
    <t>Net Growth in Expenses</t>
  </si>
  <si>
    <t>Profit to Expense Ratio</t>
  </si>
  <si>
    <t>Capital Required (per 1000 DB)</t>
  </si>
  <si>
    <t>EPV Discounted Premium</t>
  </si>
  <si>
    <t>ç</t>
  </si>
  <si>
    <t>profit margin</t>
  </si>
  <si>
    <t>T20 Participatig</t>
  </si>
  <si>
    <t>T20 Participating</t>
  </si>
  <si>
    <t>Proportion</t>
  </si>
  <si>
    <t>EPVSurcharged Premium</t>
  </si>
  <si>
    <t>EPV Surchrged Premium</t>
  </si>
  <si>
    <t>Age 40</t>
  </si>
  <si>
    <t>Males, Age 40, SPWL, Interest &amp; Expenses</t>
  </si>
  <si>
    <t>Females, Age 40, SPWL, Interest &amp; Expenses</t>
  </si>
  <si>
    <t>Males, Age 40, SPWL, Mortality Improvements</t>
  </si>
  <si>
    <t>Females, Age 40, SPWL, Mortality Improvements</t>
  </si>
  <si>
    <t>Males, Age 40, T20, Interest &amp; Expenses</t>
  </si>
  <si>
    <t>Females, Age 40, T20, Interest &amp; Expenses</t>
  </si>
  <si>
    <t>Males, Age 40, T20, Mortality Improvements</t>
  </si>
  <si>
    <t>Females, Age 40, T20, Mortality Improvements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</si>
</sst>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</numFmts>
  <fonts count="28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sz val="11"/>
      <color rgb="FF00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Aptos Narrow"/>
      <scheme val="minor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sz val="14"/>
      <color theme="1"/>
      <name val="Aptos Narrow"/>
      <scheme val="minor"/>
    </font>
    <font>
      <b/>
      <sz val="12"/>
      <color theme="1"/>
      <name val="Aptos Narrow"/>
      <family val="2"/>
      <scheme val="minor"/>
    </font>
    <font>
      <b/>
      <sz val="12"/>
      <color theme="1"/>
      <name val="Arial"/>
      <family val="2"/>
    </font>
    <font>
      <b/>
      <sz val="14"/>
      <color theme="1"/>
      <name val="Aptos Narrow"/>
      <family val="2"/>
      <scheme val="minor"/>
    </font>
    <font>
      <sz val="14"/>
      <color rgb="FF000000"/>
      <name val="Arial"/>
      <family val="2"/>
    </font>
    <font>
      <sz val="16"/>
      <color theme="1"/>
      <name val="Aptos Narrow"/>
      <scheme val="minor"/>
    </font>
    <font>
      <sz val="16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2"/>
      <color theme="1"/>
      <name val="Aptos Narrow"/>
      <family val="2"/>
      <scheme val="minor"/>
    </font>
    <font>
      <sz val="11"/>
      <color theme="1"/>
      <name val="Aptos Narrow"/>
      <scheme val="minor"/>
    </font>
    <font>
      <b/>
      <sz val="14"/>
      <color theme="1"/>
      <name val="Arial"/>
      <family val="2"/>
    </font>
    <font>
      <sz val="14"/>
      <color rgb="FFFF0000"/>
      <name val="Aptos Narrow"/>
      <family val="2"/>
      <scheme val="minor"/>
    </font>
    <font>
      <b/>
      <sz val="14"/>
      <color rgb="FF000000"/>
      <name val="Aptos Narrow"/>
      <scheme val="minor"/>
    </font>
    <font>
      <sz val="14"/>
      <color rgb="FF000000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14"/>
      <color rgb="FF000000"/>
      <name val="Aptos Narrow"/>
      <family val="2"/>
      <scheme val="minor"/>
    </font>
    <font>
      <sz val="14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49EDD"/>
        <bgColor rgb="FF000000"/>
      </patternFill>
    </fill>
  </fills>
  <borders count="14">
    <border>
      <left/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 style="thin">
        <color theme="7"/>
      </left>
      <right/>
      <top style="thin">
        <color theme="7"/>
      </top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rgb="FF0F9ED5"/>
      </bottom>
      <diagonal/>
    </border>
    <border>
      <left style="thin">
        <color rgb="FF0F9ED5"/>
      </left>
      <right/>
      <top/>
      <bottom/>
      <diagonal/>
    </border>
    <border>
      <left style="thin">
        <color rgb="FF0F9ED5"/>
      </left>
      <right/>
      <top/>
      <bottom style="thin">
        <color rgb="FF0F9ED5"/>
      </bottom>
      <diagonal/>
    </border>
    <border>
      <left style="thin">
        <color theme="7"/>
      </left>
      <right/>
      <top/>
      <bottom/>
      <diagonal/>
    </border>
  </borders>
  <cellStyleXfs count="2">
    <xf numFmtId="0" fontId="0" fillId="0" borderId="0"/>
    <xf numFmtId="9" fontId="19" fillId="0" borderId="0" applyFont="0" applyFill="0" applyBorder="0" applyAlignment="0" applyProtection="0"/>
  </cellStyleXfs>
  <cellXfs count="6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1" fillId="0" borderId="0" xfId="0" applyFont="1"/>
    <xf numFmtId="0" fontId="12" fillId="0" borderId="1" xfId="0" applyFont="1" applyBorder="1"/>
    <xf numFmtId="0" fontId="12" fillId="0" borderId="2" xfId="0" applyFont="1" applyBorder="1"/>
    <xf numFmtId="0" fontId="13" fillId="0" borderId="0" xfId="0" applyFont="1"/>
    <xf numFmtId="0" fontId="12" fillId="0" borderId="1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3" borderId="1" xfId="0" applyFont="1" applyFill="1" applyBorder="1"/>
    <xf numFmtId="0" fontId="10" fillId="0" borderId="4" xfId="0" applyFont="1" applyBorder="1"/>
    <xf numFmtId="0" fontId="10" fillId="0" borderId="6" xfId="0" applyFont="1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5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14" fillId="0" borderId="0" xfId="0" applyFont="1"/>
    <xf numFmtId="0" fontId="6" fillId="0" borderId="0" xfId="0" applyFont="1" applyAlignment="1">
      <alignment horizontal="center"/>
    </xf>
    <xf numFmtId="0" fontId="1" fillId="4" borderId="0" xfId="0" applyFont="1" applyFill="1" applyAlignment="1">
      <alignment horizontal="center"/>
    </xf>
    <xf numFmtId="0" fontId="15" fillId="0" borderId="0" xfId="0" applyFont="1"/>
    <xf numFmtId="8" fontId="8" fillId="0" borderId="0" xfId="0" applyNumberFormat="1" applyFont="1"/>
    <xf numFmtId="8" fontId="0" fillId="0" borderId="0" xfId="0" applyNumberFormat="1"/>
    <xf numFmtId="0" fontId="10" fillId="0" borderId="0" xfId="0" applyFont="1"/>
    <xf numFmtId="0" fontId="1" fillId="0" borderId="0" xfId="0" applyFont="1" applyAlignment="1">
      <alignment horizontal="center"/>
    </xf>
    <xf numFmtId="0" fontId="17" fillId="0" borderId="0" xfId="0" applyFont="1"/>
    <xf numFmtId="0" fontId="18" fillId="0" borderId="0" xfId="0" applyFont="1"/>
    <xf numFmtId="9" fontId="0" fillId="0" borderId="0" xfId="1" applyFont="1"/>
    <xf numFmtId="0" fontId="8" fillId="0" borderId="0" xfId="1" applyNumberFormat="1" applyFont="1"/>
    <xf numFmtId="44" fontId="8" fillId="0" borderId="0" xfId="0" applyNumberFormat="1" applyFont="1"/>
    <xf numFmtId="0" fontId="20" fillId="0" borderId="0" xfId="0" applyFont="1"/>
    <xf numFmtId="0" fontId="21" fillId="0" borderId="0" xfId="0" applyFont="1"/>
    <xf numFmtId="8" fontId="22" fillId="0" borderId="0" xfId="0" applyNumberFormat="1" applyFont="1"/>
    <xf numFmtId="44" fontId="22" fillId="0" borderId="0" xfId="0" applyNumberFormat="1" applyFont="1"/>
    <xf numFmtId="0" fontId="8" fillId="3" borderId="0" xfId="0" applyFont="1" applyFill="1"/>
    <xf numFmtId="8" fontId="6" fillId="0" borderId="0" xfId="0" applyNumberFormat="1" applyFont="1"/>
    <xf numFmtId="0" fontId="1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8" fontId="24" fillId="0" borderId="0" xfId="0" applyNumberFormat="1" applyFont="1"/>
    <xf numFmtId="0" fontId="26" fillId="0" borderId="11" xfId="0" applyFont="1" applyBorder="1"/>
    <xf numFmtId="0" fontId="26" fillId="0" borderId="12" xfId="0" applyFont="1" applyBorder="1"/>
    <xf numFmtId="0" fontId="26" fillId="0" borderId="11" xfId="0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164" fontId="8" fillId="0" borderId="0" xfId="0" applyNumberFormat="1" applyFont="1"/>
    <xf numFmtId="8" fontId="27" fillId="0" borderId="0" xfId="0" applyNumberFormat="1" applyFont="1"/>
    <xf numFmtId="44" fontId="27" fillId="0" borderId="0" xfId="0" applyNumberFormat="1" applyFont="1"/>
    <xf numFmtId="0" fontId="12" fillId="0" borderId="13" xfId="0" applyFont="1" applyBorder="1"/>
    <xf numFmtId="10" fontId="8" fillId="0" borderId="0" xfId="0" applyNumberFormat="1" applyFont="1"/>
    <xf numFmtId="0" fontId="11" fillId="2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5" borderId="0" xfId="0" applyFont="1" applyFill="1" applyAlignment="1">
      <alignment horizontal="center"/>
    </xf>
    <xf numFmtId="0" fontId="6" fillId="4" borderId="3" xfId="0" applyFont="1" applyFill="1" applyBorder="1" applyAlignment="1">
      <alignment horizontal="center"/>
    </xf>
    <xf numFmtId="0" fontId="23" fillId="7" borderId="10" xfId="0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9" fontId="2" fillId="0" borderId="0" xfId="0" applyNumberFormat="1" applyFont="1"/>
    <xf numFmtId="10" fontId="2" fillId="0" borderId="0" xfId="0" applyNumberFormat="1" applyFont="1"/>
    <xf numFmtId="0" fontId="6" fillId="4" borderId="0" xfId="0" applyFont="1" applyFill="1" applyAlignment="1">
      <alignment horizontal="center"/>
    </xf>
  </cellXfs>
  <cellStyles count="2">
    <cellStyle name="Normal" xfId="0" builtinId="0"/>
    <cellStyle name="Per cent" xfId="1" builtinId="5"/>
  </cellStyles>
  <dxfs count="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6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0247761-E0DF-914C-B908-419A05A38D5F}" name="Table6" displayName="Table6" ref="A1:C96" totalsRowShown="0" headerRowDxfId="45">
  <autoFilter ref="A1:C96" xr:uid="{40247761-E0DF-914C-B908-419A05A38D5F}"/>
  <tableColumns count="3">
    <tableColumn id="1" xr3:uid="{F075C540-8630-E848-A112-53FA4EA56FC2}" name="Age" dataDxfId="44"/>
    <tableColumn id="2" xr3:uid="{B6A83789-0C90-C149-B9E9-F2050797A88E}" name="Mortality Reduction"/>
    <tableColumn id="3" xr3:uid="{898A2B9E-B0CE-0046-B3EA-9E541F719962}" name="Proportion of Age Group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7BEEDF-6203-1A4E-8E28-1557BAC251DC}" name="Table5" displayName="Table5" ref="A1:C96" totalsRowShown="0" headerRowDxfId="43">
  <autoFilter ref="A1:C96" xr:uid="{2B7BEEDF-6203-1A4E-8E28-1557BAC251DC}"/>
  <tableColumns count="3">
    <tableColumn id="1" xr3:uid="{139B0CF2-6AC5-0242-BA61-930F792BA00B}" name="Age" dataDxfId="42"/>
    <tableColumn id="2" xr3:uid="{284B9760-0825-8D4D-A785-0E9D98BDAA54}" name="Moratlity Reduction" dataDxfId="41"/>
    <tableColumn id="3" xr3:uid="{88831F23-256F-AF43-A521-BBD112C13A51}" name="Proportion of Age Group" dataDxfId="40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485A1E-B23D-2B4E-905F-EDD3D720AB77}" name="Table2" displayName="Table2" ref="A2:O73" totalsRowShown="0" headerRowDxfId="39" dataDxfId="38">
  <autoFilter ref="A2:O73" xr:uid="{CF485A1E-B23D-2B4E-905F-EDD3D720AB77}"/>
  <tableColumns count="15">
    <tableColumn id="1" xr3:uid="{E82EA74A-4B46-9246-9459-D5C4FE7B5771}" name="Age" dataDxfId="37"/>
    <tableColumn id="2" xr3:uid="{9B139D16-2C75-8042-BDDE-EB316262B78D}" name="T20 (Č) Total Cost" dataDxfId="36"/>
    <tableColumn id="3" xr3:uid="{A8D32710-6B9F-F441-B963-EC223070BDBC}" name="Number of Indviduals"/>
    <tableColumn id="4" xr3:uid="{E30EEC49-0E7D-2E42-A25B-47CFB10CA983}" name="SPWL (Č) (Total Cost)" dataDxfId="35"/>
    <tableColumn id="5" xr3:uid="{7817B5BF-F2D8-A14B-8BF3-E0F2A9C7AEE9}" name="Number of Indviduals2"/>
    <tableColumn id="6" xr3:uid="{7A61EE54-B8DC-C442-8FFF-2D8ADCEC7C93}" name="T20 (Č) (Total Cost)" dataDxfId="34"/>
    <tableColumn id="7" xr3:uid="{36DFDF20-7266-144B-9213-6FD01042DCD9}" name="Number of Indviduals3" dataDxfId="33"/>
    <tableColumn id="8" xr3:uid="{D23BA128-9422-8E41-AD13-5D5C44059F3A}" name="SPWL (Č) (Total Cost)4" dataDxfId="32"/>
    <tableColumn id="9" xr3:uid="{1BD9156C-EA23-6145-BED6-000476FB7F54}" name="Number of Indviduals5" dataDxfId="31"/>
    <tableColumn id="12" xr3:uid="{1F031F37-DC18-8549-810D-71EC3CA9D4CE}" name="Total Cost (per person)" dataDxfId="30"/>
    <tableColumn id="16" xr3:uid="{FD7B6D55-CA78-014B-962C-DCE8DFCC91E4}" name="Proportion Participating" dataDxfId="29"/>
    <tableColumn id="15" xr3:uid="{9C7DDEDF-A9AD-0D4C-A4B2-6C08AFCBB11B}" name="No. participants male T20" dataDxfId="28">
      <calculatedColumnFormula>Table2[[#This Row],[Number of Indviduals]]*Table2[[#This Row],[Proportion Participating]]</calculatedColumnFormula>
    </tableColumn>
    <tableColumn id="14" xr3:uid="{D4D81D23-D5AF-D44F-9270-0A1AEE85C9DE}" name="No. participants male SPWL" dataDxfId="27">
      <calculatedColumnFormula>Table2[[#This Row],[Number of Indviduals2]]*Table2[[#This Row],[Proportion Participating]]</calculatedColumnFormula>
    </tableColumn>
    <tableColumn id="13" xr3:uid="{7B5C0480-C1BE-1648-B02C-C09144E13026}" name="No. participants female T20" dataDxfId="26">
      <calculatedColumnFormula>Table2[[#This Row],[Number of Indviduals3]]*Table2[[#This Row],[Proportion Participating]]</calculatedColumnFormula>
    </tableColumn>
    <tableColumn id="10" xr3:uid="{D1E4BCED-8605-BC4C-91C8-02D2E084B3C2}" name="No. participants female SPWL" dataDxfId="25">
      <calculatedColumnFormula>Table2[[#This Row],[Number of Indviduals5]]*Table2[[#This Row],[Proportion Participating]]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4CED15-D9E8-004C-ABDF-162CA5C34BEE}" name="Table3" displayName="Table3" ref="A2:F98" totalsRowShown="0" headerRowDxfId="24" dataDxfId="23">
  <autoFilter ref="A2:F98" xr:uid="{E64CED15-D9E8-004C-ABDF-162CA5C34BEE}"/>
  <tableColumns count="6">
    <tableColumn id="1" xr3:uid="{47ABA8AD-662B-0943-9198-92BB76ACB5DA}" name="Age" dataDxfId="22"/>
    <tableColumn id="2" xr3:uid="{9B37A7DD-5318-3648-9667-D5D2CD404C11}" name="T20" dataDxfId="21"/>
    <tableColumn id="3" xr3:uid="{1432BFD8-C7C8-204F-AE75-1C6AAE912950}" name="T202" dataDxfId="20"/>
    <tableColumn id="4" xr3:uid="{8DF4672D-4194-B44D-A308-D5E5A58BA92A}" name="T20 Participatig" dataDxfId="19"/>
    <tableColumn id="5" xr3:uid="{00C12E66-7B3A-9847-BC62-5F19E97CD13A}" name="T20 Participating" dataDxfId="18"/>
    <tableColumn id="6" xr3:uid="{B3E8DA79-8D68-2147-A0A0-3785A05AC782}" name="Proportion" dataDxfId="17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20FFE4-B073-5141-BD07-2722C09293DA}" name="Table1" displayName="Table1" ref="A1:E98" totalsRowShown="0" dataDxfId="16">
  <autoFilter ref="A1:E98" xr:uid="{C420FFE4-B073-5141-BD07-2722C09293DA}"/>
  <tableColumns count="5">
    <tableColumn id="1" xr3:uid="{C782EC85-B588-724E-9295-644D56C3A332}" name="Column1" dataDxfId="15"/>
    <tableColumn id="2" xr3:uid="{56DF5100-C593-F84E-AF39-DC702A656F87}" name="Males" dataDxfId="14"/>
    <tableColumn id="3" xr3:uid="{27D0986C-DCF6-154B-AC01-977315409A4C}" name="Column2" dataDxfId="13"/>
    <tableColumn id="4" xr3:uid="{4D8C3898-7258-1847-B5FA-90E4F189D642}" name="Females" dataDxfId="12"/>
    <tableColumn id="5" xr3:uid="{53A3B492-8D2C-8847-B440-DC63E5DBE41A}" name="Column3" dataDxfId="11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59DED3-8F8B-2646-A46B-F62D9F9F0C17}" name="Table21" displayName="Table21" ref="A1:D96" totalsRowShown="0" headerRowDxfId="10" dataDxfId="9">
  <autoFilter ref="A1:D96" xr:uid="{9459DED3-8F8B-2646-A46B-F62D9F9F0C17}"/>
  <tableColumns count="4">
    <tableColumn id="1" xr3:uid="{35D008C0-378F-0D4A-A517-CE8E39D785B6}" name="Age" dataDxfId="8"/>
    <tableColumn id="2" xr3:uid="{62C2E3B4-CA51-D342-B3AA-9EDED7DCED53}" name="q_x" dataDxfId="7"/>
    <tableColumn id="3" xr3:uid="{E81A6208-E860-BA46-9D74-815B6F8C24AC}" name="Reduced q_x" dataDxfId="6">
      <calculatedColumnFormula>Table21[[#This Row],[q_x]]*(1-'Cardio App'!B2)*(1-'Cancer prevention'!B2)</calculatedColumnFormula>
    </tableColumn>
    <tableColumn id="4" xr3:uid="{C0D5BD92-3595-4441-A534-E9BE4DB18802}" name="Decrease in Mortality Rate" dataDxfId="5">
      <calculatedColumnFormula>(Table21[[#This Row],[q_x]]-Table21[[#This Row],[Reduced q_x]])/Table21[[#This Row],[q_x]]</calculatedColumnFormula>
    </tableColumn>
  </tableColumns>
  <tableStyleInfo name="TableStyleLight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AC1D593-6DA1-1E4E-85FC-BB8C9C6F0B7B}" name="Table22" displayName="Table22" ref="A1:C96" totalsRowShown="0" headerRowDxfId="4" dataDxfId="3">
  <autoFilter ref="A1:C96" xr:uid="{DAC1D593-6DA1-1E4E-85FC-BB8C9C6F0B7B}"/>
  <tableColumns count="3">
    <tableColumn id="1" xr3:uid="{78767CE6-1213-A344-875B-1DFA3DCF16E7}" name="ç" dataDxfId="2"/>
    <tableColumn id="2" xr3:uid="{8FA379D9-4615-E64C-A374-94C736C49C1A}" name="q_x" dataDxfId="1"/>
    <tableColumn id="3" xr3:uid="{C06BF9FF-3256-D246-9C86-9C0D65E26E26}" name="reduced q_X" dataDxfId="0">
      <calculatedColumnFormula>Table22[[#This Row],[q_x]]*(1-'Cardio App'!B2)*(1-'Cancer prevention'!B2)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A1CA7-E280-E749-B891-05EF7434DC74}">
  <sheetPr codeName="Sheet1"/>
  <dimension ref="A1:D96"/>
  <sheetViews>
    <sheetView zoomScale="125" workbookViewId="0">
      <selection activeCell="C1" sqref="C1:C96"/>
    </sheetView>
  </sheetViews>
  <sheetFormatPr baseColWidth="10" defaultRowHeight="16" x14ac:dyDescent="0.2"/>
  <cols>
    <col min="1" max="1" width="10.5" bestFit="1" customWidth="1"/>
    <col min="2" max="2" width="25.33203125" customWidth="1"/>
    <col min="3" max="3" width="26.33203125" bestFit="1" customWidth="1"/>
    <col min="4" max="4" width="26.33203125" customWidth="1"/>
    <col min="5" max="5" width="21.6640625" bestFit="1" customWidth="1"/>
    <col min="6" max="6" width="27.6640625" bestFit="1" customWidth="1"/>
    <col min="7" max="7" width="13.33203125" bestFit="1" customWidth="1"/>
    <col min="8" max="8" width="12.83203125" bestFit="1" customWidth="1"/>
  </cols>
  <sheetData>
    <row r="1" spans="1:4" x14ac:dyDescent="0.2">
      <c r="A1" s="1" t="s">
        <v>0</v>
      </c>
      <c r="B1" s="1" t="s">
        <v>63</v>
      </c>
      <c r="C1" s="1" t="s">
        <v>100</v>
      </c>
      <c r="D1" s="33"/>
    </row>
    <row r="2" spans="1:4" x14ac:dyDescent="0.2">
      <c r="A2" s="3">
        <v>26</v>
      </c>
      <c r="B2">
        <f>0.1235</f>
        <v>0.1235</v>
      </c>
      <c r="C2">
        <v>0.75</v>
      </c>
      <c r="D2" s="34"/>
    </row>
    <row r="3" spans="1:4" x14ac:dyDescent="0.2">
      <c r="A3" s="3">
        <v>27</v>
      </c>
      <c r="B3">
        <f t="shared" ref="B3:B5" si="0">0.1235</f>
        <v>0.1235</v>
      </c>
      <c r="C3">
        <v>0.75</v>
      </c>
      <c r="D3" s="34"/>
    </row>
    <row r="4" spans="1:4" x14ac:dyDescent="0.2">
      <c r="A4" s="3">
        <v>28</v>
      </c>
      <c r="B4">
        <f t="shared" si="0"/>
        <v>0.1235</v>
      </c>
      <c r="C4">
        <v>0.75</v>
      </c>
      <c r="D4" s="34"/>
    </row>
    <row r="5" spans="1:4" x14ac:dyDescent="0.2">
      <c r="A5" s="3">
        <v>29</v>
      </c>
      <c r="B5">
        <f t="shared" si="0"/>
        <v>0.1235</v>
      </c>
      <c r="C5">
        <v>0.75</v>
      </c>
      <c r="D5" s="34"/>
    </row>
    <row r="6" spans="1:4" x14ac:dyDescent="0.2">
      <c r="A6" s="3">
        <v>30</v>
      </c>
      <c r="B6">
        <v>0.13239999999999999</v>
      </c>
      <c r="C6">
        <v>0.6</v>
      </c>
      <c r="D6" s="34"/>
    </row>
    <row r="7" spans="1:4" x14ac:dyDescent="0.2">
      <c r="A7" s="3">
        <v>31</v>
      </c>
      <c r="B7">
        <v>0.13239999999999999</v>
      </c>
      <c r="C7">
        <v>0.6</v>
      </c>
      <c r="D7" s="34"/>
    </row>
    <row r="8" spans="1:4" x14ac:dyDescent="0.2">
      <c r="A8" s="3">
        <v>32</v>
      </c>
      <c r="B8">
        <v>0.13239999999999999</v>
      </c>
      <c r="C8">
        <v>0.6</v>
      </c>
      <c r="D8" s="34"/>
    </row>
    <row r="9" spans="1:4" x14ac:dyDescent="0.2">
      <c r="A9" s="3">
        <v>33</v>
      </c>
      <c r="B9">
        <v>0.13239999999999999</v>
      </c>
      <c r="C9">
        <v>0.6</v>
      </c>
      <c r="D9" s="34"/>
    </row>
    <row r="10" spans="1:4" x14ac:dyDescent="0.2">
      <c r="A10" s="3">
        <v>34</v>
      </c>
      <c r="B10">
        <v>0.13239999999999999</v>
      </c>
      <c r="C10">
        <v>0.6</v>
      </c>
    </row>
    <row r="11" spans="1:4" x14ac:dyDescent="0.2">
      <c r="A11" s="3">
        <v>35</v>
      </c>
      <c r="B11">
        <v>0.13239999999999999</v>
      </c>
      <c r="C11">
        <v>0.6</v>
      </c>
    </row>
    <row r="12" spans="1:4" x14ac:dyDescent="0.2">
      <c r="A12" s="3">
        <v>36</v>
      </c>
      <c r="B12">
        <v>0.13239999999999999</v>
      </c>
      <c r="C12">
        <v>0.6</v>
      </c>
    </row>
    <row r="13" spans="1:4" x14ac:dyDescent="0.2">
      <c r="A13" s="3">
        <v>37</v>
      </c>
      <c r="B13">
        <v>0.13239999999999999</v>
      </c>
      <c r="C13">
        <v>0.6</v>
      </c>
    </row>
    <row r="14" spans="1:4" x14ac:dyDescent="0.2">
      <c r="A14" s="3">
        <v>38</v>
      </c>
      <c r="B14">
        <v>0.13239999999999999</v>
      </c>
      <c r="C14">
        <v>0.6</v>
      </c>
    </row>
    <row r="15" spans="1:4" x14ac:dyDescent="0.2">
      <c r="A15" s="3">
        <v>39</v>
      </c>
      <c r="B15">
        <v>0.13239999999999999</v>
      </c>
      <c r="C15">
        <v>0.6</v>
      </c>
    </row>
    <row r="16" spans="1:4" x14ac:dyDescent="0.2">
      <c r="A16" s="3">
        <v>40</v>
      </c>
      <c r="B16">
        <v>0.13239999999999999</v>
      </c>
      <c r="C16">
        <v>0.6</v>
      </c>
    </row>
    <row r="17" spans="1:3" x14ac:dyDescent="0.2">
      <c r="A17" s="3">
        <v>41</v>
      </c>
      <c r="B17">
        <v>0.13239999999999999</v>
      </c>
      <c r="C17">
        <v>0.6</v>
      </c>
    </row>
    <row r="18" spans="1:3" x14ac:dyDescent="0.2">
      <c r="A18" s="3">
        <v>42</v>
      </c>
      <c r="B18">
        <v>0.13239999999999999</v>
      </c>
      <c r="C18">
        <v>0.6</v>
      </c>
    </row>
    <row r="19" spans="1:3" x14ac:dyDescent="0.2">
      <c r="A19" s="3">
        <v>43</v>
      </c>
      <c r="B19">
        <v>0.13239999999999999</v>
      </c>
      <c r="C19">
        <v>0.6</v>
      </c>
    </row>
    <row r="20" spans="1:3" x14ac:dyDescent="0.2">
      <c r="A20" s="3">
        <v>44</v>
      </c>
      <c r="B20">
        <v>0.13239999999999999</v>
      </c>
      <c r="C20">
        <v>0.6</v>
      </c>
    </row>
    <row r="21" spans="1:3" x14ac:dyDescent="0.2">
      <c r="A21" s="3">
        <v>45</v>
      </c>
      <c r="B21">
        <v>0.13239999999999999</v>
      </c>
      <c r="C21">
        <v>0.6</v>
      </c>
    </row>
    <row r="22" spans="1:3" x14ac:dyDescent="0.2">
      <c r="A22" s="3">
        <v>46</v>
      </c>
      <c r="B22">
        <v>0.13239999999999999</v>
      </c>
      <c r="C22">
        <v>0.6</v>
      </c>
    </row>
    <row r="23" spans="1:3" x14ac:dyDescent="0.2">
      <c r="A23" s="3">
        <v>47</v>
      </c>
      <c r="B23">
        <v>0.13239999999999999</v>
      </c>
      <c r="C23">
        <v>0.6</v>
      </c>
    </row>
    <row r="24" spans="1:3" x14ac:dyDescent="0.2">
      <c r="A24" s="3">
        <v>48</v>
      </c>
      <c r="B24">
        <v>0.13239999999999999</v>
      </c>
      <c r="C24">
        <v>0.6</v>
      </c>
    </row>
    <row r="25" spans="1:3" x14ac:dyDescent="0.2">
      <c r="A25" s="3">
        <v>49</v>
      </c>
      <c r="B25">
        <v>0.13239999999999999</v>
      </c>
      <c r="C25">
        <v>0.6</v>
      </c>
    </row>
    <row r="26" spans="1:3" x14ac:dyDescent="0.2">
      <c r="A26" s="3">
        <v>50</v>
      </c>
      <c r="B26">
        <v>0.1351</v>
      </c>
      <c r="C26">
        <v>0.6</v>
      </c>
    </row>
    <row r="27" spans="1:3" x14ac:dyDescent="0.2">
      <c r="A27" s="3">
        <v>51</v>
      </c>
      <c r="B27">
        <v>0.1351</v>
      </c>
      <c r="C27">
        <v>0.6</v>
      </c>
    </row>
    <row r="28" spans="1:3" x14ac:dyDescent="0.2">
      <c r="A28" s="3">
        <v>52</v>
      </c>
      <c r="B28">
        <v>0.1351</v>
      </c>
      <c r="C28">
        <v>0.6</v>
      </c>
    </row>
    <row r="29" spans="1:3" x14ac:dyDescent="0.2">
      <c r="A29" s="3">
        <v>53</v>
      </c>
      <c r="B29">
        <v>0.1351</v>
      </c>
      <c r="C29">
        <v>0.6</v>
      </c>
    </row>
    <row r="30" spans="1:3" x14ac:dyDescent="0.2">
      <c r="A30" s="3">
        <v>54</v>
      </c>
      <c r="B30">
        <v>0.1351</v>
      </c>
      <c r="C30">
        <v>0.6</v>
      </c>
    </row>
    <row r="31" spans="1:3" x14ac:dyDescent="0.2">
      <c r="A31" s="3">
        <v>55</v>
      </c>
      <c r="B31">
        <v>0.1351</v>
      </c>
      <c r="C31">
        <v>0.6</v>
      </c>
    </row>
    <row r="32" spans="1:3" x14ac:dyDescent="0.2">
      <c r="A32" s="3">
        <v>56</v>
      </c>
      <c r="B32">
        <v>0.1351</v>
      </c>
      <c r="C32">
        <v>0.6</v>
      </c>
    </row>
    <row r="33" spans="1:3" x14ac:dyDescent="0.2">
      <c r="A33" s="3">
        <v>57</v>
      </c>
      <c r="B33">
        <v>0.1351</v>
      </c>
      <c r="C33">
        <v>0.6</v>
      </c>
    </row>
    <row r="34" spans="1:3" x14ac:dyDescent="0.2">
      <c r="A34" s="3">
        <v>58</v>
      </c>
      <c r="B34">
        <v>0.1351</v>
      </c>
      <c r="C34">
        <v>0.6</v>
      </c>
    </row>
    <row r="35" spans="1:3" x14ac:dyDescent="0.2">
      <c r="A35" s="3">
        <v>59</v>
      </c>
      <c r="B35">
        <v>0.1351</v>
      </c>
      <c r="C35">
        <v>0.6</v>
      </c>
    </row>
    <row r="36" spans="1:3" x14ac:dyDescent="0.2">
      <c r="A36" s="3">
        <v>60</v>
      </c>
      <c r="B36">
        <v>0.1351</v>
      </c>
      <c r="C36">
        <v>0.6</v>
      </c>
    </row>
    <row r="37" spans="1:3" x14ac:dyDescent="0.2">
      <c r="A37" s="3">
        <v>61</v>
      </c>
      <c r="B37">
        <v>0.1351</v>
      </c>
      <c r="C37">
        <v>0.6</v>
      </c>
    </row>
    <row r="38" spans="1:3" x14ac:dyDescent="0.2">
      <c r="A38" s="3">
        <v>62</v>
      </c>
      <c r="B38">
        <v>0.1351</v>
      </c>
      <c r="C38">
        <v>0.6</v>
      </c>
    </row>
    <row r="39" spans="1:3" x14ac:dyDescent="0.2">
      <c r="A39" s="3">
        <v>63</v>
      </c>
      <c r="B39">
        <v>0.1351</v>
      </c>
      <c r="C39">
        <v>0.6</v>
      </c>
    </row>
    <row r="40" spans="1:3" x14ac:dyDescent="0.2">
      <c r="A40" s="3">
        <v>64</v>
      </c>
      <c r="B40">
        <v>0.1351</v>
      </c>
      <c r="C40">
        <v>0.6</v>
      </c>
    </row>
    <row r="41" spans="1:3" x14ac:dyDescent="0.2">
      <c r="A41" s="3">
        <v>65</v>
      </c>
      <c r="B41">
        <v>0.1351</v>
      </c>
      <c r="C41">
        <v>0.6</v>
      </c>
    </row>
    <row r="42" spans="1:3" x14ac:dyDescent="0.2">
      <c r="A42" s="3">
        <v>66</v>
      </c>
      <c r="B42">
        <v>0.1351</v>
      </c>
      <c r="C42">
        <v>0.6</v>
      </c>
    </row>
    <row r="43" spans="1:3" x14ac:dyDescent="0.2">
      <c r="A43" s="3">
        <v>67</v>
      </c>
      <c r="B43">
        <v>0.1351</v>
      </c>
      <c r="C43">
        <v>0.6</v>
      </c>
    </row>
    <row r="44" spans="1:3" x14ac:dyDescent="0.2">
      <c r="A44" s="3">
        <v>68</v>
      </c>
      <c r="B44">
        <v>0.1351</v>
      </c>
      <c r="C44">
        <v>0.6</v>
      </c>
    </row>
    <row r="45" spans="1:3" x14ac:dyDescent="0.2">
      <c r="A45" s="3">
        <v>69</v>
      </c>
      <c r="B45">
        <v>0.1351</v>
      </c>
      <c r="C45">
        <v>0.6</v>
      </c>
    </row>
    <row r="46" spans="1:3" x14ac:dyDescent="0.2">
      <c r="A46" s="3">
        <v>70</v>
      </c>
      <c r="B46">
        <v>8.5999999999999993E-2</v>
      </c>
      <c r="C46">
        <v>0.45</v>
      </c>
    </row>
    <row r="47" spans="1:3" x14ac:dyDescent="0.2">
      <c r="A47" s="3">
        <v>71</v>
      </c>
      <c r="B47">
        <v>8.5999999999999993E-2</v>
      </c>
      <c r="C47">
        <v>0.45</v>
      </c>
    </row>
    <row r="48" spans="1:3" x14ac:dyDescent="0.2">
      <c r="A48" s="3">
        <v>72</v>
      </c>
      <c r="B48">
        <v>8.5999999999999993E-2</v>
      </c>
      <c r="C48">
        <v>0.45</v>
      </c>
    </row>
    <row r="49" spans="1:3" x14ac:dyDescent="0.2">
      <c r="A49" s="3">
        <v>73</v>
      </c>
      <c r="B49">
        <v>8.5999999999999993E-2</v>
      </c>
      <c r="C49">
        <v>0.45</v>
      </c>
    </row>
    <row r="50" spans="1:3" x14ac:dyDescent="0.2">
      <c r="A50" s="3">
        <v>74</v>
      </c>
      <c r="B50">
        <v>8.5999999999999993E-2</v>
      </c>
      <c r="C50">
        <v>0.45</v>
      </c>
    </row>
    <row r="51" spans="1:3" x14ac:dyDescent="0.2">
      <c r="A51" s="3">
        <v>75</v>
      </c>
      <c r="B51">
        <v>8.5999999999999993E-2</v>
      </c>
      <c r="C51">
        <v>0.45</v>
      </c>
    </row>
    <row r="52" spans="1:3" x14ac:dyDescent="0.2">
      <c r="A52" s="3">
        <v>76</v>
      </c>
      <c r="B52">
        <v>8.5999999999999993E-2</v>
      </c>
      <c r="C52">
        <v>0.45</v>
      </c>
    </row>
    <row r="53" spans="1:3" x14ac:dyDescent="0.2">
      <c r="A53" s="3">
        <v>77</v>
      </c>
      <c r="B53">
        <v>8.5999999999999993E-2</v>
      </c>
      <c r="C53">
        <v>0.45</v>
      </c>
    </row>
    <row r="54" spans="1:3" x14ac:dyDescent="0.2">
      <c r="A54" s="3">
        <v>78</v>
      </c>
      <c r="B54">
        <v>8.5999999999999993E-2</v>
      </c>
      <c r="C54">
        <v>0.45</v>
      </c>
    </row>
    <row r="55" spans="1:3" x14ac:dyDescent="0.2">
      <c r="A55" s="3">
        <v>79</v>
      </c>
      <c r="B55">
        <v>8.5999999999999993E-2</v>
      </c>
      <c r="C55">
        <v>0.45</v>
      </c>
    </row>
    <row r="56" spans="1:3" x14ac:dyDescent="0.2">
      <c r="A56" s="3">
        <v>80</v>
      </c>
      <c r="B56">
        <v>8.5999999999999993E-2</v>
      </c>
      <c r="C56">
        <v>0.45</v>
      </c>
    </row>
    <row r="57" spans="1:3" x14ac:dyDescent="0.2">
      <c r="A57" s="3">
        <v>81</v>
      </c>
      <c r="B57">
        <v>8.5999999999999993E-2</v>
      </c>
      <c r="C57">
        <v>0.45</v>
      </c>
    </row>
    <row r="58" spans="1:3" x14ac:dyDescent="0.2">
      <c r="A58" s="3">
        <v>82</v>
      </c>
      <c r="B58">
        <v>8.5999999999999993E-2</v>
      </c>
      <c r="C58">
        <v>0.45</v>
      </c>
    </row>
    <row r="59" spans="1:3" x14ac:dyDescent="0.2">
      <c r="A59" s="3">
        <v>83</v>
      </c>
      <c r="B59">
        <v>8.5999999999999993E-2</v>
      </c>
      <c r="C59">
        <v>0.45</v>
      </c>
    </row>
    <row r="60" spans="1:3" x14ac:dyDescent="0.2">
      <c r="A60" s="3">
        <v>84</v>
      </c>
      <c r="B60">
        <v>8.5999999999999993E-2</v>
      </c>
      <c r="C60">
        <v>0.45</v>
      </c>
    </row>
    <row r="61" spans="1:3" x14ac:dyDescent="0.2">
      <c r="A61" s="3">
        <v>85</v>
      </c>
      <c r="B61">
        <v>8.5999999999999993E-2</v>
      </c>
      <c r="C61">
        <v>0.45</v>
      </c>
    </row>
    <row r="62" spans="1:3" x14ac:dyDescent="0.2">
      <c r="A62" s="3">
        <v>86</v>
      </c>
      <c r="B62">
        <v>8.5999999999999993E-2</v>
      </c>
      <c r="C62">
        <v>0.45</v>
      </c>
    </row>
    <row r="63" spans="1:3" x14ac:dyDescent="0.2">
      <c r="A63" s="3">
        <v>87</v>
      </c>
      <c r="B63">
        <v>8.5999999999999993E-2</v>
      </c>
      <c r="C63">
        <v>0.45</v>
      </c>
    </row>
    <row r="64" spans="1:3" x14ac:dyDescent="0.2">
      <c r="A64" s="3">
        <v>88</v>
      </c>
      <c r="B64">
        <v>8.5999999999999993E-2</v>
      </c>
      <c r="C64">
        <v>0.45</v>
      </c>
    </row>
    <row r="65" spans="1:3" x14ac:dyDescent="0.2">
      <c r="A65" s="3">
        <v>89</v>
      </c>
      <c r="B65">
        <v>8.5999999999999993E-2</v>
      </c>
      <c r="C65">
        <v>0.45</v>
      </c>
    </row>
    <row r="66" spans="1:3" x14ac:dyDescent="0.2">
      <c r="A66" s="3">
        <v>90</v>
      </c>
      <c r="B66">
        <v>8.5999999999999993E-2</v>
      </c>
      <c r="C66">
        <v>0.45</v>
      </c>
    </row>
    <row r="67" spans="1:3" x14ac:dyDescent="0.2">
      <c r="A67" s="3">
        <v>91</v>
      </c>
      <c r="B67">
        <v>8.5999999999999993E-2</v>
      </c>
      <c r="C67">
        <v>0.45</v>
      </c>
    </row>
    <row r="68" spans="1:3" x14ac:dyDescent="0.2">
      <c r="A68" s="3">
        <v>92</v>
      </c>
      <c r="B68">
        <v>8.5999999999999993E-2</v>
      </c>
      <c r="C68">
        <v>0.45</v>
      </c>
    </row>
    <row r="69" spans="1:3" x14ac:dyDescent="0.2">
      <c r="A69" s="3">
        <v>93</v>
      </c>
      <c r="B69">
        <v>8.5999999999999993E-2</v>
      </c>
      <c r="C69">
        <v>0.45</v>
      </c>
    </row>
    <row r="70" spans="1:3" x14ac:dyDescent="0.2">
      <c r="A70" s="3">
        <v>94</v>
      </c>
      <c r="B70">
        <v>8.5999999999999993E-2</v>
      </c>
      <c r="C70">
        <v>0.45</v>
      </c>
    </row>
    <row r="71" spans="1:3" x14ac:dyDescent="0.2">
      <c r="A71" s="3">
        <v>95</v>
      </c>
      <c r="B71">
        <v>8.5999999999999993E-2</v>
      </c>
      <c r="C71">
        <v>0.45</v>
      </c>
    </row>
    <row r="72" spans="1:3" x14ac:dyDescent="0.2">
      <c r="A72" s="3">
        <v>96</v>
      </c>
      <c r="B72">
        <v>8.5999999999999993E-2</v>
      </c>
      <c r="C72">
        <v>0.45</v>
      </c>
    </row>
    <row r="73" spans="1:3" x14ac:dyDescent="0.2">
      <c r="A73" s="3">
        <v>97</v>
      </c>
      <c r="B73">
        <v>8.5999999999999993E-2</v>
      </c>
      <c r="C73">
        <v>0.45</v>
      </c>
    </row>
    <row r="74" spans="1:3" x14ac:dyDescent="0.2">
      <c r="A74" s="3">
        <v>98</v>
      </c>
      <c r="B74">
        <v>8.5999999999999993E-2</v>
      </c>
      <c r="C74">
        <v>0.45</v>
      </c>
    </row>
    <row r="75" spans="1:3" x14ac:dyDescent="0.2">
      <c r="A75" s="3">
        <v>99</v>
      </c>
      <c r="B75">
        <v>8.5999999999999993E-2</v>
      </c>
      <c r="C75">
        <v>0.45</v>
      </c>
    </row>
    <row r="76" spans="1:3" x14ac:dyDescent="0.2">
      <c r="A76" s="3">
        <v>100</v>
      </c>
      <c r="B76">
        <v>0</v>
      </c>
      <c r="C76">
        <v>0</v>
      </c>
    </row>
    <row r="77" spans="1:3" x14ac:dyDescent="0.2">
      <c r="A77" s="3">
        <v>101</v>
      </c>
      <c r="B77">
        <v>0</v>
      </c>
      <c r="C77">
        <v>0</v>
      </c>
    </row>
    <row r="78" spans="1:3" x14ac:dyDescent="0.2">
      <c r="A78" s="3">
        <v>102</v>
      </c>
      <c r="B78">
        <v>0</v>
      </c>
      <c r="C78">
        <v>0</v>
      </c>
    </row>
    <row r="79" spans="1:3" x14ac:dyDescent="0.2">
      <c r="A79" s="3">
        <v>103</v>
      </c>
      <c r="B79">
        <v>0</v>
      </c>
      <c r="C79">
        <v>0</v>
      </c>
    </row>
    <row r="80" spans="1:3" x14ac:dyDescent="0.2">
      <c r="A80" s="3">
        <v>104</v>
      </c>
      <c r="B80">
        <v>0</v>
      </c>
      <c r="C80">
        <v>0</v>
      </c>
    </row>
    <row r="81" spans="1:3" x14ac:dyDescent="0.2">
      <c r="A81" s="3">
        <v>105</v>
      </c>
      <c r="B81">
        <v>0</v>
      </c>
      <c r="C81">
        <v>0</v>
      </c>
    </row>
    <row r="82" spans="1:3" x14ac:dyDescent="0.2">
      <c r="A82" s="3">
        <v>106</v>
      </c>
      <c r="B82">
        <v>0</v>
      </c>
      <c r="C82">
        <v>0</v>
      </c>
    </row>
    <row r="83" spans="1:3" x14ac:dyDescent="0.2">
      <c r="A83" s="3">
        <v>107</v>
      </c>
      <c r="B83">
        <v>0</v>
      </c>
      <c r="C83">
        <v>0</v>
      </c>
    </row>
    <row r="84" spans="1:3" x14ac:dyDescent="0.2">
      <c r="A84" s="3">
        <v>108</v>
      </c>
      <c r="B84">
        <v>0</v>
      </c>
      <c r="C84">
        <v>0</v>
      </c>
    </row>
    <row r="85" spans="1:3" x14ac:dyDescent="0.2">
      <c r="A85" s="3">
        <v>109</v>
      </c>
      <c r="B85">
        <v>0</v>
      </c>
      <c r="C85">
        <v>0</v>
      </c>
    </row>
    <row r="86" spans="1:3" x14ac:dyDescent="0.2">
      <c r="A86" s="3">
        <v>110</v>
      </c>
      <c r="B86">
        <v>0</v>
      </c>
      <c r="C86">
        <v>0</v>
      </c>
    </row>
    <row r="87" spans="1:3" x14ac:dyDescent="0.2">
      <c r="A87" s="3">
        <v>111</v>
      </c>
      <c r="B87">
        <v>0</v>
      </c>
      <c r="C87">
        <v>0</v>
      </c>
    </row>
    <row r="88" spans="1:3" x14ac:dyDescent="0.2">
      <c r="A88" s="3">
        <v>112</v>
      </c>
      <c r="B88">
        <v>0</v>
      </c>
      <c r="C88">
        <v>0</v>
      </c>
    </row>
    <row r="89" spans="1:3" x14ac:dyDescent="0.2">
      <c r="A89" s="3">
        <v>113</v>
      </c>
      <c r="B89">
        <v>0</v>
      </c>
      <c r="C89">
        <v>0</v>
      </c>
    </row>
    <row r="90" spans="1:3" x14ac:dyDescent="0.2">
      <c r="A90" s="3">
        <v>114</v>
      </c>
      <c r="B90">
        <v>0</v>
      </c>
      <c r="C90">
        <v>0</v>
      </c>
    </row>
    <row r="91" spans="1:3" x14ac:dyDescent="0.2">
      <c r="A91" s="3">
        <v>115</v>
      </c>
      <c r="B91">
        <v>0</v>
      </c>
      <c r="C91">
        <v>0</v>
      </c>
    </row>
    <row r="92" spans="1:3" x14ac:dyDescent="0.2">
      <c r="A92" s="3">
        <v>116</v>
      </c>
      <c r="B92">
        <v>0</v>
      </c>
      <c r="C92">
        <v>0</v>
      </c>
    </row>
    <row r="93" spans="1:3" x14ac:dyDescent="0.2">
      <c r="A93" s="3">
        <v>117</v>
      </c>
      <c r="B93">
        <v>0</v>
      </c>
      <c r="C93">
        <v>0</v>
      </c>
    </row>
    <row r="94" spans="1:3" x14ac:dyDescent="0.2">
      <c r="A94" s="3">
        <v>118</v>
      </c>
      <c r="B94">
        <v>0</v>
      </c>
      <c r="C94">
        <v>0</v>
      </c>
    </row>
    <row r="95" spans="1:3" x14ac:dyDescent="0.2">
      <c r="A95" s="3">
        <v>119</v>
      </c>
      <c r="B95">
        <v>0</v>
      </c>
      <c r="C95">
        <v>0</v>
      </c>
    </row>
    <row r="96" spans="1:3" x14ac:dyDescent="0.2">
      <c r="A96" s="3">
        <v>120</v>
      </c>
      <c r="B96">
        <v>0</v>
      </c>
      <c r="C96"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6AAAA-C99B-164A-B2E3-B80DF349C4DB}">
  <sheetPr codeName="Sheet2"/>
  <dimension ref="A1:C96"/>
  <sheetViews>
    <sheetView workbookViewId="0">
      <selection activeCell="C2" sqref="C2:C96"/>
    </sheetView>
  </sheetViews>
  <sheetFormatPr baseColWidth="10" defaultRowHeight="19" x14ac:dyDescent="0.25"/>
  <cols>
    <col min="1" max="1" width="10.5" style="8" bestFit="1" customWidth="1"/>
    <col min="2" max="2" width="25.33203125" style="8" customWidth="1"/>
    <col min="3" max="3" width="26.33203125" style="9" bestFit="1" customWidth="1"/>
    <col min="4" max="4" width="21.6640625" customWidth="1"/>
    <col min="5" max="5" width="27.6640625" bestFit="1" customWidth="1"/>
    <col min="6" max="6" width="13.6640625" bestFit="1" customWidth="1"/>
    <col min="7" max="7" width="13.1640625" bestFit="1" customWidth="1"/>
  </cols>
  <sheetData>
    <row r="1" spans="1:3" x14ac:dyDescent="0.25">
      <c r="A1" s="6" t="s">
        <v>0</v>
      </c>
      <c r="B1" s="6" t="s">
        <v>64</v>
      </c>
      <c r="C1" s="6" t="s">
        <v>100</v>
      </c>
    </row>
    <row r="2" spans="1:3" x14ac:dyDescent="0.25">
      <c r="A2" s="13">
        <v>26</v>
      </c>
      <c r="B2" s="8">
        <v>0.14699999999999999</v>
      </c>
      <c r="C2" s="9">
        <v>0.75</v>
      </c>
    </row>
    <row r="3" spans="1:3" x14ac:dyDescent="0.25">
      <c r="A3" s="13">
        <v>27</v>
      </c>
      <c r="B3" s="8">
        <v>0.14699999999999999</v>
      </c>
      <c r="C3" s="9">
        <v>0.75</v>
      </c>
    </row>
    <row r="4" spans="1:3" x14ac:dyDescent="0.25">
      <c r="A4" s="13">
        <v>28</v>
      </c>
      <c r="B4" s="8">
        <v>0.14699999999999999</v>
      </c>
      <c r="C4" s="9">
        <v>0.75</v>
      </c>
    </row>
    <row r="5" spans="1:3" x14ac:dyDescent="0.25">
      <c r="A5" s="13">
        <v>29</v>
      </c>
      <c r="B5" s="8">
        <v>0.14699999999999999</v>
      </c>
      <c r="C5" s="9">
        <v>0.75</v>
      </c>
    </row>
    <row r="6" spans="1:3" x14ac:dyDescent="0.25">
      <c r="A6" s="13">
        <v>30</v>
      </c>
      <c r="B6" s="8">
        <v>0.27100000000000002</v>
      </c>
      <c r="C6" s="9">
        <v>0.6</v>
      </c>
    </row>
    <row r="7" spans="1:3" x14ac:dyDescent="0.25">
      <c r="A7" s="13">
        <v>31</v>
      </c>
      <c r="B7" s="8">
        <v>0.27100000000000002</v>
      </c>
      <c r="C7" s="9">
        <v>0.6</v>
      </c>
    </row>
    <row r="8" spans="1:3" x14ac:dyDescent="0.25">
      <c r="A8" s="13">
        <v>32</v>
      </c>
      <c r="B8" s="8">
        <v>0.27100000000000002</v>
      </c>
      <c r="C8" s="9">
        <v>0.6</v>
      </c>
    </row>
    <row r="9" spans="1:3" x14ac:dyDescent="0.25">
      <c r="A9" s="13">
        <v>33</v>
      </c>
      <c r="B9" s="8">
        <v>0.27100000000000002</v>
      </c>
      <c r="C9" s="9">
        <v>0.6</v>
      </c>
    </row>
    <row r="10" spans="1:3" x14ac:dyDescent="0.25">
      <c r="A10" s="13">
        <v>34</v>
      </c>
      <c r="B10" s="8">
        <v>0.27100000000000002</v>
      </c>
      <c r="C10" s="9">
        <v>0.6</v>
      </c>
    </row>
    <row r="11" spans="1:3" x14ac:dyDescent="0.25">
      <c r="A11" s="13">
        <v>35</v>
      </c>
      <c r="B11" s="8">
        <v>0.27100000000000002</v>
      </c>
      <c r="C11" s="9">
        <v>0.6</v>
      </c>
    </row>
    <row r="12" spans="1:3" x14ac:dyDescent="0.25">
      <c r="A12" s="13">
        <v>36</v>
      </c>
      <c r="B12" s="8">
        <v>0.27100000000000002</v>
      </c>
      <c r="C12" s="9">
        <v>0.6</v>
      </c>
    </row>
    <row r="13" spans="1:3" x14ac:dyDescent="0.25">
      <c r="A13" s="13">
        <v>37</v>
      </c>
      <c r="B13" s="8">
        <v>0.27100000000000002</v>
      </c>
      <c r="C13" s="9">
        <v>0.6</v>
      </c>
    </row>
    <row r="14" spans="1:3" x14ac:dyDescent="0.25">
      <c r="A14" s="13">
        <v>38</v>
      </c>
      <c r="B14" s="8">
        <v>0.27100000000000002</v>
      </c>
      <c r="C14" s="9">
        <v>0.6</v>
      </c>
    </row>
    <row r="15" spans="1:3" x14ac:dyDescent="0.25">
      <c r="A15" s="13">
        <v>39</v>
      </c>
      <c r="B15" s="8">
        <v>0.27100000000000002</v>
      </c>
      <c r="C15" s="9">
        <v>0.6</v>
      </c>
    </row>
    <row r="16" spans="1:3" x14ac:dyDescent="0.25">
      <c r="A16" s="13">
        <v>40</v>
      </c>
      <c r="B16" s="8">
        <v>0.27100000000000002</v>
      </c>
      <c r="C16" s="9">
        <v>0.6</v>
      </c>
    </row>
    <row r="17" spans="1:3" x14ac:dyDescent="0.25">
      <c r="A17" s="13">
        <v>41</v>
      </c>
      <c r="B17" s="8">
        <v>0.27100000000000002</v>
      </c>
      <c r="C17" s="9">
        <v>0.6</v>
      </c>
    </row>
    <row r="18" spans="1:3" x14ac:dyDescent="0.25">
      <c r="A18" s="13">
        <v>42</v>
      </c>
      <c r="B18" s="8">
        <v>0.27100000000000002</v>
      </c>
      <c r="C18" s="9">
        <v>0.6</v>
      </c>
    </row>
    <row r="19" spans="1:3" x14ac:dyDescent="0.25">
      <c r="A19" s="13">
        <v>43</v>
      </c>
      <c r="B19" s="8">
        <v>0.27100000000000002</v>
      </c>
      <c r="C19" s="9">
        <v>0.6</v>
      </c>
    </row>
    <row r="20" spans="1:3" x14ac:dyDescent="0.25">
      <c r="A20" s="13">
        <v>44</v>
      </c>
      <c r="B20" s="8">
        <v>0.27100000000000002</v>
      </c>
      <c r="C20" s="9">
        <v>0.6</v>
      </c>
    </row>
    <row r="21" spans="1:3" x14ac:dyDescent="0.25">
      <c r="A21" s="13">
        <v>45</v>
      </c>
      <c r="B21" s="8">
        <v>0.27100000000000002</v>
      </c>
      <c r="C21" s="9">
        <v>0.6</v>
      </c>
    </row>
    <row r="22" spans="1:3" x14ac:dyDescent="0.25">
      <c r="A22" s="13">
        <v>46</v>
      </c>
      <c r="B22" s="8">
        <v>0.27100000000000002</v>
      </c>
      <c r="C22" s="9">
        <v>0.6</v>
      </c>
    </row>
    <row r="23" spans="1:3" x14ac:dyDescent="0.25">
      <c r="A23" s="13">
        <v>47</v>
      </c>
      <c r="B23" s="8">
        <v>0.27100000000000002</v>
      </c>
      <c r="C23" s="9">
        <v>0.6</v>
      </c>
    </row>
    <row r="24" spans="1:3" x14ac:dyDescent="0.25">
      <c r="A24" s="13">
        <v>48</v>
      </c>
      <c r="B24" s="8">
        <v>0.27100000000000002</v>
      </c>
      <c r="C24" s="9">
        <v>0.6</v>
      </c>
    </row>
    <row r="25" spans="1:3" x14ac:dyDescent="0.25">
      <c r="A25" s="13">
        <v>49</v>
      </c>
      <c r="B25" s="8">
        <v>0.27100000000000002</v>
      </c>
      <c r="C25" s="9">
        <v>0.6</v>
      </c>
    </row>
    <row r="26" spans="1:3" x14ac:dyDescent="0.25">
      <c r="A26" s="13">
        <v>50</v>
      </c>
      <c r="B26" s="8">
        <v>0.155</v>
      </c>
      <c r="C26" s="9">
        <v>0.6</v>
      </c>
    </row>
    <row r="27" spans="1:3" x14ac:dyDescent="0.25">
      <c r="A27" s="13">
        <v>51</v>
      </c>
      <c r="B27" s="8">
        <v>0.155</v>
      </c>
      <c r="C27" s="9">
        <v>0.6</v>
      </c>
    </row>
    <row r="28" spans="1:3" x14ac:dyDescent="0.25">
      <c r="A28" s="13">
        <v>52</v>
      </c>
      <c r="B28" s="8">
        <v>0.155</v>
      </c>
      <c r="C28" s="9">
        <v>0.6</v>
      </c>
    </row>
    <row r="29" spans="1:3" x14ac:dyDescent="0.25">
      <c r="A29" s="13">
        <v>53</v>
      </c>
      <c r="B29" s="8">
        <v>0.155</v>
      </c>
      <c r="C29" s="9">
        <v>0.6</v>
      </c>
    </row>
    <row r="30" spans="1:3" x14ac:dyDescent="0.25">
      <c r="A30" s="13">
        <v>54</v>
      </c>
      <c r="B30" s="8">
        <v>0.155</v>
      </c>
      <c r="C30" s="9">
        <v>0.6</v>
      </c>
    </row>
    <row r="31" spans="1:3" x14ac:dyDescent="0.25">
      <c r="A31" s="13">
        <v>55</v>
      </c>
      <c r="B31" s="8">
        <v>0.155</v>
      </c>
      <c r="C31" s="9">
        <v>0.6</v>
      </c>
    </row>
    <row r="32" spans="1:3" x14ac:dyDescent="0.25">
      <c r="A32" s="13">
        <v>56</v>
      </c>
      <c r="B32" s="8">
        <v>0.155</v>
      </c>
      <c r="C32" s="9">
        <v>0.6</v>
      </c>
    </row>
    <row r="33" spans="1:3" x14ac:dyDescent="0.25">
      <c r="A33" s="13">
        <v>57</v>
      </c>
      <c r="B33" s="8">
        <v>0.155</v>
      </c>
      <c r="C33" s="9">
        <v>0.6</v>
      </c>
    </row>
    <row r="34" spans="1:3" x14ac:dyDescent="0.25">
      <c r="A34" s="13">
        <v>58</v>
      </c>
      <c r="B34" s="8">
        <v>0.155</v>
      </c>
      <c r="C34" s="9">
        <v>0.6</v>
      </c>
    </row>
    <row r="35" spans="1:3" x14ac:dyDescent="0.25">
      <c r="A35" s="13">
        <v>59</v>
      </c>
      <c r="B35" s="8">
        <v>0.155</v>
      </c>
      <c r="C35" s="9">
        <v>0.6</v>
      </c>
    </row>
    <row r="36" spans="1:3" x14ac:dyDescent="0.25">
      <c r="A36" s="13">
        <v>60</v>
      </c>
      <c r="B36" s="8">
        <v>0.155</v>
      </c>
      <c r="C36" s="9">
        <v>0.6</v>
      </c>
    </row>
    <row r="37" spans="1:3" x14ac:dyDescent="0.25">
      <c r="A37" s="13">
        <v>61</v>
      </c>
      <c r="B37" s="8">
        <v>0.155</v>
      </c>
      <c r="C37" s="9">
        <v>0.6</v>
      </c>
    </row>
    <row r="38" spans="1:3" x14ac:dyDescent="0.25">
      <c r="A38" s="13">
        <v>62</v>
      </c>
      <c r="B38" s="8">
        <v>0.155</v>
      </c>
      <c r="C38" s="9">
        <v>0.6</v>
      </c>
    </row>
    <row r="39" spans="1:3" x14ac:dyDescent="0.25">
      <c r="A39" s="13">
        <v>63</v>
      </c>
      <c r="B39" s="8">
        <v>0.155</v>
      </c>
      <c r="C39" s="9">
        <v>0.6</v>
      </c>
    </row>
    <row r="40" spans="1:3" x14ac:dyDescent="0.25">
      <c r="A40" s="13">
        <v>64</v>
      </c>
      <c r="B40" s="8">
        <v>0.155</v>
      </c>
      <c r="C40" s="9">
        <v>0.6</v>
      </c>
    </row>
    <row r="41" spans="1:3" x14ac:dyDescent="0.25">
      <c r="A41" s="13">
        <v>65</v>
      </c>
      <c r="B41" s="8">
        <v>0.155</v>
      </c>
      <c r="C41" s="9">
        <v>0.6</v>
      </c>
    </row>
    <row r="42" spans="1:3" x14ac:dyDescent="0.25">
      <c r="A42" s="13">
        <v>66</v>
      </c>
      <c r="B42" s="8">
        <v>0.155</v>
      </c>
      <c r="C42" s="9">
        <v>0.6</v>
      </c>
    </row>
    <row r="43" spans="1:3" x14ac:dyDescent="0.25">
      <c r="A43" s="13">
        <v>67</v>
      </c>
      <c r="B43" s="8">
        <v>0.155</v>
      </c>
      <c r="C43" s="9">
        <v>0.6</v>
      </c>
    </row>
    <row r="44" spans="1:3" x14ac:dyDescent="0.25">
      <c r="A44" s="13">
        <v>68</v>
      </c>
      <c r="B44" s="8">
        <v>0.155</v>
      </c>
      <c r="C44" s="9">
        <v>0.6</v>
      </c>
    </row>
    <row r="45" spans="1:3" x14ac:dyDescent="0.25">
      <c r="A45" s="13">
        <v>69</v>
      </c>
      <c r="B45" s="8">
        <v>0.155</v>
      </c>
      <c r="C45" s="9">
        <v>0.6</v>
      </c>
    </row>
    <row r="46" spans="1:3" x14ac:dyDescent="0.25">
      <c r="A46" s="13">
        <v>70</v>
      </c>
      <c r="B46" s="8">
        <v>0.10100000000000001</v>
      </c>
      <c r="C46" s="9">
        <v>0.45</v>
      </c>
    </row>
    <row r="47" spans="1:3" x14ac:dyDescent="0.25">
      <c r="A47" s="13">
        <v>71</v>
      </c>
      <c r="B47" s="8">
        <v>0.10100000000000001</v>
      </c>
      <c r="C47" s="9">
        <v>0.45</v>
      </c>
    </row>
    <row r="48" spans="1:3" x14ac:dyDescent="0.25">
      <c r="A48" s="13">
        <v>72</v>
      </c>
      <c r="B48" s="8">
        <v>0.10100000000000001</v>
      </c>
      <c r="C48" s="9">
        <v>0.45</v>
      </c>
    </row>
    <row r="49" spans="1:3" x14ac:dyDescent="0.25">
      <c r="A49" s="13">
        <v>73</v>
      </c>
      <c r="B49" s="8">
        <v>0.10100000000000001</v>
      </c>
      <c r="C49" s="9">
        <v>0.45</v>
      </c>
    </row>
    <row r="50" spans="1:3" x14ac:dyDescent="0.25">
      <c r="A50" s="13">
        <v>74</v>
      </c>
      <c r="B50" s="8">
        <v>0.10100000000000001</v>
      </c>
      <c r="C50" s="9">
        <v>0.45</v>
      </c>
    </row>
    <row r="51" spans="1:3" x14ac:dyDescent="0.25">
      <c r="A51" s="13">
        <v>75</v>
      </c>
      <c r="B51" s="8">
        <v>0.10100000000000001</v>
      </c>
      <c r="C51" s="9">
        <v>0.45</v>
      </c>
    </row>
    <row r="52" spans="1:3" x14ac:dyDescent="0.25">
      <c r="A52" s="13">
        <v>76</v>
      </c>
      <c r="B52" s="8">
        <v>0.10100000000000001</v>
      </c>
      <c r="C52" s="9">
        <v>0.45</v>
      </c>
    </row>
    <row r="53" spans="1:3" x14ac:dyDescent="0.25">
      <c r="A53" s="13">
        <v>77</v>
      </c>
      <c r="B53" s="8">
        <v>0.10100000000000001</v>
      </c>
      <c r="C53" s="9">
        <v>0.45</v>
      </c>
    </row>
    <row r="54" spans="1:3" x14ac:dyDescent="0.25">
      <c r="A54" s="13">
        <v>78</v>
      </c>
      <c r="B54" s="8">
        <v>0.10100000000000001</v>
      </c>
      <c r="C54" s="9">
        <v>0.45</v>
      </c>
    </row>
    <row r="55" spans="1:3" x14ac:dyDescent="0.25">
      <c r="A55" s="13">
        <v>79</v>
      </c>
      <c r="B55" s="8">
        <v>0.10100000000000001</v>
      </c>
      <c r="C55" s="9">
        <v>0.45</v>
      </c>
    </row>
    <row r="56" spans="1:3" x14ac:dyDescent="0.25">
      <c r="A56" s="13">
        <v>80</v>
      </c>
      <c r="B56" s="8">
        <v>0.10100000000000001</v>
      </c>
      <c r="C56" s="9">
        <v>0.45</v>
      </c>
    </row>
    <row r="57" spans="1:3" x14ac:dyDescent="0.25">
      <c r="A57" s="13">
        <v>81</v>
      </c>
      <c r="B57" s="8">
        <v>0.10100000000000001</v>
      </c>
      <c r="C57" s="9">
        <v>0.45</v>
      </c>
    </row>
    <row r="58" spans="1:3" x14ac:dyDescent="0.25">
      <c r="A58" s="13">
        <v>82</v>
      </c>
      <c r="B58" s="8">
        <v>0.10100000000000001</v>
      </c>
      <c r="C58" s="9">
        <v>0.45</v>
      </c>
    </row>
    <row r="59" spans="1:3" x14ac:dyDescent="0.25">
      <c r="A59" s="13">
        <v>83</v>
      </c>
      <c r="B59" s="8">
        <v>0.10100000000000001</v>
      </c>
      <c r="C59" s="9">
        <v>0.45</v>
      </c>
    </row>
    <row r="60" spans="1:3" x14ac:dyDescent="0.25">
      <c r="A60" s="13">
        <v>84</v>
      </c>
      <c r="B60" s="8">
        <v>0.10100000000000001</v>
      </c>
      <c r="C60" s="9">
        <v>0.45</v>
      </c>
    </row>
    <row r="61" spans="1:3" x14ac:dyDescent="0.25">
      <c r="A61" s="13">
        <v>85</v>
      </c>
      <c r="B61" s="8">
        <v>0.10100000000000001</v>
      </c>
      <c r="C61" s="9">
        <v>0.45</v>
      </c>
    </row>
    <row r="62" spans="1:3" x14ac:dyDescent="0.25">
      <c r="A62" s="13">
        <v>86</v>
      </c>
      <c r="B62" s="8">
        <v>0.10100000000000001</v>
      </c>
      <c r="C62" s="9">
        <v>0.45</v>
      </c>
    </row>
    <row r="63" spans="1:3" x14ac:dyDescent="0.25">
      <c r="A63" s="13">
        <v>87</v>
      </c>
      <c r="B63" s="8">
        <v>0.10100000000000001</v>
      </c>
      <c r="C63" s="9">
        <v>0.45</v>
      </c>
    </row>
    <row r="64" spans="1:3" x14ac:dyDescent="0.25">
      <c r="A64" s="13">
        <v>88</v>
      </c>
      <c r="B64" s="8">
        <v>0.10100000000000001</v>
      </c>
      <c r="C64" s="9">
        <v>0.45</v>
      </c>
    </row>
    <row r="65" spans="1:3" x14ac:dyDescent="0.25">
      <c r="A65" s="13">
        <v>89</v>
      </c>
      <c r="B65" s="8">
        <v>0.10100000000000001</v>
      </c>
      <c r="C65" s="9">
        <v>0.45</v>
      </c>
    </row>
    <row r="66" spans="1:3" x14ac:dyDescent="0.25">
      <c r="A66" s="13">
        <v>90</v>
      </c>
      <c r="B66" s="8">
        <v>0.10100000000000001</v>
      </c>
      <c r="C66" s="9">
        <v>0.45</v>
      </c>
    </row>
    <row r="67" spans="1:3" x14ac:dyDescent="0.25">
      <c r="A67" s="13">
        <v>91</v>
      </c>
      <c r="B67" s="8">
        <v>0.10100000000000001</v>
      </c>
      <c r="C67" s="9">
        <v>0.45</v>
      </c>
    </row>
    <row r="68" spans="1:3" x14ac:dyDescent="0.25">
      <c r="A68" s="13">
        <v>92</v>
      </c>
      <c r="B68" s="8">
        <v>0.10100000000000001</v>
      </c>
      <c r="C68" s="9">
        <v>0.45</v>
      </c>
    </row>
    <row r="69" spans="1:3" x14ac:dyDescent="0.25">
      <c r="A69" s="13">
        <v>93</v>
      </c>
      <c r="B69" s="8">
        <v>0.10100000000000001</v>
      </c>
      <c r="C69" s="9">
        <v>0.45</v>
      </c>
    </row>
    <row r="70" spans="1:3" x14ac:dyDescent="0.25">
      <c r="A70" s="13">
        <v>94</v>
      </c>
      <c r="B70" s="8">
        <v>0.10100000000000001</v>
      </c>
      <c r="C70" s="9">
        <v>0.45</v>
      </c>
    </row>
    <row r="71" spans="1:3" x14ac:dyDescent="0.25">
      <c r="A71" s="13">
        <v>95</v>
      </c>
      <c r="B71" s="8">
        <v>0.10100000000000001</v>
      </c>
      <c r="C71" s="9">
        <v>0.45</v>
      </c>
    </row>
    <row r="72" spans="1:3" x14ac:dyDescent="0.25">
      <c r="A72" s="13">
        <v>96</v>
      </c>
      <c r="B72" s="8">
        <v>0.10100000000000001</v>
      </c>
      <c r="C72" s="9">
        <v>0.45</v>
      </c>
    </row>
    <row r="73" spans="1:3" x14ac:dyDescent="0.25">
      <c r="A73" s="13">
        <v>97</v>
      </c>
      <c r="B73" s="8">
        <v>0.10100000000000001</v>
      </c>
      <c r="C73" s="9">
        <v>0.45</v>
      </c>
    </row>
    <row r="74" spans="1:3" x14ac:dyDescent="0.25">
      <c r="A74" s="13">
        <v>98</v>
      </c>
      <c r="B74" s="8">
        <v>0.10100000000000001</v>
      </c>
      <c r="C74" s="9">
        <v>0.45</v>
      </c>
    </row>
    <row r="75" spans="1:3" x14ac:dyDescent="0.25">
      <c r="A75" s="13">
        <v>99</v>
      </c>
      <c r="B75" s="8">
        <v>0.10100000000000001</v>
      </c>
      <c r="C75" s="9">
        <v>0.45</v>
      </c>
    </row>
    <row r="76" spans="1:3" x14ac:dyDescent="0.25">
      <c r="A76" s="13">
        <v>100</v>
      </c>
      <c r="B76" s="8">
        <v>0</v>
      </c>
      <c r="C76" s="9">
        <v>0</v>
      </c>
    </row>
    <row r="77" spans="1:3" x14ac:dyDescent="0.25">
      <c r="A77" s="13">
        <v>101</v>
      </c>
      <c r="B77" s="8">
        <v>0</v>
      </c>
      <c r="C77" s="9">
        <v>0</v>
      </c>
    </row>
    <row r="78" spans="1:3" x14ac:dyDescent="0.25">
      <c r="A78" s="13">
        <v>102</v>
      </c>
      <c r="B78" s="8">
        <v>0</v>
      </c>
      <c r="C78" s="9">
        <v>0</v>
      </c>
    </row>
    <row r="79" spans="1:3" x14ac:dyDescent="0.25">
      <c r="A79" s="13">
        <v>103</v>
      </c>
      <c r="B79" s="8">
        <v>0</v>
      </c>
      <c r="C79" s="9">
        <v>0</v>
      </c>
    </row>
    <row r="80" spans="1:3" x14ac:dyDescent="0.25">
      <c r="A80" s="13">
        <v>104</v>
      </c>
      <c r="B80" s="8">
        <v>0</v>
      </c>
      <c r="C80" s="9">
        <v>0</v>
      </c>
    </row>
    <row r="81" spans="1:3" x14ac:dyDescent="0.25">
      <c r="A81" s="13">
        <v>105</v>
      </c>
      <c r="B81" s="8">
        <v>0</v>
      </c>
      <c r="C81" s="9">
        <v>0</v>
      </c>
    </row>
    <row r="82" spans="1:3" x14ac:dyDescent="0.25">
      <c r="A82" s="13">
        <v>106</v>
      </c>
      <c r="B82" s="8">
        <v>0</v>
      </c>
      <c r="C82" s="9">
        <v>0</v>
      </c>
    </row>
    <row r="83" spans="1:3" x14ac:dyDescent="0.25">
      <c r="A83" s="13">
        <v>107</v>
      </c>
      <c r="B83" s="8">
        <v>0</v>
      </c>
      <c r="C83" s="9">
        <v>0</v>
      </c>
    </row>
    <row r="84" spans="1:3" x14ac:dyDescent="0.25">
      <c r="A84" s="13">
        <v>108</v>
      </c>
      <c r="B84" s="8">
        <v>0</v>
      </c>
      <c r="C84" s="9">
        <v>0</v>
      </c>
    </row>
    <row r="85" spans="1:3" x14ac:dyDescent="0.25">
      <c r="A85" s="13">
        <v>109</v>
      </c>
      <c r="B85" s="8">
        <v>0</v>
      </c>
      <c r="C85" s="9">
        <v>0</v>
      </c>
    </row>
    <row r="86" spans="1:3" x14ac:dyDescent="0.25">
      <c r="A86" s="13">
        <v>110</v>
      </c>
      <c r="B86" s="8">
        <v>0</v>
      </c>
      <c r="C86" s="9">
        <v>0</v>
      </c>
    </row>
    <row r="87" spans="1:3" x14ac:dyDescent="0.25">
      <c r="A87" s="13">
        <v>111</v>
      </c>
      <c r="B87" s="8">
        <v>0</v>
      </c>
      <c r="C87" s="9">
        <v>0</v>
      </c>
    </row>
    <row r="88" spans="1:3" x14ac:dyDescent="0.25">
      <c r="A88" s="13">
        <v>112</v>
      </c>
      <c r="B88" s="8">
        <v>0</v>
      </c>
      <c r="C88" s="9">
        <v>0</v>
      </c>
    </row>
    <row r="89" spans="1:3" x14ac:dyDescent="0.25">
      <c r="A89" s="13">
        <v>113</v>
      </c>
      <c r="B89" s="8">
        <v>0</v>
      </c>
      <c r="C89" s="9">
        <v>0</v>
      </c>
    </row>
    <row r="90" spans="1:3" x14ac:dyDescent="0.25">
      <c r="A90" s="13">
        <v>114</v>
      </c>
      <c r="B90" s="8">
        <v>0</v>
      </c>
      <c r="C90" s="9">
        <v>0</v>
      </c>
    </row>
    <row r="91" spans="1:3" x14ac:dyDescent="0.25">
      <c r="A91" s="13">
        <v>115</v>
      </c>
      <c r="B91" s="8">
        <v>0</v>
      </c>
      <c r="C91" s="9">
        <v>0</v>
      </c>
    </row>
    <row r="92" spans="1:3" x14ac:dyDescent="0.25">
      <c r="A92" s="13">
        <v>116</v>
      </c>
      <c r="B92" s="8">
        <v>0</v>
      </c>
      <c r="C92" s="9">
        <v>0</v>
      </c>
    </row>
    <row r="93" spans="1:3" x14ac:dyDescent="0.25">
      <c r="A93" s="13">
        <v>117</v>
      </c>
      <c r="B93" s="8">
        <v>0</v>
      </c>
      <c r="C93" s="9">
        <v>0</v>
      </c>
    </row>
    <row r="94" spans="1:3" x14ac:dyDescent="0.25">
      <c r="A94" s="13">
        <v>118</v>
      </c>
      <c r="B94" s="8">
        <v>0</v>
      </c>
      <c r="C94" s="9">
        <v>0</v>
      </c>
    </row>
    <row r="95" spans="1:3" x14ac:dyDescent="0.25">
      <c r="A95" s="13">
        <v>119</v>
      </c>
      <c r="B95" s="8">
        <v>0</v>
      </c>
      <c r="C95" s="9">
        <v>0</v>
      </c>
    </row>
    <row r="96" spans="1:3" x14ac:dyDescent="0.25">
      <c r="A96" s="13">
        <v>120</v>
      </c>
      <c r="B96" s="8">
        <v>0</v>
      </c>
      <c r="C96" s="9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F7C6F-9641-3249-BD06-AE447B212A4E}">
  <sheetPr codeName="Sheet3"/>
  <dimension ref="A1:P73"/>
  <sheetViews>
    <sheetView topLeftCell="A13" zoomScale="89" workbookViewId="0">
      <selection activeCell="M15" sqref="M15"/>
    </sheetView>
  </sheetViews>
  <sheetFormatPr baseColWidth="10" defaultRowHeight="16" x14ac:dyDescent="0.2"/>
  <cols>
    <col min="1" max="1" width="6.6640625" customWidth="1"/>
    <col min="2" max="2" width="20.5" customWidth="1"/>
    <col min="3" max="3" width="23.6640625" customWidth="1"/>
    <col min="4" max="4" width="24" customWidth="1"/>
    <col min="5" max="5" width="24.83203125" customWidth="1"/>
    <col min="6" max="6" width="21.83203125" customWidth="1"/>
    <col min="7" max="7" width="24.83203125" customWidth="1"/>
    <col min="8" max="8" width="25.1640625" customWidth="1"/>
    <col min="9" max="14" width="24.83203125" customWidth="1"/>
    <col min="15" max="16" width="22.1640625" customWidth="1"/>
  </cols>
  <sheetData>
    <row r="1" spans="1:16" x14ac:dyDescent="0.2">
      <c r="A1" s="2"/>
      <c r="B1" s="58" t="s">
        <v>55</v>
      </c>
      <c r="C1" s="58"/>
      <c r="D1" s="58"/>
      <c r="E1" s="58"/>
      <c r="F1" s="59" t="s">
        <v>56</v>
      </c>
      <c r="G1" s="59"/>
      <c r="H1" s="59"/>
      <c r="I1" s="59"/>
      <c r="J1" s="27"/>
      <c r="K1" s="32"/>
      <c r="L1" s="32"/>
      <c r="M1" s="32"/>
      <c r="N1" s="32"/>
    </row>
    <row r="2" spans="1:16" x14ac:dyDescent="0.2">
      <c r="A2" s="1" t="s">
        <v>0</v>
      </c>
      <c r="B2" s="10" t="s">
        <v>61</v>
      </c>
      <c r="C2" s="10" t="s">
        <v>57</v>
      </c>
      <c r="D2" s="10" t="s">
        <v>58</v>
      </c>
      <c r="E2" s="10" t="s">
        <v>80</v>
      </c>
      <c r="F2" s="10" t="s">
        <v>59</v>
      </c>
      <c r="G2" s="10" t="s">
        <v>81</v>
      </c>
      <c r="H2" s="10" t="s">
        <v>82</v>
      </c>
      <c r="I2" s="10" t="s">
        <v>83</v>
      </c>
      <c r="J2" s="1" t="s">
        <v>60</v>
      </c>
      <c r="K2" s="31" t="s">
        <v>101</v>
      </c>
      <c r="L2" s="31" t="s">
        <v>97</v>
      </c>
      <c r="M2" s="31" t="s">
        <v>96</v>
      </c>
      <c r="N2" s="31" t="s">
        <v>98</v>
      </c>
      <c r="O2" s="31" t="s">
        <v>99</v>
      </c>
      <c r="P2" s="1"/>
    </row>
    <row r="3" spans="1:16" x14ac:dyDescent="0.2">
      <c r="A3" s="2">
        <v>25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3005</v>
      </c>
      <c r="K3">
        <v>0.75</v>
      </c>
      <c r="L3" s="2">
        <f>Table2[[#This Row],[Number of Indviduals]]*Table2[[#This Row],[Proportion Participating]]</f>
        <v>0</v>
      </c>
      <c r="M3" s="2">
        <f>Table2[[#This Row],[Number of Indviduals2]]*Table2[[#This Row],[Proportion Participating]]</f>
        <v>0</v>
      </c>
      <c r="N3" s="2">
        <f>Table2[[#This Row],[Number of Indviduals3]]*Table2[[#This Row],[Proportion Participating]]</f>
        <v>0</v>
      </c>
      <c r="O3" s="2">
        <f>Table2[[#This Row],[Number of Indviduals5]]*Table2[[#This Row],[Proportion Participating]]</f>
        <v>0</v>
      </c>
      <c r="P3" s="2"/>
    </row>
    <row r="4" spans="1:16" x14ac:dyDescent="0.2">
      <c r="A4" s="2">
        <v>26</v>
      </c>
      <c r="B4" s="2">
        <v>0</v>
      </c>
      <c r="C4" s="2">
        <v>412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3470</v>
      </c>
      <c r="K4">
        <v>0.75</v>
      </c>
      <c r="L4" s="2">
        <f>Table2[[#This Row],[Number of Indviduals]]*Table2[[#This Row],[Proportion Participating]]</f>
        <v>309</v>
      </c>
      <c r="M4" s="2">
        <f>Table2[[#This Row],[Number of Indviduals2]]*Table2[[#This Row],[Proportion Participating]]</f>
        <v>0</v>
      </c>
      <c r="N4" s="2">
        <f>Table2[[#This Row],[Number of Indviduals3]]*Table2[[#This Row],[Proportion Participating]]</f>
        <v>0</v>
      </c>
      <c r="O4" s="2">
        <f>Table2[[#This Row],[Number of Indviduals5]]*Table2[[#This Row],[Proportion Participating]]</f>
        <v>0</v>
      </c>
      <c r="P4" s="2"/>
    </row>
    <row r="5" spans="1:16" x14ac:dyDescent="0.2">
      <c r="A5" s="2">
        <v>27</v>
      </c>
      <c r="B5" s="2">
        <v>915000</v>
      </c>
      <c r="C5" s="2">
        <v>412</v>
      </c>
      <c r="D5" s="2">
        <v>0</v>
      </c>
      <c r="E5" s="2">
        <v>0</v>
      </c>
      <c r="F5" s="2">
        <v>926400</v>
      </c>
      <c r="G5" s="2">
        <v>507</v>
      </c>
      <c r="H5" s="2">
        <v>0</v>
      </c>
      <c r="I5" s="2">
        <v>0</v>
      </c>
      <c r="J5" s="2">
        <v>3470</v>
      </c>
      <c r="K5">
        <v>0.75</v>
      </c>
      <c r="L5" s="2">
        <f>Table2[[#This Row],[Number of Indviduals]]*Table2[[#This Row],[Proportion Participating]]</f>
        <v>309</v>
      </c>
      <c r="M5" s="2">
        <f>Table2[[#This Row],[Number of Indviduals2]]*Table2[[#This Row],[Proportion Participating]]</f>
        <v>0</v>
      </c>
      <c r="N5" s="2">
        <f>Table2[[#This Row],[Number of Indviduals3]]*Table2[[#This Row],[Proportion Participating]]</f>
        <v>380.25</v>
      </c>
      <c r="O5" s="2">
        <f>Table2[[#This Row],[Number of Indviduals5]]*Table2[[#This Row],[Proportion Participating]]</f>
        <v>0</v>
      </c>
      <c r="P5" s="2"/>
    </row>
    <row r="6" spans="1:16" x14ac:dyDescent="0.2">
      <c r="A6" s="2">
        <v>28</v>
      </c>
      <c r="B6" s="2">
        <v>1892850</v>
      </c>
      <c r="C6" s="2">
        <v>441</v>
      </c>
      <c r="D6" s="2">
        <v>0</v>
      </c>
      <c r="E6" s="2">
        <v>0</v>
      </c>
      <c r="F6" s="2">
        <v>1870050</v>
      </c>
      <c r="G6" s="2">
        <v>1023</v>
      </c>
      <c r="H6" s="2">
        <v>0</v>
      </c>
      <c r="I6" s="2">
        <v>0</v>
      </c>
      <c r="J6" s="2">
        <v>3470</v>
      </c>
      <c r="K6">
        <v>0.75</v>
      </c>
      <c r="L6" s="2">
        <f>Table2[[#This Row],[Number of Indviduals]]*Table2[[#This Row],[Proportion Participating]]</f>
        <v>330.75</v>
      </c>
      <c r="M6" s="2">
        <f>Table2[[#This Row],[Number of Indviduals2]]*Table2[[#This Row],[Proportion Participating]]</f>
        <v>0</v>
      </c>
      <c r="N6" s="2">
        <f>Table2[[#This Row],[Number of Indviduals3]]*Table2[[#This Row],[Proportion Participating]]</f>
        <v>767.25</v>
      </c>
      <c r="O6" s="2">
        <f>Table2[[#This Row],[Number of Indviduals5]]*Table2[[#This Row],[Proportion Participating]]</f>
        <v>0</v>
      </c>
      <c r="P6" s="2"/>
    </row>
    <row r="7" spans="1:16" x14ac:dyDescent="0.2">
      <c r="A7" s="2">
        <v>29</v>
      </c>
      <c r="B7" s="2">
        <v>2866200</v>
      </c>
      <c r="C7" s="2">
        <v>415</v>
      </c>
      <c r="D7" s="2">
        <v>0</v>
      </c>
      <c r="E7" s="2">
        <v>0</v>
      </c>
      <c r="F7" s="2">
        <v>2891400</v>
      </c>
      <c r="G7" s="2">
        <v>1581</v>
      </c>
      <c r="H7" s="2">
        <v>0</v>
      </c>
      <c r="I7" s="2">
        <v>0</v>
      </c>
      <c r="J7" s="2">
        <v>3470</v>
      </c>
      <c r="K7">
        <v>0.6</v>
      </c>
      <c r="L7" s="2">
        <f>Table2[[#This Row],[Number of Indviduals]]*Table2[[#This Row],[Proportion Participating]]</f>
        <v>249</v>
      </c>
      <c r="M7" s="2">
        <f>Table2[[#This Row],[Number of Indviduals2]]*Table2[[#This Row],[Proportion Participating]]</f>
        <v>0</v>
      </c>
      <c r="N7" s="2">
        <f>Table2[[#This Row],[Number of Indviduals3]]*Table2[[#This Row],[Proportion Participating]]</f>
        <v>948.59999999999991</v>
      </c>
      <c r="O7" s="2">
        <f>Table2[[#This Row],[Number of Indviduals5]]*Table2[[#This Row],[Proportion Participating]]</f>
        <v>0</v>
      </c>
      <c r="P7" s="2"/>
    </row>
    <row r="8" spans="1:16" x14ac:dyDescent="0.2">
      <c r="A8" s="2">
        <v>30</v>
      </c>
      <c r="B8" s="2">
        <v>4003200</v>
      </c>
      <c r="C8" s="2">
        <v>86</v>
      </c>
      <c r="D8" s="2">
        <v>0</v>
      </c>
      <c r="E8" s="2">
        <v>0</v>
      </c>
      <c r="F8" s="2">
        <v>3806400</v>
      </c>
      <c r="G8" s="2">
        <v>2080</v>
      </c>
      <c r="H8" s="2">
        <v>0</v>
      </c>
      <c r="I8" s="2">
        <v>0</v>
      </c>
      <c r="J8" s="2">
        <v>3470</v>
      </c>
      <c r="K8">
        <v>0.6</v>
      </c>
      <c r="L8" s="2">
        <f>Table2[[#This Row],[Number of Indviduals]]*Table2[[#This Row],[Proportion Participating]]</f>
        <v>51.6</v>
      </c>
      <c r="M8" s="2">
        <f>Table2[[#This Row],[Number of Indviduals2]]*Table2[[#This Row],[Proportion Participating]]</f>
        <v>0</v>
      </c>
      <c r="N8" s="2">
        <f>Table2[[#This Row],[Number of Indviduals3]]*Table2[[#This Row],[Proportion Participating]]</f>
        <v>1248</v>
      </c>
      <c r="O8" s="2">
        <f>Table2[[#This Row],[Number of Indviduals5]]*Table2[[#This Row],[Proportion Participating]]</f>
        <v>0</v>
      </c>
      <c r="P8" s="2"/>
    </row>
    <row r="9" spans="1:16" x14ac:dyDescent="0.2">
      <c r="A9" s="2">
        <v>31</v>
      </c>
      <c r="B9" s="2">
        <v>4922700</v>
      </c>
      <c r="C9" s="2">
        <v>464</v>
      </c>
      <c r="D9" s="2">
        <v>0</v>
      </c>
      <c r="E9" s="2">
        <v>0</v>
      </c>
      <c r="F9" s="2">
        <v>4812900</v>
      </c>
      <c r="G9" s="2">
        <v>2630</v>
      </c>
      <c r="H9" s="2">
        <v>0</v>
      </c>
      <c r="I9" s="2">
        <v>0</v>
      </c>
      <c r="J9" s="2">
        <v>3470</v>
      </c>
      <c r="K9">
        <v>0.6</v>
      </c>
      <c r="L9" s="2">
        <f>Table2[[#This Row],[Number of Indviduals]]*Table2[[#This Row],[Proportion Participating]]</f>
        <v>278.39999999999998</v>
      </c>
      <c r="M9" s="2">
        <f>Table2[[#This Row],[Number of Indviduals2]]*Table2[[#This Row],[Proportion Participating]]</f>
        <v>0</v>
      </c>
      <c r="N9" s="2">
        <f>Table2[[#This Row],[Number of Indviduals3]]*Table2[[#This Row],[Proportion Participating]]</f>
        <v>1578</v>
      </c>
      <c r="O9" s="2">
        <f>Table2[[#This Row],[Number of Indviduals5]]*Table2[[#This Row],[Proportion Participating]]</f>
        <v>0</v>
      </c>
      <c r="P9" s="2"/>
    </row>
    <row r="10" spans="1:16" x14ac:dyDescent="0.2">
      <c r="A10" s="2">
        <v>32</v>
      </c>
      <c r="B10" s="2">
        <v>5687850</v>
      </c>
      <c r="C10" s="2">
        <v>443</v>
      </c>
      <c r="D10" s="2">
        <v>0</v>
      </c>
      <c r="E10" s="2">
        <v>0</v>
      </c>
      <c r="F10" s="2">
        <v>5699250</v>
      </c>
      <c r="G10" s="2">
        <v>3115</v>
      </c>
      <c r="H10" s="2">
        <v>0</v>
      </c>
      <c r="I10" s="2">
        <v>0</v>
      </c>
      <c r="J10" s="2">
        <v>3470</v>
      </c>
      <c r="K10">
        <v>0.6</v>
      </c>
      <c r="L10" s="2">
        <f>Table2[[#This Row],[Number of Indviduals]]*Table2[[#This Row],[Proportion Participating]]</f>
        <v>265.8</v>
      </c>
      <c r="M10" s="2">
        <f>Table2[[#This Row],[Number of Indviduals2]]*Table2[[#This Row],[Proportion Participating]]</f>
        <v>0</v>
      </c>
      <c r="N10" s="2">
        <f>Table2[[#This Row],[Number of Indviduals3]]*Table2[[#This Row],[Proportion Participating]]</f>
        <v>1869</v>
      </c>
      <c r="O10" s="2">
        <f>Table2[[#This Row],[Number of Indviduals5]]*Table2[[#This Row],[Proportion Participating]]</f>
        <v>0</v>
      </c>
      <c r="P10" s="2"/>
    </row>
    <row r="11" spans="1:16" x14ac:dyDescent="0.2">
      <c r="A11" s="2">
        <v>33</v>
      </c>
      <c r="B11" s="2">
        <v>6551400</v>
      </c>
      <c r="C11" s="2">
        <v>419</v>
      </c>
      <c r="D11" s="2">
        <v>0</v>
      </c>
      <c r="E11" s="2">
        <v>0</v>
      </c>
      <c r="F11" s="2">
        <v>6529650</v>
      </c>
      <c r="G11" s="2">
        <v>3569</v>
      </c>
      <c r="H11" s="2">
        <v>0</v>
      </c>
      <c r="I11" s="2">
        <v>0</v>
      </c>
      <c r="J11" s="2">
        <v>3470</v>
      </c>
      <c r="K11">
        <v>0.6</v>
      </c>
      <c r="L11" s="2">
        <f>Table2[[#This Row],[Number of Indviduals]]*Table2[[#This Row],[Proportion Participating]]</f>
        <v>251.39999999999998</v>
      </c>
      <c r="M11" s="2">
        <f>Table2[[#This Row],[Number of Indviduals2]]*Table2[[#This Row],[Proportion Participating]]</f>
        <v>0</v>
      </c>
      <c r="N11" s="2">
        <f>Table2[[#This Row],[Number of Indviduals3]]*Table2[[#This Row],[Proportion Participating]]</f>
        <v>2141.4</v>
      </c>
      <c r="O11" s="2">
        <f>Table2[[#This Row],[Number of Indviduals5]]*Table2[[#This Row],[Proportion Participating]]</f>
        <v>0</v>
      </c>
      <c r="P11" s="2"/>
    </row>
    <row r="12" spans="1:16" x14ac:dyDescent="0.2">
      <c r="A12" s="2">
        <v>34</v>
      </c>
      <c r="B12" s="2">
        <v>7699800</v>
      </c>
      <c r="C12" s="2">
        <v>489</v>
      </c>
      <c r="D12" s="2">
        <v>0</v>
      </c>
      <c r="E12" s="2">
        <v>0</v>
      </c>
      <c r="F12" s="2">
        <v>7055850</v>
      </c>
      <c r="G12" s="2">
        <v>3856</v>
      </c>
      <c r="H12" s="2">
        <v>0</v>
      </c>
      <c r="I12" s="2">
        <v>0</v>
      </c>
      <c r="J12" s="2">
        <v>3470</v>
      </c>
      <c r="K12">
        <v>0.6</v>
      </c>
      <c r="L12" s="2">
        <f>Table2[[#This Row],[Number of Indviduals]]*Table2[[#This Row],[Proportion Participating]]</f>
        <v>293.39999999999998</v>
      </c>
      <c r="M12" s="2">
        <f>Table2[[#This Row],[Number of Indviduals2]]*Table2[[#This Row],[Proportion Participating]]</f>
        <v>0</v>
      </c>
      <c r="N12" s="2">
        <f>Table2[[#This Row],[Number of Indviduals3]]*Table2[[#This Row],[Proportion Participating]]</f>
        <v>2313.6</v>
      </c>
      <c r="O12" s="2">
        <f>Table2[[#This Row],[Number of Indviduals5]]*Table2[[#This Row],[Proportion Participating]]</f>
        <v>0</v>
      </c>
      <c r="P12" s="2"/>
    </row>
    <row r="13" spans="1:16" x14ac:dyDescent="0.2">
      <c r="A13" s="2">
        <v>35</v>
      </c>
      <c r="B13" s="2">
        <v>8326500</v>
      </c>
      <c r="C13" s="2">
        <v>455</v>
      </c>
      <c r="D13" s="2">
        <v>0</v>
      </c>
      <c r="E13" s="2">
        <v>0</v>
      </c>
      <c r="F13" s="2">
        <v>7927350</v>
      </c>
      <c r="G13" s="2">
        <v>4333</v>
      </c>
      <c r="H13" s="2">
        <v>0</v>
      </c>
      <c r="I13" s="2">
        <v>0</v>
      </c>
      <c r="J13" s="2">
        <v>3470</v>
      </c>
      <c r="K13">
        <v>0.6</v>
      </c>
      <c r="L13" s="2">
        <f>Table2[[#This Row],[Number of Indviduals]]*Table2[[#This Row],[Proportion Participating]]</f>
        <v>273</v>
      </c>
      <c r="M13" s="2">
        <f>Table2[[#This Row],[Number of Indviduals2]]*Table2[[#This Row],[Proportion Participating]]</f>
        <v>0</v>
      </c>
      <c r="N13" s="2">
        <f>Table2[[#This Row],[Number of Indviduals3]]*Table2[[#This Row],[Proportion Participating]]</f>
        <v>2599.7999999999997</v>
      </c>
      <c r="O13" s="2">
        <f>Table2[[#This Row],[Number of Indviduals5]]*Table2[[#This Row],[Proportion Participating]]</f>
        <v>0</v>
      </c>
      <c r="P13" s="2"/>
    </row>
    <row r="14" spans="1:16" x14ac:dyDescent="0.2">
      <c r="A14" s="2">
        <v>36</v>
      </c>
      <c r="B14" s="2">
        <v>9028800</v>
      </c>
      <c r="C14" s="2">
        <v>457</v>
      </c>
      <c r="D14" s="2">
        <v>1064850</v>
      </c>
      <c r="E14" s="2">
        <v>566</v>
      </c>
      <c r="F14" s="2">
        <v>8586150</v>
      </c>
      <c r="G14" s="2">
        <v>4693</v>
      </c>
      <c r="H14" s="2">
        <v>820050</v>
      </c>
      <c r="I14" s="2">
        <v>449</v>
      </c>
      <c r="J14" s="2">
        <v>3470</v>
      </c>
      <c r="K14">
        <v>0.6</v>
      </c>
      <c r="L14" s="2">
        <f>Table2[[#This Row],[Number of Indviduals]]*Table2[[#This Row],[Proportion Participating]]</f>
        <v>274.2</v>
      </c>
      <c r="M14" s="2">
        <f>Table2[[#This Row],[Number of Indviduals2]]*Table2[[#This Row],[Proportion Participating]]</f>
        <v>339.59999999999997</v>
      </c>
      <c r="N14" s="2">
        <f>Table2[[#This Row],[Number of Indviduals3]]*Table2[[#This Row],[Proportion Participating]]</f>
        <v>2815.7999999999997</v>
      </c>
      <c r="O14" s="2">
        <f>Table2[[#This Row],[Number of Indviduals5]]*Table2[[#This Row],[Proportion Participating]]</f>
        <v>269.39999999999998</v>
      </c>
      <c r="P14" s="2"/>
    </row>
    <row r="15" spans="1:16" x14ac:dyDescent="0.2">
      <c r="A15" s="2">
        <v>37</v>
      </c>
      <c r="B15" s="2">
        <v>10090200</v>
      </c>
      <c r="C15" s="2">
        <v>68</v>
      </c>
      <c r="D15" s="2">
        <v>1903200</v>
      </c>
      <c r="E15" s="2">
        <v>510</v>
      </c>
      <c r="F15" s="2">
        <v>9204900</v>
      </c>
      <c r="G15" s="2">
        <v>5031</v>
      </c>
      <c r="H15" s="2">
        <v>1592100</v>
      </c>
      <c r="I15" s="2">
        <v>870</v>
      </c>
      <c r="J15" s="2">
        <v>3470</v>
      </c>
      <c r="K15">
        <v>0.6</v>
      </c>
      <c r="L15" s="2">
        <f>Table2[[#This Row],[Number of Indviduals]]*Table2[[#This Row],[Proportion Participating]]</f>
        <v>40.799999999999997</v>
      </c>
      <c r="M15" s="2">
        <f>Table2[[#This Row],[Number of Indviduals2]]*Table2[[#This Row],[Proportion Participating]]</f>
        <v>306</v>
      </c>
      <c r="N15" s="2">
        <f>Table2[[#This Row],[Number of Indviduals3]]*Table2[[#This Row],[Proportion Participating]]</f>
        <v>3018.6</v>
      </c>
      <c r="O15" s="2">
        <f>Table2[[#This Row],[Number of Indviduals5]]*Table2[[#This Row],[Proportion Participating]]</f>
        <v>522</v>
      </c>
      <c r="P15" s="2"/>
    </row>
    <row r="16" spans="1:16" x14ac:dyDescent="0.2">
      <c r="A16" s="2">
        <v>38</v>
      </c>
      <c r="B16" s="2">
        <v>10957200</v>
      </c>
      <c r="C16" s="2">
        <v>484</v>
      </c>
      <c r="D16" s="2">
        <v>3027450</v>
      </c>
      <c r="E16" s="2">
        <v>546</v>
      </c>
      <c r="F16" s="2">
        <v>9841950</v>
      </c>
      <c r="G16" s="2">
        <v>5379</v>
      </c>
      <c r="H16" s="2">
        <v>2392800</v>
      </c>
      <c r="I16" s="2">
        <v>1308</v>
      </c>
      <c r="J16" s="2">
        <v>3470</v>
      </c>
      <c r="K16">
        <v>0.6</v>
      </c>
      <c r="L16" s="2">
        <f>Table2[[#This Row],[Number of Indviduals]]*Table2[[#This Row],[Proportion Participating]]</f>
        <v>290.39999999999998</v>
      </c>
      <c r="M16" s="2">
        <f>Table2[[#This Row],[Number of Indviduals2]]*Table2[[#This Row],[Proportion Participating]]</f>
        <v>327.59999999999997</v>
      </c>
      <c r="N16" s="2">
        <f>Table2[[#This Row],[Number of Indviduals3]]*Table2[[#This Row],[Proportion Participating]]</f>
        <v>3227.4</v>
      </c>
      <c r="O16" s="2">
        <f>Table2[[#This Row],[Number of Indviduals5]]*Table2[[#This Row],[Proportion Participating]]</f>
        <v>784.8</v>
      </c>
      <c r="P16" s="2"/>
    </row>
    <row r="17" spans="1:16" x14ac:dyDescent="0.2">
      <c r="A17" s="2">
        <v>39</v>
      </c>
      <c r="B17" s="2">
        <v>11620500</v>
      </c>
      <c r="C17" s="2">
        <v>458</v>
      </c>
      <c r="D17" s="2">
        <v>3875100</v>
      </c>
      <c r="E17" s="2">
        <v>544</v>
      </c>
      <c r="F17" s="2">
        <v>10768350</v>
      </c>
      <c r="G17" s="2">
        <v>5885</v>
      </c>
      <c r="H17" s="2">
        <v>3125850</v>
      </c>
      <c r="I17" s="2">
        <v>1709</v>
      </c>
      <c r="J17" s="2">
        <v>3470</v>
      </c>
      <c r="K17">
        <v>0.6</v>
      </c>
      <c r="L17" s="2">
        <f>Table2[[#This Row],[Number of Indviduals]]*Table2[[#This Row],[Proportion Participating]]</f>
        <v>274.8</v>
      </c>
      <c r="M17" s="2">
        <f>Table2[[#This Row],[Number of Indviduals2]]*Table2[[#This Row],[Proportion Participating]]</f>
        <v>326.39999999999998</v>
      </c>
      <c r="N17" s="2">
        <f>Table2[[#This Row],[Number of Indviduals3]]*Table2[[#This Row],[Proportion Participating]]</f>
        <v>3531</v>
      </c>
      <c r="O17" s="2">
        <f>Table2[[#This Row],[Number of Indviduals5]]*Table2[[#This Row],[Proportion Participating]]</f>
        <v>1025.3999999999999</v>
      </c>
      <c r="P17" s="2"/>
    </row>
    <row r="18" spans="1:16" x14ac:dyDescent="0.2">
      <c r="A18" s="2">
        <v>40</v>
      </c>
      <c r="B18" s="2">
        <v>12457800</v>
      </c>
      <c r="C18" s="2">
        <v>457</v>
      </c>
      <c r="D18" s="2">
        <v>4859850</v>
      </c>
      <c r="E18" s="2">
        <v>556</v>
      </c>
      <c r="F18" s="2">
        <v>11510700</v>
      </c>
      <c r="G18" s="2">
        <v>6291</v>
      </c>
      <c r="H18" s="2">
        <v>3908250</v>
      </c>
      <c r="I18" s="2">
        <v>2136</v>
      </c>
      <c r="J18" s="2">
        <v>3470</v>
      </c>
      <c r="K18">
        <v>0.6</v>
      </c>
      <c r="L18" s="2">
        <f>Table2[[#This Row],[Number of Indviduals]]*Table2[[#This Row],[Proportion Participating]]</f>
        <v>274.2</v>
      </c>
      <c r="M18" s="2">
        <f>Table2[[#This Row],[Number of Indviduals2]]*Table2[[#This Row],[Proportion Participating]]</f>
        <v>333.59999999999997</v>
      </c>
      <c r="N18" s="2">
        <f>Table2[[#This Row],[Number of Indviduals3]]*Table2[[#This Row],[Proportion Participating]]</f>
        <v>3774.6</v>
      </c>
      <c r="O18" s="2">
        <f>Table2[[#This Row],[Number of Indviduals5]]*Table2[[#This Row],[Proportion Participating]]</f>
        <v>1281.5999999999999</v>
      </c>
      <c r="P18" s="2"/>
    </row>
    <row r="19" spans="1:16" x14ac:dyDescent="0.2">
      <c r="A19" s="2">
        <v>41</v>
      </c>
      <c r="B19" s="2">
        <v>13264050</v>
      </c>
      <c r="C19" s="2">
        <v>458</v>
      </c>
      <c r="D19" s="2">
        <v>5530050</v>
      </c>
      <c r="E19" s="2">
        <v>545</v>
      </c>
      <c r="F19" s="2">
        <v>12063150</v>
      </c>
      <c r="G19" s="2">
        <v>6593</v>
      </c>
      <c r="H19" s="2">
        <v>4428600</v>
      </c>
      <c r="I19" s="2">
        <v>2420</v>
      </c>
      <c r="J19" s="2">
        <v>3470</v>
      </c>
      <c r="K19">
        <v>0.6</v>
      </c>
      <c r="L19" s="2">
        <f>Table2[[#This Row],[Number of Indviduals]]*Table2[[#This Row],[Proportion Participating]]</f>
        <v>274.8</v>
      </c>
      <c r="M19" s="2">
        <f>Table2[[#This Row],[Number of Indviduals2]]*Table2[[#This Row],[Proportion Participating]]</f>
        <v>327</v>
      </c>
      <c r="N19" s="2">
        <f>Table2[[#This Row],[Number of Indviduals3]]*Table2[[#This Row],[Proportion Participating]]</f>
        <v>3955.7999999999997</v>
      </c>
      <c r="O19" s="2">
        <f>Table2[[#This Row],[Number of Indviduals5]]*Table2[[#This Row],[Proportion Participating]]</f>
        <v>1452</v>
      </c>
      <c r="P19" s="2"/>
    </row>
    <row r="20" spans="1:16" x14ac:dyDescent="0.2">
      <c r="A20" s="2">
        <v>42</v>
      </c>
      <c r="B20" s="2">
        <v>13915950</v>
      </c>
      <c r="C20" s="2">
        <v>443</v>
      </c>
      <c r="D20" s="2">
        <v>6456450</v>
      </c>
      <c r="E20" s="2">
        <v>563</v>
      </c>
      <c r="F20" s="2">
        <v>12337650</v>
      </c>
      <c r="G20" s="2">
        <v>6743</v>
      </c>
      <c r="H20" s="2">
        <v>4856400</v>
      </c>
      <c r="I20" s="2">
        <v>2654</v>
      </c>
      <c r="J20" s="2">
        <v>3470</v>
      </c>
      <c r="K20">
        <v>0.6</v>
      </c>
      <c r="L20" s="2">
        <f>Table2[[#This Row],[Number of Indviduals]]*Table2[[#This Row],[Proportion Participating]]</f>
        <v>265.8</v>
      </c>
      <c r="M20" s="2">
        <f>Table2[[#This Row],[Number of Indviduals2]]*Table2[[#This Row],[Proportion Participating]]</f>
        <v>337.8</v>
      </c>
      <c r="N20" s="2">
        <f>Table2[[#This Row],[Number of Indviduals3]]*Table2[[#This Row],[Proportion Participating]]</f>
        <v>4045.7999999999997</v>
      </c>
      <c r="O20" s="2">
        <f>Table2[[#This Row],[Number of Indviduals5]]*Table2[[#This Row],[Proportion Participating]]</f>
        <v>1592.3999999999999</v>
      </c>
      <c r="P20" s="2"/>
    </row>
    <row r="21" spans="1:16" x14ac:dyDescent="0.2">
      <c r="A21" s="2">
        <v>43</v>
      </c>
      <c r="B21" s="2">
        <v>14347200</v>
      </c>
      <c r="C21" s="2">
        <v>523</v>
      </c>
      <c r="D21" s="2">
        <v>6998550</v>
      </c>
      <c r="E21" s="2">
        <v>553</v>
      </c>
      <c r="F21" s="2">
        <v>12843150</v>
      </c>
      <c r="G21" s="2">
        <v>7019</v>
      </c>
      <c r="H21" s="2">
        <v>5401950</v>
      </c>
      <c r="I21" s="2">
        <v>2953</v>
      </c>
      <c r="J21" s="2">
        <v>3470</v>
      </c>
      <c r="K21">
        <v>0.6</v>
      </c>
      <c r="L21" s="2">
        <f>Table2[[#This Row],[Number of Indviduals]]*Table2[[#This Row],[Proportion Participating]]</f>
        <v>313.8</v>
      </c>
      <c r="M21" s="2">
        <f>Table2[[#This Row],[Number of Indviduals2]]*Table2[[#This Row],[Proportion Participating]]</f>
        <v>331.8</v>
      </c>
      <c r="N21" s="2">
        <f>Table2[[#This Row],[Number of Indviduals3]]*Table2[[#This Row],[Proportion Participating]]</f>
        <v>4211.3999999999996</v>
      </c>
      <c r="O21" s="2">
        <f>Table2[[#This Row],[Number of Indviduals5]]*Table2[[#This Row],[Proportion Participating]]</f>
        <v>1771.8</v>
      </c>
      <c r="P21" s="2"/>
    </row>
    <row r="22" spans="1:16" x14ac:dyDescent="0.2">
      <c r="A22" s="2">
        <v>44</v>
      </c>
      <c r="B22" s="2">
        <v>15243900</v>
      </c>
      <c r="C22" s="2">
        <v>448</v>
      </c>
      <c r="D22" s="2">
        <v>7682550</v>
      </c>
      <c r="E22" s="2">
        <v>584</v>
      </c>
      <c r="F22" s="2">
        <v>13124550</v>
      </c>
      <c r="G22" s="2">
        <v>7173</v>
      </c>
      <c r="H22" s="2">
        <v>5969250</v>
      </c>
      <c r="I22" s="2">
        <v>3263</v>
      </c>
      <c r="J22" s="2">
        <v>3470</v>
      </c>
      <c r="K22">
        <v>0.6</v>
      </c>
      <c r="L22" s="2">
        <f>Table2[[#This Row],[Number of Indviduals]]*Table2[[#This Row],[Proportion Participating]]</f>
        <v>268.8</v>
      </c>
      <c r="M22" s="2">
        <f>Table2[[#This Row],[Number of Indviduals2]]*Table2[[#This Row],[Proportion Participating]]</f>
        <v>350.4</v>
      </c>
      <c r="N22" s="2">
        <f>Table2[[#This Row],[Number of Indviduals3]]*Table2[[#This Row],[Proportion Participating]]</f>
        <v>4303.8</v>
      </c>
      <c r="O22" s="2">
        <f>Table2[[#This Row],[Number of Indviduals5]]*Table2[[#This Row],[Proportion Participating]]</f>
        <v>1957.8</v>
      </c>
      <c r="P22" s="2"/>
    </row>
    <row r="23" spans="1:16" x14ac:dyDescent="0.2">
      <c r="A23" s="2">
        <v>45</v>
      </c>
      <c r="B23" s="2">
        <v>15847800</v>
      </c>
      <c r="C23" s="2">
        <v>480</v>
      </c>
      <c r="D23" s="2">
        <v>8070300</v>
      </c>
      <c r="E23" s="2">
        <v>580</v>
      </c>
      <c r="F23" s="2">
        <v>13860000</v>
      </c>
      <c r="G23" s="2">
        <v>7574</v>
      </c>
      <c r="H23" s="2">
        <v>6170550</v>
      </c>
      <c r="I23" s="2">
        <v>3372</v>
      </c>
      <c r="J23" s="2">
        <v>3470</v>
      </c>
      <c r="K23">
        <v>0.6</v>
      </c>
      <c r="L23" s="2">
        <f>Table2[[#This Row],[Number of Indviduals]]*Table2[[#This Row],[Proportion Participating]]</f>
        <v>288</v>
      </c>
      <c r="M23" s="2">
        <f>Table2[[#This Row],[Number of Indviduals2]]*Table2[[#This Row],[Proportion Participating]]</f>
        <v>348</v>
      </c>
      <c r="N23" s="2">
        <f>Table2[[#This Row],[Number of Indviduals3]]*Table2[[#This Row],[Proportion Participating]]</f>
        <v>4544.3999999999996</v>
      </c>
      <c r="O23" s="2">
        <f>Table2[[#This Row],[Number of Indviduals5]]*Table2[[#This Row],[Proportion Participating]]</f>
        <v>2023.1999999999998</v>
      </c>
      <c r="P23" s="2"/>
    </row>
    <row r="24" spans="1:16" x14ac:dyDescent="0.2">
      <c r="A24" s="2">
        <v>46</v>
      </c>
      <c r="B24" s="2">
        <v>26982830</v>
      </c>
      <c r="C24" s="2">
        <v>468</v>
      </c>
      <c r="D24" s="2">
        <v>14800555</v>
      </c>
      <c r="E24" s="2">
        <v>567</v>
      </c>
      <c r="F24" s="2">
        <v>23377500</v>
      </c>
      <c r="G24" s="2">
        <v>7501</v>
      </c>
      <c r="H24" s="2">
        <v>11444585</v>
      </c>
      <c r="I24" s="2">
        <v>3673</v>
      </c>
      <c r="J24" s="2">
        <v>5215</v>
      </c>
      <c r="K24">
        <v>0.6</v>
      </c>
      <c r="L24" s="2">
        <f>Table2[[#This Row],[Number of Indviduals]]*Table2[[#This Row],[Proportion Participating]]</f>
        <v>280.8</v>
      </c>
      <c r="M24" s="2">
        <f>Table2[[#This Row],[Number of Indviduals2]]*Table2[[#This Row],[Proportion Participating]]</f>
        <v>340.2</v>
      </c>
      <c r="N24" s="2">
        <f>Table2[[#This Row],[Number of Indviduals3]]*Table2[[#This Row],[Proportion Participating]]</f>
        <v>4500.5999999999995</v>
      </c>
      <c r="O24" s="2">
        <f>Table2[[#This Row],[Number of Indviduals5]]*Table2[[#This Row],[Proportion Participating]]</f>
        <v>2203.7999999999997</v>
      </c>
      <c r="P24" s="2"/>
    </row>
    <row r="25" spans="1:16" x14ac:dyDescent="0.2">
      <c r="A25" s="2">
        <v>47</v>
      </c>
      <c r="B25" s="2">
        <v>26878930</v>
      </c>
      <c r="C25" s="2">
        <v>514</v>
      </c>
      <c r="D25" s="2">
        <v>15761630</v>
      </c>
      <c r="E25" s="2">
        <v>575</v>
      </c>
      <c r="F25" s="2">
        <v>22915145</v>
      </c>
      <c r="G25" s="2">
        <v>7353</v>
      </c>
      <c r="H25" s="2">
        <v>11995255</v>
      </c>
      <c r="I25" s="2">
        <v>3849</v>
      </c>
      <c r="J25" s="2">
        <v>5215</v>
      </c>
      <c r="K25">
        <v>0.6</v>
      </c>
      <c r="L25" s="2">
        <f>Table2[[#This Row],[Number of Indviduals]]*Table2[[#This Row],[Proportion Participating]]</f>
        <v>308.39999999999998</v>
      </c>
      <c r="M25" s="2">
        <f>Table2[[#This Row],[Number of Indviduals2]]*Table2[[#This Row],[Proportion Participating]]</f>
        <v>345</v>
      </c>
      <c r="N25" s="2">
        <f>Table2[[#This Row],[Number of Indviduals3]]*Table2[[#This Row],[Proportion Participating]]</f>
        <v>4411.8</v>
      </c>
      <c r="O25" s="2">
        <f>Table2[[#This Row],[Number of Indviduals5]]*Table2[[#This Row],[Proportion Participating]]</f>
        <v>2309.4</v>
      </c>
      <c r="P25" s="2"/>
    </row>
    <row r="26" spans="1:16" x14ac:dyDescent="0.2">
      <c r="A26" s="2">
        <v>48</v>
      </c>
      <c r="B26" s="2">
        <v>26998415</v>
      </c>
      <c r="C26" s="2">
        <v>541</v>
      </c>
      <c r="D26" s="2">
        <v>16696730</v>
      </c>
      <c r="E26" s="2">
        <v>573</v>
      </c>
      <c r="F26" s="2">
        <v>23154115</v>
      </c>
      <c r="G26" s="2">
        <v>7429</v>
      </c>
      <c r="H26" s="2">
        <v>12462805</v>
      </c>
      <c r="I26" s="2">
        <v>3999</v>
      </c>
      <c r="J26" s="2">
        <v>5215</v>
      </c>
      <c r="K26">
        <v>0.6</v>
      </c>
      <c r="L26" s="2">
        <f>Table2[[#This Row],[Number of Indviduals]]*Table2[[#This Row],[Proportion Participating]]</f>
        <v>324.59999999999997</v>
      </c>
      <c r="M26" s="2">
        <f>Table2[[#This Row],[Number of Indviduals2]]*Table2[[#This Row],[Proportion Participating]]</f>
        <v>343.8</v>
      </c>
      <c r="N26" s="2">
        <f>Table2[[#This Row],[Number of Indviduals3]]*Table2[[#This Row],[Proportion Participating]]</f>
        <v>4457.3999999999996</v>
      </c>
      <c r="O26" s="2">
        <f>Table2[[#This Row],[Number of Indviduals5]]*Table2[[#This Row],[Proportion Participating]]</f>
        <v>2399.4</v>
      </c>
      <c r="P26" s="2"/>
    </row>
    <row r="27" spans="1:16" x14ac:dyDescent="0.2">
      <c r="A27" s="2">
        <v>49</v>
      </c>
      <c r="B27" s="2">
        <v>26936075</v>
      </c>
      <c r="C27" s="2">
        <v>483</v>
      </c>
      <c r="D27" s="2">
        <v>17626635</v>
      </c>
      <c r="E27" s="2">
        <v>540</v>
      </c>
      <c r="F27" s="2">
        <v>23143725</v>
      </c>
      <c r="G27" s="2">
        <v>7425</v>
      </c>
      <c r="H27" s="2">
        <v>13158935</v>
      </c>
      <c r="I27" s="2">
        <v>4223</v>
      </c>
      <c r="J27" s="2">
        <v>5215</v>
      </c>
      <c r="K27">
        <v>0.6</v>
      </c>
      <c r="L27" s="2">
        <f>Table2[[#This Row],[Number of Indviduals]]*Table2[[#This Row],[Proportion Participating]]</f>
        <v>289.8</v>
      </c>
      <c r="M27" s="2">
        <f>Table2[[#This Row],[Number of Indviduals2]]*Table2[[#This Row],[Proportion Participating]]</f>
        <v>324</v>
      </c>
      <c r="N27" s="2">
        <f>Table2[[#This Row],[Number of Indviduals3]]*Table2[[#This Row],[Proportion Participating]]</f>
        <v>4455</v>
      </c>
      <c r="O27" s="2">
        <f>Table2[[#This Row],[Number of Indviduals5]]*Table2[[#This Row],[Proportion Participating]]</f>
        <v>2533.7999999999997</v>
      </c>
      <c r="P27" s="2"/>
    </row>
    <row r="28" spans="1:16" x14ac:dyDescent="0.2">
      <c r="A28" s="2">
        <v>50</v>
      </c>
      <c r="B28" s="2">
        <v>26219165</v>
      </c>
      <c r="C28" s="2">
        <v>493</v>
      </c>
      <c r="D28" s="2">
        <v>18109770</v>
      </c>
      <c r="E28" s="2">
        <v>629</v>
      </c>
      <c r="F28" s="2">
        <v>23180090</v>
      </c>
      <c r="G28" s="2">
        <v>7438</v>
      </c>
      <c r="H28" s="2">
        <v>13091400</v>
      </c>
      <c r="I28" s="2">
        <v>4201</v>
      </c>
      <c r="J28" s="2">
        <v>5215</v>
      </c>
      <c r="K28">
        <v>0.6</v>
      </c>
      <c r="L28" s="2">
        <f>Table2[[#This Row],[Number of Indviduals]]*Table2[[#This Row],[Proportion Participating]]</f>
        <v>295.8</v>
      </c>
      <c r="M28" s="2">
        <f>Table2[[#This Row],[Number of Indviduals2]]*Table2[[#This Row],[Proportion Participating]]</f>
        <v>377.4</v>
      </c>
      <c r="N28" s="2">
        <f>Table2[[#This Row],[Number of Indviduals3]]*Table2[[#This Row],[Proportion Participating]]</f>
        <v>4462.8</v>
      </c>
      <c r="O28" s="2">
        <f>Table2[[#This Row],[Number of Indviduals5]]*Table2[[#This Row],[Proportion Participating]]</f>
        <v>2520.6</v>
      </c>
      <c r="P28" s="2"/>
    </row>
    <row r="29" spans="1:16" x14ac:dyDescent="0.2">
      <c r="A29" s="2">
        <v>51</v>
      </c>
      <c r="B29" s="2">
        <v>26811395</v>
      </c>
      <c r="C29" s="2">
        <v>515</v>
      </c>
      <c r="D29" s="2">
        <v>18452640</v>
      </c>
      <c r="E29" s="2">
        <v>566</v>
      </c>
      <c r="F29" s="2">
        <v>23424255</v>
      </c>
      <c r="G29" s="2">
        <v>7515</v>
      </c>
      <c r="H29" s="2">
        <v>14057670</v>
      </c>
      <c r="I29" s="2">
        <v>4510</v>
      </c>
      <c r="J29" s="2">
        <v>5215</v>
      </c>
      <c r="K29">
        <v>0.6</v>
      </c>
      <c r="L29" s="2">
        <f>Table2[[#This Row],[Number of Indviduals]]*Table2[[#This Row],[Proportion Participating]]</f>
        <v>309</v>
      </c>
      <c r="M29" s="2">
        <f>Table2[[#This Row],[Number of Indviduals2]]*Table2[[#This Row],[Proportion Participating]]</f>
        <v>339.59999999999997</v>
      </c>
      <c r="N29" s="2">
        <f>Table2[[#This Row],[Number of Indviduals3]]*Table2[[#This Row],[Proportion Participating]]</f>
        <v>4509</v>
      </c>
      <c r="O29" s="2">
        <f>Table2[[#This Row],[Number of Indviduals5]]*Table2[[#This Row],[Proportion Participating]]</f>
        <v>2706</v>
      </c>
      <c r="P29" s="2"/>
    </row>
    <row r="30" spans="1:16" x14ac:dyDescent="0.2">
      <c r="A30" s="2">
        <v>52</v>
      </c>
      <c r="B30" s="2">
        <v>26421770</v>
      </c>
      <c r="C30" s="2">
        <v>506</v>
      </c>
      <c r="D30" s="2">
        <v>19429300</v>
      </c>
      <c r="E30" s="2">
        <v>599</v>
      </c>
      <c r="F30" s="2">
        <v>23476205</v>
      </c>
      <c r="G30" s="2">
        <v>7532</v>
      </c>
      <c r="H30" s="2">
        <v>13938185</v>
      </c>
      <c r="I30" s="2">
        <v>4473</v>
      </c>
      <c r="J30" s="2">
        <v>5215</v>
      </c>
      <c r="K30">
        <v>0.6</v>
      </c>
      <c r="L30" s="2">
        <f>Table2[[#This Row],[Number of Indviduals]]*Table2[[#This Row],[Proportion Participating]]</f>
        <v>303.59999999999997</v>
      </c>
      <c r="M30" s="2">
        <f>Table2[[#This Row],[Number of Indviduals2]]*Table2[[#This Row],[Proportion Participating]]</f>
        <v>359.4</v>
      </c>
      <c r="N30" s="2">
        <f>Table2[[#This Row],[Number of Indviduals3]]*Table2[[#This Row],[Proportion Participating]]</f>
        <v>4519.2</v>
      </c>
      <c r="O30" s="2">
        <f>Table2[[#This Row],[Number of Indviduals5]]*Table2[[#This Row],[Proportion Participating]]</f>
        <v>2683.7999999999997</v>
      </c>
      <c r="P30" s="2"/>
    </row>
    <row r="31" spans="1:16" x14ac:dyDescent="0.2">
      <c r="A31" s="2">
        <v>53</v>
      </c>
      <c r="B31" s="2">
        <v>26681520</v>
      </c>
      <c r="C31" s="2">
        <v>492</v>
      </c>
      <c r="D31" s="2">
        <v>19481250</v>
      </c>
      <c r="E31" s="2">
        <v>559</v>
      </c>
      <c r="F31" s="2">
        <v>23496985</v>
      </c>
      <c r="G31" s="2">
        <v>7539</v>
      </c>
      <c r="H31" s="2">
        <v>14073255</v>
      </c>
      <c r="I31" s="2">
        <v>4516</v>
      </c>
      <c r="J31" s="2">
        <v>5215</v>
      </c>
      <c r="K31">
        <v>0.6</v>
      </c>
      <c r="L31" s="2">
        <f>Table2[[#This Row],[Number of Indviduals]]*Table2[[#This Row],[Proportion Participating]]</f>
        <v>295.2</v>
      </c>
      <c r="M31" s="2">
        <f>Table2[[#This Row],[Number of Indviduals2]]*Table2[[#This Row],[Proportion Participating]]</f>
        <v>335.4</v>
      </c>
      <c r="N31" s="2">
        <f>Table2[[#This Row],[Number of Indviduals3]]*Table2[[#This Row],[Proportion Participating]]</f>
        <v>4523.3999999999996</v>
      </c>
      <c r="O31" s="2">
        <f>Table2[[#This Row],[Number of Indviduals5]]*Table2[[#This Row],[Proportion Participating]]</f>
        <v>2709.6</v>
      </c>
      <c r="P31" s="2"/>
    </row>
    <row r="32" spans="1:16" x14ac:dyDescent="0.2">
      <c r="A32" s="2">
        <v>54</v>
      </c>
      <c r="B32" s="2">
        <v>26395795</v>
      </c>
      <c r="C32" s="2">
        <v>530</v>
      </c>
      <c r="D32" s="2">
        <v>19673465</v>
      </c>
      <c r="E32" s="2">
        <v>573</v>
      </c>
      <c r="F32" s="2">
        <v>23538545</v>
      </c>
      <c r="G32" s="2">
        <v>7552</v>
      </c>
      <c r="H32" s="2">
        <v>14307030</v>
      </c>
      <c r="I32" s="2">
        <v>4590</v>
      </c>
      <c r="J32" s="2">
        <v>5215</v>
      </c>
      <c r="K32">
        <v>0.6</v>
      </c>
      <c r="L32" s="2">
        <f>Table2[[#This Row],[Number of Indviduals]]*Table2[[#This Row],[Proportion Participating]]</f>
        <v>318</v>
      </c>
      <c r="M32" s="2">
        <f>Table2[[#This Row],[Number of Indviduals2]]*Table2[[#This Row],[Proportion Participating]]</f>
        <v>343.8</v>
      </c>
      <c r="N32" s="2">
        <f>Table2[[#This Row],[Number of Indviduals3]]*Table2[[#This Row],[Proportion Participating]]</f>
        <v>4531.2</v>
      </c>
      <c r="O32" s="2">
        <f>Table2[[#This Row],[Number of Indviduals5]]*Table2[[#This Row],[Proportion Participating]]</f>
        <v>2754</v>
      </c>
      <c r="P32" s="2"/>
    </row>
    <row r="33" spans="1:16" x14ac:dyDescent="0.2">
      <c r="A33" s="2">
        <v>55</v>
      </c>
      <c r="B33" s="2">
        <v>26219165</v>
      </c>
      <c r="C33" s="2">
        <v>506</v>
      </c>
      <c r="D33" s="2">
        <v>20296865</v>
      </c>
      <c r="E33" s="2">
        <v>544</v>
      </c>
      <c r="F33" s="2">
        <v>23226845</v>
      </c>
      <c r="G33" s="2">
        <v>7453</v>
      </c>
      <c r="H33" s="2">
        <v>15210960</v>
      </c>
      <c r="I33" s="2">
        <v>4880</v>
      </c>
      <c r="J33" s="2">
        <v>5215</v>
      </c>
      <c r="K33">
        <v>0.6</v>
      </c>
      <c r="L33" s="2">
        <f>Table2[[#This Row],[Number of Indviduals]]*Table2[[#This Row],[Proportion Participating]]</f>
        <v>303.59999999999997</v>
      </c>
      <c r="M33" s="2">
        <f>Table2[[#This Row],[Number of Indviduals2]]*Table2[[#This Row],[Proportion Participating]]</f>
        <v>326.39999999999998</v>
      </c>
      <c r="N33" s="2">
        <f>Table2[[#This Row],[Number of Indviduals3]]*Table2[[#This Row],[Proportion Participating]]</f>
        <v>4471.8</v>
      </c>
      <c r="O33" s="2">
        <f>Table2[[#This Row],[Number of Indviduals5]]*Table2[[#This Row],[Proportion Participating]]</f>
        <v>2928</v>
      </c>
      <c r="P33" s="2"/>
    </row>
    <row r="34" spans="1:16" x14ac:dyDescent="0.2">
      <c r="A34" s="2">
        <v>56</v>
      </c>
      <c r="B34" s="2">
        <v>26400990</v>
      </c>
      <c r="C34" s="2">
        <v>478</v>
      </c>
      <c r="D34" s="2">
        <v>20639735</v>
      </c>
      <c r="E34" s="2">
        <v>520</v>
      </c>
      <c r="F34" s="2">
        <v>22660590</v>
      </c>
      <c r="G34" s="2">
        <v>7270</v>
      </c>
      <c r="H34" s="2">
        <v>14946015</v>
      </c>
      <c r="I34" s="2">
        <v>4796</v>
      </c>
      <c r="J34" s="2">
        <v>5215</v>
      </c>
      <c r="K34">
        <v>0.6</v>
      </c>
      <c r="L34" s="2">
        <f>Table2[[#This Row],[Number of Indviduals]]*Table2[[#This Row],[Proportion Participating]]</f>
        <v>286.8</v>
      </c>
      <c r="M34" s="2">
        <f>Table2[[#This Row],[Number of Indviduals2]]*Table2[[#This Row],[Proportion Participating]]</f>
        <v>312</v>
      </c>
      <c r="N34" s="2">
        <f>Table2[[#This Row],[Number of Indviduals3]]*Table2[[#This Row],[Proportion Participating]]</f>
        <v>4362</v>
      </c>
      <c r="O34" s="2">
        <f>Table2[[#This Row],[Number of Indviduals5]]*Table2[[#This Row],[Proportion Participating]]</f>
        <v>2877.6</v>
      </c>
      <c r="P34" s="2"/>
    </row>
    <row r="35" spans="1:16" x14ac:dyDescent="0.2">
      <c r="A35" s="2">
        <v>57</v>
      </c>
      <c r="B35" s="2">
        <v>24302210</v>
      </c>
      <c r="C35" s="2">
        <v>0</v>
      </c>
      <c r="D35" s="2">
        <v>20920265</v>
      </c>
      <c r="E35" s="2">
        <v>553</v>
      </c>
      <c r="F35" s="2">
        <v>21476130</v>
      </c>
      <c r="G35" s="2">
        <v>6890</v>
      </c>
      <c r="H35" s="2">
        <v>15065500</v>
      </c>
      <c r="I35" s="2">
        <v>4834</v>
      </c>
      <c r="J35" s="2">
        <v>5215</v>
      </c>
      <c r="K35">
        <v>0.6</v>
      </c>
      <c r="L35" s="2">
        <f>Table2[[#This Row],[Number of Indviduals]]*Table2[[#This Row],[Proportion Participating]]</f>
        <v>0</v>
      </c>
      <c r="M35" s="2">
        <f>Table2[[#This Row],[Number of Indviduals2]]*Table2[[#This Row],[Proportion Participating]]</f>
        <v>331.8</v>
      </c>
      <c r="N35" s="2">
        <f>Table2[[#This Row],[Number of Indviduals3]]*Table2[[#This Row],[Proportion Participating]]</f>
        <v>4134</v>
      </c>
      <c r="O35" s="2">
        <f>Table2[[#This Row],[Number of Indviduals5]]*Table2[[#This Row],[Proportion Participating]]</f>
        <v>2900.4</v>
      </c>
      <c r="P35" s="2"/>
    </row>
    <row r="36" spans="1:16" x14ac:dyDescent="0.2">
      <c r="A36" s="2">
        <v>58</v>
      </c>
      <c r="B36" s="2">
        <v>23221650</v>
      </c>
      <c r="C36" s="2">
        <v>0</v>
      </c>
      <c r="D36" s="2">
        <v>20961825</v>
      </c>
      <c r="E36" s="2">
        <v>559</v>
      </c>
      <c r="F36" s="2">
        <v>19787755</v>
      </c>
      <c r="G36" s="2">
        <v>6349</v>
      </c>
      <c r="H36" s="2">
        <v>14899260</v>
      </c>
      <c r="I36" s="2">
        <v>4780</v>
      </c>
      <c r="J36" s="2">
        <v>5215</v>
      </c>
      <c r="K36">
        <v>0.6</v>
      </c>
      <c r="L36" s="2">
        <f>Table2[[#This Row],[Number of Indviduals]]*Table2[[#This Row],[Proportion Participating]]</f>
        <v>0</v>
      </c>
      <c r="M36" s="2">
        <f>Table2[[#This Row],[Number of Indviduals2]]*Table2[[#This Row],[Proportion Participating]]</f>
        <v>335.4</v>
      </c>
      <c r="N36" s="2">
        <f>Table2[[#This Row],[Number of Indviduals3]]*Table2[[#This Row],[Proportion Participating]]</f>
        <v>3809.3999999999996</v>
      </c>
      <c r="O36" s="2">
        <f>Table2[[#This Row],[Number of Indviduals5]]*Table2[[#This Row],[Proportion Participating]]</f>
        <v>2868</v>
      </c>
      <c r="P36" s="2"/>
    </row>
    <row r="37" spans="1:16" x14ac:dyDescent="0.2">
      <c r="A37" s="2">
        <v>59</v>
      </c>
      <c r="B37" s="2">
        <v>21315085</v>
      </c>
      <c r="C37" s="2">
        <v>0</v>
      </c>
      <c r="D37" s="2">
        <v>21081310</v>
      </c>
      <c r="E37" s="2">
        <v>579</v>
      </c>
      <c r="F37" s="2">
        <v>18203280</v>
      </c>
      <c r="G37" s="2">
        <v>5840</v>
      </c>
      <c r="H37" s="2">
        <v>15164205</v>
      </c>
      <c r="I37" s="2">
        <v>4865</v>
      </c>
      <c r="J37" s="2">
        <v>5215</v>
      </c>
      <c r="K37">
        <v>0.6</v>
      </c>
      <c r="L37" s="2">
        <f>Table2[[#This Row],[Number of Indviduals]]*Table2[[#This Row],[Proportion Participating]]</f>
        <v>0</v>
      </c>
      <c r="M37" s="2">
        <f>Table2[[#This Row],[Number of Indviduals2]]*Table2[[#This Row],[Proportion Participating]]</f>
        <v>347.4</v>
      </c>
      <c r="N37" s="2">
        <f>Table2[[#This Row],[Number of Indviduals3]]*Table2[[#This Row],[Proportion Participating]]</f>
        <v>3504</v>
      </c>
      <c r="O37" s="2">
        <f>Table2[[#This Row],[Number of Indviduals5]]*Table2[[#This Row],[Proportion Participating]]</f>
        <v>2919</v>
      </c>
      <c r="P37" s="2"/>
    </row>
    <row r="38" spans="1:16" x14ac:dyDescent="0.2">
      <c r="A38" s="2">
        <v>60</v>
      </c>
      <c r="B38" s="2">
        <v>19538395</v>
      </c>
      <c r="C38" s="2">
        <v>0</v>
      </c>
      <c r="D38" s="2">
        <v>20863120</v>
      </c>
      <c r="E38" s="2">
        <v>574</v>
      </c>
      <c r="F38" s="2">
        <v>16909725</v>
      </c>
      <c r="G38" s="2">
        <v>5426</v>
      </c>
      <c r="H38" s="2">
        <v>14930430</v>
      </c>
      <c r="I38" s="2">
        <v>4791</v>
      </c>
      <c r="J38" s="2">
        <v>5215</v>
      </c>
      <c r="K38">
        <v>0.6</v>
      </c>
      <c r="L38" s="2">
        <f>Table2[[#This Row],[Number of Indviduals]]*Table2[[#This Row],[Proportion Participating]]</f>
        <v>0</v>
      </c>
      <c r="M38" s="2">
        <f>Table2[[#This Row],[Number of Indviduals2]]*Table2[[#This Row],[Proportion Participating]]</f>
        <v>344.4</v>
      </c>
      <c r="N38" s="2">
        <f>Table2[[#This Row],[Number of Indviduals3]]*Table2[[#This Row],[Proportion Participating]]</f>
        <v>3255.6</v>
      </c>
      <c r="O38" s="2">
        <f>Table2[[#This Row],[Number of Indviduals5]]*Table2[[#This Row],[Proportion Participating]]</f>
        <v>2874.6</v>
      </c>
      <c r="P38" s="2"/>
    </row>
    <row r="39" spans="1:16" x14ac:dyDescent="0.2">
      <c r="A39" s="2">
        <v>61</v>
      </c>
      <c r="B39" s="2">
        <v>17517540</v>
      </c>
      <c r="C39" s="2">
        <v>0</v>
      </c>
      <c r="D39" s="2">
        <v>20805975</v>
      </c>
      <c r="E39" s="2">
        <v>541</v>
      </c>
      <c r="F39" s="2">
        <v>14623925</v>
      </c>
      <c r="G39" s="2">
        <v>4692</v>
      </c>
      <c r="H39" s="2">
        <v>15273300</v>
      </c>
      <c r="I39" s="2">
        <v>4901</v>
      </c>
      <c r="J39" s="2">
        <v>5215</v>
      </c>
      <c r="K39">
        <v>0.6</v>
      </c>
      <c r="L39" s="2">
        <f>Table2[[#This Row],[Number of Indviduals]]*Table2[[#This Row],[Proportion Participating]]</f>
        <v>0</v>
      </c>
      <c r="M39" s="2">
        <f>Table2[[#This Row],[Number of Indviduals2]]*Table2[[#This Row],[Proportion Participating]]</f>
        <v>324.59999999999997</v>
      </c>
      <c r="N39" s="2">
        <f>Table2[[#This Row],[Number of Indviduals3]]*Table2[[#This Row],[Proportion Participating]]</f>
        <v>2815.2</v>
      </c>
      <c r="O39" s="2">
        <f>Table2[[#This Row],[Number of Indviduals5]]*Table2[[#This Row],[Proportion Participating]]</f>
        <v>2940.6</v>
      </c>
      <c r="P39" s="2"/>
    </row>
    <row r="40" spans="1:16" x14ac:dyDescent="0.2">
      <c r="A40" s="2">
        <v>62</v>
      </c>
      <c r="B40" s="2">
        <v>16151255</v>
      </c>
      <c r="C40" s="2">
        <v>0</v>
      </c>
      <c r="D40" s="2">
        <v>20385180</v>
      </c>
      <c r="E40" s="2">
        <v>566</v>
      </c>
      <c r="F40" s="2">
        <v>13127765</v>
      </c>
      <c r="G40" s="2">
        <v>4212</v>
      </c>
      <c r="H40" s="2">
        <v>15387590</v>
      </c>
      <c r="I40" s="2">
        <v>4938</v>
      </c>
      <c r="J40" s="2">
        <v>5215</v>
      </c>
      <c r="K40">
        <v>0.6</v>
      </c>
      <c r="L40" s="2">
        <f>Table2[[#This Row],[Number of Indviduals]]*Table2[[#This Row],[Proportion Participating]]</f>
        <v>0</v>
      </c>
      <c r="M40" s="2">
        <f>Table2[[#This Row],[Number of Indviduals2]]*Table2[[#This Row],[Proportion Participating]]</f>
        <v>339.59999999999997</v>
      </c>
      <c r="N40" s="2">
        <f>Table2[[#This Row],[Number of Indviduals3]]*Table2[[#This Row],[Proportion Participating]]</f>
        <v>2527.1999999999998</v>
      </c>
      <c r="O40" s="2">
        <f>Table2[[#This Row],[Number of Indviduals5]]*Table2[[#This Row],[Proportion Participating]]</f>
        <v>2962.7999999999997</v>
      </c>
      <c r="P40" s="2"/>
    </row>
    <row r="41" spans="1:16" x14ac:dyDescent="0.2">
      <c r="A41" s="2">
        <v>63</v>
      </c>
      <c r="B41" s="2">
        <v>14639510</v>
      </c>
      <c r="C41" s="2">
        <v>0</v>
      </c>
      <c r="D41" s="2">
        <v>20369595</v>
      </c>
      <c r="E41" s="2">
        <v>555</v>
      </c>
      <c r="F41" s="2">
        <v>12125130</v>
      </c>
      <c r="G41" s="2">
        <v>3891</v>
      </c>
      <c r="H41" s="2">
        <v>15107060</v>
      </c>
      <c r="I41" s="2">
        <v>4847</v>
      </c>
      <c r="J41" s="2">
        <v>5215</v>
      </c>
      <c r="K41">
        <v>0.6</v>
      </c>
      <c r="L41" s="2">
        <f>Table2[[#This Row],[Number of Indviduals]]*Table2[[#This Row],[Proportion Participating]]</f>
        <v>0</v>
      </c>
      <c r="M41" s="2">
        <f>Table2[[#This Row],[Number of Indviduals2]]*Table2[[#This Row],[Proportion Participating]]</f>
        <v>333</v>
      </c>
      <c r="N41" s="2">
        <f>Table2[[#This Row],[Number of Indviduals3]]*Table2[[#This Row],[Proportion Participating]]</f>
        <v>2334.6</v>
      </c>
      <c r="O41" s="2">
        <f>Table2[[#This Row],[Number of Indviduals5]]*Table2[[#This Row],[Proportion Participating]]</f>
        <v>2908.2</v>
      </c>
      <c r="P41" s="2"/>
    </row>
    <row r="42" spans="1:16" x14ac:dyDescent="0.2">
      <c r="A42" s="2">
        <v>64</v>
      </c>
      <c r="B42" s="2">
        <v>13371930</v>
      </c>
      <c r="C42" s="2">
        <v>0</v>
      </c>
      <c r="D42" s="2">
        <v>20354010</v>
      </c>
      <c r="E42" s="2">
        <v>553</v>
      </c>
      <c r="F42" s="2">
        <v>10727675</v>
      </c>
      <c r="G42" s="2">
        <v>3442</v>
      </c>
      <c r="H42" s="2">
        <v>14956405</v>
      </c>
      <c r="I42" s="2">
        <v>4799</v>
      </c>
      <c r="J42" s="2">
        <v>5215</v>
      </c>
      <c r="K42">
        <v>0.6</v>
      </c>
      <c r="L42" s="2">
        <f>Table2[[#This Row],[Number of Indviduals]]*Table2[[#This Row],[Proportion Participating]]</f>
        <v>0</v>
      </c>
      <c r="M42" s="2">
        <f>Table2[[#This Row],[Number of Indviduals2]]*Table2[[#This Row],[Proportion Participating]]</f>
        <v>331.8</v>
      </c>
      <c r="N42" s="2">
        <f>Table2[[#This Row],[Number of Indviduals3]]*Table2[[#This Row],[Proportion Participating]]</f>
        <v>2065.1999999999998</v>
      </c>
      <c r="O42" s="2">
        <f>Table2[[#This Row],[Number of Indviduals5]]*Table2[[#This Row],[Proportion Participating]]</f>
        <v>2879.4</v>
      </c>
      <c r="P42" s="2"/>
    </row>
    <row r="43" spans="1:16" x14ac:dyDescent="0.2">
      <c r="A43" s="2">
        <v>65</v>
      </c>
      <c r="B43" s="2">
        <v>11839405</v>
      </c>
      <c r="C43" s="2">
        <v>0</v>
      </c>
      <c r="D43" s="2">
        <v>20115040</v>
      </c>
      <c r="E43" s="2">
        <v>550</v>
      </c>
      <c r="F43" s="2">
        <v>9153590</v>
      </c>
      <c r="G43" s="2">
        <v>2937</v>
      </c>
      <c r="H43" s="2">
        <v>15314860</v>
      </c>
      <c r="I43" s="2">
        <v>4914</v>
      </c>
      <c r="J43" s="2">
        <v>5215</v>
      </c>
      <c r="K43">
        <v>0.6</v>
      </c>
      <c r="L43" s="2">
        <f>Table2[[#This Row],[Number of Indviduals]]*Table2[[#This Row],[Proportion Participating]]</f>
        <v>0</v>
      </c>
      <c r="M43" s="2">
        <f>Table2[[#This Row],[Number of Indviduals2]]*Table2[[#This Row],[Proportion Participating]]</f>
        <v>330</v>
      </c>
      <c r="N43" s="2">
        <f>Table2[[#This Row],[Number of Indviduals3]]*Table2[[#This Row],[Proportion Participating]]</f>
        <v>1762.2</v>
      </c>
      <c r="O43" s="2">
        <f>Table2[[#This Row],[Number of Indviduals5]]*Table2[[#This Row],[Proportion Participating]]</f>
        <v>2948.4</v>
      </c>
      <c r="P43" s="2"/>
    </row>
    <row r="44" spans="1:16" x14ac:dyDescent="0.2">
      <c r="A44" s="2">
        <v>66</v>
      </c>
      <c r="B44" s="2">
        <v>6243930</v>
      </c>
      <c r="C44" s="2">
        <v>0</v>
      </c>
      <c r="D44" s="2">
        <v>12594560</v>
      </c>
      <c r="E44" s="2">
        <v>522</v>
      </c>
      <c r="F44" s="2">
        <v>5119730</v>
      </c>
      <c r="G44" s="2">
        <v>2630</v>
      </c>
      <c r="H44" s="2">
        <v>9164430</v>
      </c>
      <c r="I44" s="2">
        <v>4708</v>
      </c>
      <c r="J44" s="2">
        <v>3430</v>
      </c>
      <c r="K44">
        <v>0.6</v>
      </c>
      <c r="L44" s="2">
        <f>Table2[[#This Row],[Number of Indviduals]]*Table2[[#This Row],[Proportion Participating]]</f>
        <v>0</v>
      </c>
      <c r="M44" s="2">
        <f>Table2[[#This Row],[Number of Indviduals2]]*Table2[[#This Row],[Proportion Participating]]</f>
        <v>313.2</v>
      </c>
      <c r="N44" s="2">
        <f>Table2[[#This Row],[Number of Indviduals3]]*Table2[[#This Row],[Proportion Participating]]</f>
        <v>1578</v>
      </c>
      <c r="O44" s="2">
        <f>Table2[[#This Row],[Number of Indviduals5]]*Table2[[#This Row],[Proportion Participating]]</f>
        <v>2824.7999999999997</v>
      </c>
      <c r="P44" s="2"/>
    </row>
    <row r="45" spans="1:16" x14ac:dyDescent="0.2">
      <c r="A45" s="2">
        <v>67</v>
      </c>
      <c r="B45" s="2">
        <v>5651360</v>
      </c>
      <c r="C45" s="2">
        <v>0</v>
      </c>
      <c r="D45" s="2">
        <v>11527890</v>
      </c>
      <c r="E45" s="2">
        <v>0</v>
      </c>
      <c r="F45" s="2">
        <v>4474690</v>
      </c>
      <c r="G45" s="2">
        <v>2299</v>
      </c>
      <c r="H45" s="2">
        <v>8514330</v>
      </c>
      <c r="I45" s="2">
        <v>4374</v>
      </c>
      <c r="J45" s="2">
        <v>3430</v>
      </c>
      <c r="K45">
        <v>0.6</v>
      </c>
      <c r="L45" s="2">
        <f>Table2[[#This Row],[Number of Indviduals]]*Table2[[#This Row],[Proportion Participating]]</f>
        <v>0</v>
      </c>
      <c r="M45" s="2">
        <f>Table2[[#This Row],[Number of Indviduals2]]*Table2[[#This Row],[Proportion Participating]]</f>
        <v>0</v>
      </c>
      <c r="N45" s="2">
        <f>Table2[[#This Row],[Number of Indviduals3]]*Table2[[#This Row],[Proportion Participating]]</f>
        <v>1379.3999999999999</v>
      </c>
      <c r="O45" s="2">
        <f>Table2[[#This Row],[Number of Indviduals5]]*Table2[[#This Row],[Proportion Participating]]</f>
        <v>2624.4</v>
      </c>
      <c r="P45" s="2"/>
    </row>
    <row r="46" spans="1:16" x14ac:dyDescent="0.2">
      <c r="A46" s="2">
        <v>68</v>
      </c>
      <c r="B46" s="2">
        <v>4630450</v>
      </c>
      <c r="C46" s="2">
        <v>0</v>
      </c>
      <c r="D46" s="2">
        <v>10004170</v>
      </c>
      <c r="E46" s="2">
        <v>0</v>
      </c>
      <c r="F46" s="2">
        <v>3699300</v>
      </c>
      <c r="G46" s="2">
        <v>1900</v>
      </c>
      <c r="H46" s="2">
        <v>7500130</v>
      </c>
      <c r="I46" s="2">
        <v>3853</v>
      </c>
      <c r="J46" s="2">
        <v>3430</v>
      </c>
      <c r="K46">
        <v>0.6</v>
      </c>
      <c r="L46" s="2">
        <f>Table2[[#This Row],[Number of Indviduals]]*Table2[[#This Row],[Proportion Participating]]</f>
        <v>0</v>
      </c>
      <c r="M46" s="2">
        <f>Table2[[#This Row],[Number of Indviduals2]]*Table2[[#This Row],[Proportion Participating]]</f>
        <v>0</v>
      </c>
      <c r="N46" s="2">
        <f>Table2[[#This Row],[Number of Indviduals3]]*Table2[[#This Row],[Proportion Participating]]</f>
        <v>1140</v>
      </c>
      <c r="O46" s="2">
        <f>Table2[[#This Row],[Number of Indviduals5]]*Table2[[#This Row],[Proportion Participating]]</f>
        <v>2311.7999999999997</v>
      </c>
      <c r="P46" s="2"/>
    </row>
    <row r="47" spans="1:16" x14ac:dyDescent="0.2">
      <c r="A47" s="2">
        <v>69</v>
      </c>
      <c r="B47" s="2">
        <v>3756830</v>
      </c>
      <c r="C47" s="2">
        <v>0</v>
      </c>
      <c r="D47" s="2">
        <v>9350660</v>
      </c>
      <c r="E47" s="2">
        <v>0</v>
      </c>
      <c r="F47" s="2">
        <v>3072850</v>
      </c>
      <c r="G47" s="2">
        <v>1579</v>
      </c>
      <c r="H47" s="2">
        <v>6680740</v>
      </c>
      <c r="I47" s="2">
        <v>3432</v>
      </c>
      <c r="J47" s="2">
        <v>3430</v>
      </c>
      <c r="K47">
        <v>0.45</v>
      </c>
      <c r="L47" s="2">
        <f>Table2[[#This Row],[Number of Indviduals]]*Table2[[#This Row],[Proportion Participating]]</f>
        <v>0</v>
      </c>
      <c r="M47" s="2">
        <f>Table2[[#This Row],[Number of Indviduals2]]*Table2[[#This Row],[Proportion Participating]]</f>
        <v>0</v>
      </c>
      <c r="N47" s="2">
        <f>Table2[[#This Row],[Number of Indviduals3]]*Table2[[#This Row],[Proportion Participating]]</f>
        <v>710.55000000000007</v>
      </c>
      <c r="O47" s="2">
        <f>Table2[[#This Row],[Number of Indviduals5]]*Table2[[#This Row],[Proportion Participating]]</f>
        <v>1544.4</v>
      </c>
      <c r="P47" s="2"/>
    </row>
    <row r="48" spans="1:16" x14ac:dyDescent="0.2">
      <c r="A48" s="2">
        <v>70</v>
      </c>
      <c r="B48" s="2">
        <v>2967910</v>
      </c>
      <c r="C48" s="2">
        <v>0</v>
      </c>
      <c r="D48" s="2">
        <v>8328100</v>
      </c>
      <c r="E48" s="2">
        <v>0</v>
      </c>
      <c r="F48" s="2">
        <v>2526040</v>
      </c>
      <c r="G48" s="2">
        <v>1298</v>
      </c>
      <c r="H48" s="2">
        <v>6010290</v>
      </c>
      <c r="I48" s="2">
        <v>3088</v>
      </c>
      <c r="J48" s="2">
        <v>3430</v>
      </c>
      <c r="K48">
        <v>0.45</v>
      </c>
      <c r="L48" s="2">
        <f>Table2[[#This Row],[Number of Indviduals]]*Table2[[#This Row],[Proportion Participating]]</f>
        <v>0</v>
      </c>
      <c r="M48" s="2">
        <f>Table2[[#This Row],[Number of Indviduals2]]*Table2[[#This Row],[Proportion Participating]]</f>
        <v>0</v>
      </c>
      <c r="N48" s="2">
        <f>Table2[[#This Row],[Number of Indviduals3]]*Table2[[#This Row],[Proportion Participating]]</f>
        <v>584.1</v>
      </c>
      <c r="O48" s="2">
        <f>Table2[[#This Row],[Number of Indviduals5]]*Table2[[#This Row],[Proportion Participating]]</f>
        <v>1389.6000000000001</v>
      </c>
      <c r="P48" s="2"/>
    </row>
    <row r="49" spans="1:16" x14ac:dyDescent="0.2">
      <c r="A49" s="2">
        <v>71</v>
      </c>
      <c r="B49" s="2">
        <v>2436280</v>
      </c>
      <c r="C49" s="2">
        <v>0</v>
      </c>
      <c r="D49" s="2">
        <v>7549300</v>
      </c>
      <c r="E49" s="2">
        <v>0</v>
      </c>
      <c r="F49" s="2">
        <v>1853830</v>
      </c>
      <c r="G49" s="2">
        <v>953</v>
      </c>
      <c r="H49" s="2">
        <v>5045260</v>
      </c>
      <c r="I49" s="2">
        <v>2592</v>
      </c>
      <c r="J49" s="2">
        <v>3430</v>
      </c>
      <c r="K49">
        <v>0.45</v>
      </c>
      <c r="L49" s="2">
        <f>Table2[[#This Row],[Number of Indviduals]]*Table2[[#This Row],[Proportion Participating]]</f>
        <v>0</v>
      </c>
      <c r="M49" s="2">
        <f>Table2[[#This Row],[Number of Indviduals2]]*Table2[[#This Row],[Proportion Participating]]</f>
        <v>0</v>
      </c>
      <c r="N49" s="2">
        <f>Table2[[#This Row],[Number of Indviduals3]]*Table2[[#This Row],[Proportion Participating]]</f>
        <v>428.85</v>
      </c>
      <c r="O49" s="2">
        <f>Table2[[#This Row],[Number of Indviduals5]]*Table2[[#This Row],[Proportion Participating]]</f>
        <v>1166.4000000000001</v>
      </c>
      <c r="P49" s="2"/>
    </row>
    <row r="50" spans="1:16" x14ac:dyDescent="0.2">
      <c r="A50" s="2">
        <v>72</v>
      </c>
      <c r="B50" s="2">
        <v>1713360</v>
      </c>
      <c r="C50" s="2">
        <v>0</v>
      </c>
      <c r="D50" s="2">
        <v>6381100</v>
      </c>
      <c r="E50" s="2">
        <v>0</v>
      </c>
      <c r="F50" s="2">
        <v>1310430</v>
      </c>
      <c r="G50" s="2">
        <v>674</v>
      </c>
      <c r="H50" s="2">
        <v>4586450</v>
      </c>
      <c r="I50" s="2">
        <v>2357</v>
      </c>
      <c r="J50" s="2">
        <v>3430</v>
      </c>
      <c r="K50">
        <v>0.45</v>
      </c>
      <c r="L50" s="2">
        <f>Table2[[#This Row],[Number of Indviduals]]*Table2[[#This Row],[Proportion Participating]]</f>
        <v>0</v>
      </c>
      <c r="M50" s="2">
        <f>Table2[[#This Row],[Number of Indviduals2]]*Table2[[#This Row],[Proportion Participating]]</f>
        <v>0</v>
      </c>
      <c r="N50" s="2">
        <f>Table2[[#This Row],[Number of Indviduals3]]*Table2[[#This Row],[Proportion Participating]]</f>
        <v>303.3</v>
      </c>
      <c r="O50" s="2">
        <f>Table2[[#This Row],[Number of Indviduals5]]*Table2[[#This Row],[Proportion Participating]]</f>
        <v>1060.6500000000001</v>
      </c>
      <c r="P50" s="2"/>
    </row>
    <row r="51" spans="1:16" x14ac:dyDescent="0.2">
      <c r="A51" s="2">
        <v>73</v>
      </c>
      <c r="B51" s="2">
        <v>1085260</v>
      </c>
      <c r="C51" s="2">
        <v>0</v>
      </c>
      <c r="D51" s="2">
        <v>5729240</v>
      </c>
      <c r="E51" s="2">
        <v>0</v>
      </c>
      <c r="F51" s="2">
        <v>792330</v>
      </c>
      <c r="G51" s="2">
        <v>408</v>
      </c>
      <c r="H51" s="2">
        <v>4171640</v>
      </c>
      <c r="I51" s="2">
        <v>2143</v>
      </c>
      <c r="J51" s="2">
        <v>3430</v>
      </c>
      <c r="K51">
        <v>0.45</v>
      </c>
      <c r="L51" s="2">
        <f>Table2[[#This Row],[Number of Indviduals]]*Table2[[#This Row],[Proportion Participating]]</f>
        <v>0</v>
      </c>
      <c r="M51" s="2">
        <f>Table2[[#This Row],[Number of Indviduals2]]*Table2[[#This Row],[Proportion Participating]]</f>
        <v>0</v>
      </c>
      <c r="N51" s="2">
        <f>Table2[[#This Row],[Number of Indviduals3]]*Table2[[#This Row],[Proportion Participating]]</f>
        <v>183.6</v>
      </c>
      <c r="O51" s="2">
        <f>Table2[[#This Row],[Number of Indviduals5]]*Table2[[#This Row],[Proportion Participating]]</f>
        <v>964.35</v>
      </c>
      <c r="P51" s="2"/>
    </row>
    <row r="52" spans="1:16" x14ac:dyDescent="0.2">
      <c r="A52" s="2">
        <v>74</v>
      </c>
      <c r="B52" s="2">
        <v>451990</v>
      </c>
      <c r="C52" s="2">
        <v>0</v>
      </c>
      <c r="D52" s="2">
        <v>5041850</v>
      </c>
      <c r="E52" s="2">
        <v>0</v>
      </c>
      <c r="F52" s="2">
        <v>330110</v>
      </c>
      <c r="G52" s="2">
        <v>170</v>
      </c>
      <c r="H52" s="2">
        <v>3448720</v>
      </c>
      <c r="I52" s="2">
        <v>1772</v>
      </c>
      <c r="J52" s="2">
        <v>3430</v>
      </c>
      <c r="K52">
        <v>0.45</v>
      </c>
      <c r="L52" s="2">
        <f>Table2[[#This Row],[Number of Indviduals]]*Table2[[#This Row],[Proportion Participating]]</f>
        <v>0</v>
      </c>
      <c r="M52" s="2">
        <f>Table2[[#This Row],[Number of Indviduals2]]*Table2[[#This Row],[Proportion Participating]]</f>
        <v>0</v>
      </c>
      <c r="N52" s="2">
        <f>Table2[[#This Row],[Number of Indviduals3]]*Table2[[#This Row],[Proportion Participating]]</f>
        <v>76.5</v>
      </c>
      <c r="O52" s="2">
        <f>Table2[[#This Row],[Number of Indviduals5]]*Table2[[#This Row],[Proportion Participating]]</f>
        <v>797.4</v>
      </c>
      <c r="P52" s="2"/>
    </row>
    <row r="53" spans="1:16" x14ac:dyDescent="0.2">
      <c r="A53" s="2">
        <v>75</v>
      </c>
      <c r="B53" s="2">
        <v>0</v>
      </c>
      <c r="C53" s="2">
        <v>0</v>
      </c>
      <c r="D53" s="2">
        <v>4422220</v>
      </c>
      <c r="E53" s="2">
        <v>0</v>
      </c>
      <c r="F53" s="2">
        <v>0</v>
      </c>
      <c r="G53" s="2">
        <v>0</v>
      </c>
      <c r="H53" s="2">
        <v>2978030</v>
      </c>
      <c r="I53" s="2">
        <v>1530</v>
      </c>
      <c r="J53" s="2">
        <v>3430</v>
      </c>
      <c r="K53">
        <v>0.45</v>
      </c>
      <c r="L53" s="2">
        <f>Table2[[#This Row],[Number of Indviduals]]*Table2[[#This Row],[Proportion Participating]]</f>
        <v>0</v>
      </c>
      <c r="M53" s="2">
        <f>Table2[[#This Row],[Number of Indviduals2]]*Table2[[#This Row],[Proportion Participating]]</f>
        <v>0</v>
      </c>
      <c r="N53" s="2">
        <f>Table2[[#This Row],[Number of Indviduals3]]*Table2[[#This Row],[Proportion Participating]]</f>
        <v>0</v>
      </c>
      <c r="O53" s="2">
        <f>Table2[[#This Row],[Number of Indviduals5]]*Table2[[#This Row],[Proportion Participating]]</f>
        <v>688.5</v>
      </c>
      <c r="P53" s="2"/>
    </row>
    <row r="54" spans="1:16" x14ac:dyDescent="0.2">
      <c r="A54" s="2">
        <v>76</v>
      </c>
      <c r="B54" s="2">
        <v>0</v>
      </c>
      <c r="C54" s="2">
        <v>0</v>
      </c>
      <c r="D54" s="2">
        <v>3846590</v>
      </c>
      <c r="E54" s="2">
        <v>0</v>
      </c>
      <c r="F54" s="2">
        <v>0</v>
      </c>
      <c r="G54" s="2">
        <v>0</v>
      </c>
      <c r="H54" s="2">
        <v>2570040</v>
      </c>
      <c r="I54" s="2">
        <v>1320</v>
      </c>
      <c r="J54" s="2">
        <v>3430</v>
      </c>
      <c r="K54">
        <v>0.45</v>
      </c>
      <c r="L54" s="2">
        <f>Table2[[#This Row],[Number of Indviduals]]*Table2[[#This Row],[Proportion Participating]]</f>
        <v>0</v>
      </c>
      <c r="M54" s="2">
        <f>Table2[[#This Row],[Number of Indviduals2]]*Table2[[#This Row],[Proportion Participating]]</f>
        <v>0</v>
      </c>
      <c r="N54" s="2">
        <f>Table2[[#This Row],[Number of Indviduals3]]*Table2[[#This Row],[Proportion Participating]]</f>
        <v>0</v>
      </c>
      <c r="O54" s="2">
        <f>Table2[[#This Row],[Number of Indviduals5]]*Table2[[#This Row],[Proportion Participating]]</f>
        <v>594</v>
      </c>
      <c r="P54" s="2"/>
    </row>
    <row r="55" spans="1:16" x14ac:dyDescent="0.2">
      <c r="A55" s="2">
        <v>77</v>
      </c>
      <c r="B55" s="2">
        <v>0</v>
      </c>
      <c r="C55" s="2">
        <v>0</v>
      </c>
      <c r="D55" s="2">
        <v>3345430</v>
      </c>
      <c r="E55" s="2">
        <v>0</v>
      </c>
      <c r="F55" s="2">
        <v>0</v>
      </c>
      <c r="G55" s="2">
        <v>0</v>
      </c>
      <c r="H55" s="2">
        <v>2175580</v>
      </c>
      <c r="I55" s="2">
        <v>1118</v>
      </c>
      <c r="J55" s="2">
        <v>3430</v>
      </c>
      <c r="K55">
        <v>0.45</v>
      </c>
      <c r="L55" s="2">
        <f>Table2[[#This Row],[Number of Indviduals]]*Table2[[#This Row],[Proportion Participating]]</f>
        <v>0</v>
      </c>
      <c r="M55" s="2">
        <f>Table2[[#This Row],[Number of Indviduals2]]*Table2[[#This Row],[Proportion Participating]]</f>
        <v>0</v>
      </c>
      <c r="N55" s="2">
        <f>Table2[[#This Row],[Number of Indviduals3]]*Table2[[#This Row],[Proportion Participating]]</f>
        <v>0</v>
      </c>
      <c r="O55" s="2">
        <f>Table2[[#This Row],[Number of Indviduals5]]*Table2[[#This Row],[Proportion Participating]]</f>
        <v>503.1</v>
      </c>
      <c r="P55" s="2"/>
    </row>
    <row r="56" spans="1:16" x14ac:dyDescent="0.2">
      <c r="A56" s="2">
        <v>78</v>
      </c>
      <c r="B56" s="2">
        <v>0</v>
      </c>
      <c r="C56" s="2">
        <v>0</v>
      </c>
      <c r="D56" s="2">
        <v>2639450</v>
      </c>
      <c r="E56" s="2">
        <v>0</v>
      </c>
      <c r="F56" s="2">
        <v>0</v>
      </c>
      <c r="G56" s="2">
        <v>0</v>
      </c>
      <c r="H56" s="2">
        <v>1775950</v>
      </c>
      <c r="I56" s="2">
        <v>913</v>
      </c>
      <c r="J56" s="2">
        <v>3430</v>
      </c>
      <c r="K56">
        <v>0.45</v>
      </c>
      <c r="L56" s="2">
        <f>Table2[[#This Row],[Number of Indviduals]]*Table2[[#This Row],[Proportion Participating]]</f>
        <v>0</v>
      </c>
      <c r="M56" s="2">
        <f>Table2[[#This Row],[Number of Indviduals2]]*Table2[[#This Row],[Proportion Participating]]</f>
        <v>0</v>
      </c>
      <c r="N56" s="2">
        <f>Table2[[#This Row],[Number of Indviduals3]]*Table2[[#This Row],[Proportion Participating]]</f>
        <v>0</v>
      </c>
      <c r="O56" s="2">
        <f>Table2[[#This Row],[Number of Indviduals5]]*Table2[[#This Row],[Proportion Participating]]</f>
        <v>410.85</v>
      </c>
      <c r="P56" s="2"/>
    </row>
    <row r="57" spans="1:16" x14ac:dyDescent="0.2">
      <c r="A57" s="2">
        <v>79</v>
      </c>
      <c r="B57" s="2">
        <v>0</v>
      </c>
      <c r="C57" s="2">
        <v>0</v>
      </c>
      <c r="D57" s="2">
        <v>2268640</v>
      </c>
      <c r="E57" s="2">
        <v>0</v>
      </c>
      <c r="F57" s="2">
        <v>0</v>
      </c>
      <c r="G57" s="2">
        <v>0</v>
      </c>
      <c r="H57" s="2">
        <v>1496660</v>
      </c>
      <c r="I57" s="2">
        <v>769</v>
      </c>
      <c r="J57" s="2">
        <v>3430</v>
      </c>
      <c r="K57">
        <v>0.45</v>
      </c>
      <c r="L57" s="2">
        <f>Table2[[#This Row],[Number of Indviduals]]*Table2[[#This Row],[Proportion Participating]]</f>
        <v>0</v>
      </c>
      <c r="M57" s="2">
        <f>Table2[[#This Row],[Number of Indviduals2]]*Table2[[#This Row],[Proportion Participating]]</f>
        <v>0</v>
      </c>
      <c r="N57" s="2">
        <f>Table2[[#This Row],[Number of Indviduals3]]*Table2[[#This Row],[Proportion Participating]]</f>
        <v>0</v>
      </c>
      <c r="O57" s="2">
        <f>Table2[[#This Row],[Number of Indviduals5]]*Table2[[#This Row],[Proportion Participating]]</f>
        <v>346.05</v>
      </c>
      <c r="P57" s="2"/>
    </row>
    <row r="58" spans="1:16" x14ac:dyDescent="0.2">
      <c r="A58" s="2">
        <v>80</v>
      </c>
      <c r="B58" s="2">
        <v>0</v>
      </c>
      <c r="C58" s="2">
        <v>0</v>
      </c>
      <c r="D58" s="2">
        <v>1738770</v>
      </c>
      <c r="E58" s="2">
        <v>0</v>
      </c>
      <c r="F58" s="2">
        <v>0</v>
      </c>
      <c r="G58" s="2">
        <v>0</v>
      </c>
      <c r="H58" s="2">
        <v>1217260</v>
      </c>
      <c r="I58" s="2">
        <v>626</v>
      </c>
      <c r="J58" s="2">
        <v>3430</v>
      </c>
      <c r="K58">
        <v>0.45</v>
      </c>
      <c r="L58" s="2">
        <f>Table2[[#This Row],[Number of Indviduals]]*Table2[[#This Row],[Proportion Participating]]</f>
        <v>0</v>
      </c>
      <c r="M58" s="2">
        <f>Table2[[#This Row],[Number of Indviduals2]]*Table2[[#This Row],[Proportion Participating]]</f>
        <v>0</v>
      </c>
      <c r="N58" s="2">
        <f>Table2[[#This Row],[Number of Indviduals3]]*Table2[[#This Row],[Proportion Participating]]</f>
        <v>0</v>
      </c>
      <c r="O58" s="2">
        <f>Table2[[#This Row],[Number of Indviduals5]]*Table2[[#This Row],[Proportion Participating]]</f>
        <v>281.7</v>
      </c>
      <c r="P58" s="2"/>
    </row>
    <row r="59" spans="1:16" x14ac:dyDescent="0.2">
      <c r="A59" s="2">
        <v>81</v>
      </c>
      <c r="B59" s="2">
        <v>0</v>
      </c>
      <c r="C59" s="2">
        <v>0</v>
      </c>
      <c r="D59" s="2">
        <v>1459370</v>
      </c>
      <c r="E59" s="2">
        <v>0</v>
      </c>
      <c r="F59" s="2">
        <v>0</v>
      </c>
      <c r="G59" s="2">
        <v>0</v>
      </c>
      <c r="H59" s="2">
        <v>1090320</v>
      </c>
      <c r="I59" s="2">
        <v>560</v>
      </c>
      <c r="J59" s="2">
        <v>3430</v>
      </c>
      <c r="K59">
        <v>0.45</v>
      </c>
      <c r="L59" s="2">
        <f>Table2[[#This Row],[Number of Indviduals]]*Table2[[#This Row],[Proportion Participating]]</f>
        <v>0</v>
      </c>
      <c r="M59" s="2">
        <f>Table2[[#This Row],[Number of Indviduals2]]*Table2[[#This Row],[Proportion Participating]]</f>
        <v>0</v>
      </c>
      <c r="N59" s="2">
        <f>Table2[[#This Row],[Number of Indviduals3]]*Table2[[#This Row],[Proportion Participating]]</f>
        <v>0</v>
      </c>
      <c r="O59" s="2">
        <f>Table2[[#This Row],[Number of Indviduals5]]*Table2[[#This Row],[Proportion Participating]]</f>
        <v>252</v>
      </c>
      <c r="P59" s="2"/>
    </row>
    <row r="60" spans="1:16" x14ac:dyDescent="0.2">
      <c r="A60" s="2">
        <v>82</v>
      </c>
      <c r="B60" s="2">
        <v>0</v>
      </c>
      <c r="C60" s="2">
        <v>0</v>
      </c>
      <c r="D60" s="2">
        <v>1120790</v>
      </c>
      <c r="E60" s="2">
        <v>0</v>
      </c>
      <c r="F60" s="2">
        <v>0</v>
      </c>
      <c r="G60" s="2">
        <v>0</v>
      </c>
      <c r="H60" s="2">
        <v>727980</v>
      </c>
      <c r="I60" s="2">
        <v>375</v>
      </c>
      <c r="J60" s="2">
        <v>3430</v>
      </c>
      <c r="K60">
        <v>0.45</v>
      </c>
      <c r="L60" s="2">
        <f>Table2[[#This Row],[Number of Indviduals]]*Table2[[#This Row],[Proportion Participating]]</f>
        <v>0</v>
      </c>
      <c r="M60" s="2">
        <f>Table2[[#This Row],[Number of Indviduals2]]*Table2[[#This Row],[Proportion Participating]]</f>
        <v>0</v>
      </c>
      <c r="N60" s="2">
        <f>Table2[[#This Row],[Number of Indviduals3]]*Table2[[#This Row],[Proportion Participating]]</f>
        <v>0</v>
      </c>
      <c r="O60" s="2">
        <f>Table2[[#This Row],[Number of Indviduals5]]*Table2[[#This Row],[Proportion Participating]]</f>
        <v>168.75</v>
      </c>
      <c r="P60" s="2"/>
    </row>
    <row r="61" spans="1:16" x14ac:dyDescent="0.2">
      <c r="A61" s="2">
        <v>83</v>
      </c>
      <c r="B61" s="2">
        <v>0</v>
      </c>
      <c r="C61" s="2">
        <v>0</v>
      </c>
      <c r="D61" s="2">
        <v>761860</v>
      </c>
      <c r="E61" s="2">
        <v>0</v>
      </c>
      <c r="F61" s="2">
        <v>0</v>
      </c>
      <c r="G61" s="2">
        <v>0</v>
      </c>
      <c r="H61" s="2">
        <v>575630</v>
      </c>
      <c r="I61" s="2">
        <v>297</v>
      </c>
      <c r="J61" s="2">
        <v>3430</v>
      </c>
      <c r="K61">
        <v>0.45</v>
      </c>
      <c r="L61" s="2">
        <f>Table2[[#This Row],[Number of Indviduals]]*Table2[[#This Row],[Proportion Participating]]</f>
        <v>0</v>
      </c>
      <c r="M61" s="2">
        <f>Table2[[#This Row],[Number of Indviduals2]]*Table2[[#This Row],[Proportion Participating]]</f>
        <v>0</v>
      </c>
      <c r="N61" s="2">
        <f>Table2[[#This Row],[Number of Indviduals3]]*Table2[[#This Row],[Proportion Participating]]</f>
        <v>0</v>
      </c>
      <c r="O61" s="2">
        <f>Table2[[#This Row],[Number of Indviduals5]]*Table2[[#This Row],[Proportion Participating]]</f>
        <v>133.65</v>
      </c>
      <c r="P61" s="2"/>
    </row>
    <row r="62" spans="1:16" x14ac:dyDescent="0.2">
      <c r="A62" s="2">
        <v>84</v>
      </c>
      <c r="B62" s="2">
        <v>0</v>
      </c>
      <c r="C62" s="2">
        <v>0</v>
      </c>
      <c r="D62" s="2">
        <v>563750</v>
      </c>
      <c r="E62" s="2">
        <v>0</v>
      </c>
      <c r="F62" s="2">
        <v>0</v>
      </c>
      <c r="G62" s="2">
        <v>0</v>
      </c>
      <c r="H62" s="2">
        <v>369050</v>
      </c>
      <c r="I62" s="2">
        <v>191</v>
      </c>
      <c r="J62" s="2">
        <v>3430</v>
      </c>
      <c r="K62">
        <v>0.45</v>
      </c>
      <c r="L62" s="2">
        <f>Table2[[#This Row],[Number of Indviduals]]*Table2[[#This Row],[Proportion Participating]]</f>
        <v>0</v>
      </c>
      <c r="M62" s="2">
        <f>Table2[[#This Row],[Number of Indviduals2]]*Table2[[#This Row],[Proportion Participating]]</f>
        <v>0</v>
      </c>
      <c r="N62" s="2">
        <f>Table2[[#This Row],[Number of Indviduals3]]*Table2[[#This Row],[Proportion Participating]]</f>
        <v>0</v>
      </c>
      <c r="O62" s="2">
        <f>Table2[[#This Row],[Number of Indviduals5]]*Table2[[#This Row],[Proportion Participating]]</f>
        <v>85.95</v>
      </c>
      <c r="P62" s="2"/>
    </row>
    <row r="63" spans="1:16" x14ac:dyDescent="0.2">
      <c r="A63" s="2">
        <v>85</v>
      </c>
      <c r="B63" s="2">
        <v>0</v>
      </c>
      <c r="C63" s="2">
        <v>0</v>
      </c>
      <c r="D63" s="2">
        <v>467280</v>
      </c>
      <c r="E63" s="2">
        <v>0</v>
      </c>
      <c r="F63" s="2">
        <v>0</v>
      </c>
      <c r="G63" s="2">
        <v>0</v>
      </c>
      <c r="H63" s="2">
        <v>294580</v>
      </c>
      <c r="I63" s="2">
        <v>152</v>
      </c>
      <c r="J63" s="2">
        <v>3430</v>
      </c>
      <c r="K63">
        <v>0.45</v>
      </c>
      <c r="L63" s="2">
        <f>Table2[[#This Row],[Number of Indviduals]]*Table2[[#This Row],[Proportion Participating]]</f>
        <v>0</v>
      </c>
      <c r="M63" s="2">
        <f>Table2[[#This Row],[Number of Indviduals2]]*Table2[[#This Row],[Proportion Participating]]</f>
        <v>0</v>
      </c>
      <c r="N63" s="2">
        <f>Table2[[#This Row],[Number of Indviduals3]]*Table2[[#This Row],[Proportion Participating]]</f>
        <v>0</v>
      </c>
      <c r="O63" s="2">
        <f>Table2[[#This Row],[Number of Indviduals5]]*Table2[[#This Row],[Proportion Participating]]</f>
        <v>68.400000000000006</v>
      </c>
      <c r="P63" s="2"/>
    </row>
    <row r="64" spans="1:16" x14ac:dyDescent="0.2">
      <c r="A64" s="2">
        <v>86</v>
      </c>
      <c r="B64" s="2">
        <v>0</v>
      </c>
      <c r="C64" s="2">
        <v>0</v>
      </c>
      <c r="D64" s="2">
        <v>243760</v>
      </c>
      <c r="E64" s="2">
        <v>0</v>
      </c>
      <c r="F64" s="2">
        <v>0</v>
      </c>
      <c r="G64" s="2">
        <v>0</v>
      </c>
      <c r="H64" s="2">
        <v>152350</v>
      </c>
      <c r="I64" s="2">
        <v>79</v>
      </c>
      <c r="J64" s="2">
        <v>3430</v>
      </c>
      <c r="K64">
        <v>0.45</v>
      </c>
      <c r="L64" s="2">
        <f>Table2[[#This Row],[Number of Indviduals]]*Table2[[#This Row],[Proportion Participating]]</f>
        <v>0</v>
      </c>
      <c r="M64" s="2">
        <f>Table2[[#This Row],[Number of Indviduals2]]*Table2[[#This Row],[Proportion Participating]]</f>
        <v>0</v>
      </c>
      <c r="N64" s="2">
        <f>Table2[[#This Row],[Number of Indviduals3]]*Table2[[#This Row],[Proportion Participating]]</f>
        <v>0</v>
      </c>
      <c r="O64" s="2">
        <f>Table2[[#This Row],[Number of Indviduals5]]*Table2[[#This Row],[Proportion Participating]]</f>
        <v>35.550000000000004</v>
      </c>
      <c r="P64" s="2"/>
    </row>
    <row r="65" spans="1:16" x14ac:dyDescent="0.2">
      <c r="A65" s="2">
        <v>87</v>
      </c>
      <c r="B65" s="2">
        <v>0</v>
      </c>
      <c r="C65" s="2">
        <v>0</v>
      </c>
      <c r="D65" s="2">
        <v>103290</v>
      </c>
      <c r="E65" s="2">
        <v>0</v>
      </c>
      <c r="F65" s="2">
        <v>0</v>
      </c>
      <c r="G65" s="2">
        <v>0</v>
      </c>
      <c r="H65" s="2">
        <v>99880</v>
      </c>
      <c r="I65" s="2">
        <v>52</v>
      </c>
      <c r="J65" s="2">
        <v>3430</v>
      </c>
      <c r="K65">
        <v>0.45</v>
      </c>
      <c r="L65" s="2">
        <f>Table2[[#This Row],[Number of Indviduals]]*Table2[[#This Row],[Proportion Participating]]</f>
        <v>0</v>
      </c>
      <c r="M65" s="2">
        <f>Table2[[#This Row],[Number of Indviduals2]]*Table2[[#This Row],[Proportion Participating]]</f>
        <v>0</v>
      </c>
      <c r="N65" s="2">
        <f>Table2[[#This Row],[Number of Indviduals3]]*Table2[[#This Row],[Proportion Participating]]</f>
        <v>0</v>
      </c>
      <c r="O65" s="2">
        <f>Table2[[#This Row],[Number of Indviduals5]]*Table2[[#This Row],[Proportion Participating]]</f>
        <v>23.400000000000002</v>
      </c>
      <c r="P65" s="2"/>
    </row>
    <row r="66" spans="1:16" x14ac:dyDescent="0.2">
      <c r="A66" s="2">
        <v>88</v>
      </c>
      <c r="B66" s="2">
        <v>0</v>
      </c>
      <c r="C66" s="2">
        <v>0</v>
      </c>
      <c r="D66" s="2">
        <v>57530</v>
      </c>
      <c r="E66" s="2">
        <v>0</v>
      </c>
      <c r="F66" s="2">
        <v>0</v>
      </c>
      <c r="G66" s="2">
        <v>0</v>
      </c>
      <c r="H66" s="2">
        <v>35530</v>
      </c>
      <c r="I66" s="2">
        <v>19</v>
      </c>
      <c r="J66" s="2">
        <v>3430</v>
      </c>
      <c r="K66">
        <v>0.45</v>
      </c>
      <c r="L66" s="2">
        <f>Table2[[#This Row],[Number of Indviduals]]*Table2[[#This Row],[Proportion Participating]]</f>
        <v>0</v>
      </c>
      <c r="M66" s="2">
        <f>Table2[[#This Row],[Number of Indviduals2]]*Table2[[#This Row],[Proportion Participating]]</f>
        <v>0</v>
      </c>
      <c r="N66" s="2">
        <f>Table2[[#This Row],[Number of Indviduals3]]*Table2[[#This Row],[Proportion Participating]]</f>
        <v>0</v>
      </c>
      <c r="O66" s="2">
        <f>Table2[[#This Row],[Number of Indviduals5]]*Table2[[#This Row],[Proportion Participating]]</f>
        <v>8.5500000000000007</v>
      </c>
      <c r="P66" s="2"/>
    </row>
    <row r="67" spans="1:16" x14ac:dyDescent="0.2">
      <c r="A67" s="2">
        <v>89</v>
      </c>
      <c r="B67" s="2">
        <v>0</v>
      </c>
      <c r="C67" s="2">
        <v>0</v>
      </c>
      <c r="D67" s="2">
        <v>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3430</v>
      </c>
      <c r="K67">
        <v>0.45</v>
      </c>
      <c r="L67" s="2">
        <f>Table2[[#This Row],[Number of Indviduals]]*Table2[[#This Row],[Proportion Participating]]</f>
        <v>0</v>
      </c>
      <c r="M67" s="2">
        <f>Table2[[#This Row],[Number of Indviduals2]]*Table2[[#This Row],[Proportion Participating]]</f>
        <v>0</v>
      </c>
      <c r="N67" s="2">
        <f>Table2[[#This Row],[Number of Indviduals3]]*Table2[[#This Row],[Proportion Participating]]</f>
        <v>0</v>
      </c>
      <c r="O67" s="2">
        <f>Table2[[#This Row],[Number of Indviduals5]]*Table2[[#This Row],[Proportion Participating]]</f>
        <v>0</v>
      </c>
      <c r="P67" s="2"/>
    </row>
    <row r="68" spans="1:16" x14ac:dyDescent="0.2">
      <c r="A68" s="2">
        <v>90</v>
      </c>
      <c r="B68" s="2">
        <v>0</v>
      </c>
      <c r="C68" s="2">
        <v>0</v>
      </c>
      <c r="D68" s="2">
        <v>0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3430</v>
      </c>
      <c r="K68">
        <v>0.45</v>
      </c>
      <c r="L68" s="2">
        <f>Table2[[#This Row],[Number of Indviduals]]*Table2[[#This Row],[Proportion Participating]]</f>
        <v>0</v>
      </c>
      <c r="M68" s="2">
        <f>Table2[[#This Row],[Number of Indviduals2]]*Table2[[#This Row],[Proportion Participating]]</f>
        <v>0</v>
      </c>
      <c r="N68" s="2">
        <f>Table2[[#This Row],[Number of Indviduals3]]*Table2[[#This Row],[Proportion Participating]]</f>
        <v>0</v>
      </c>
      <c r="O68" s="2">
        <f>Table2[[#This Row],[Number of Indviduals5]]*Table2[[#This Row],[Proportion Participating]]</f>
        <v>0</v>
      </c>
      <c r="P68" s="2"/>
    </row>
    <row r="69" spans="1:16" x14ac:dyDescent="0.2">
      <c r="A69" s="2">
        <v>91</v>
      </c>
      <c r="B69" s="2">
        <v>0</v>
      </c>
      <c r="C69" s="2">
        <v>0</v>
      </c>
      <c r="D69" s="2">
        <v>0</v>
      </c>
      <c r="E69" s="2">
        <v>0</v>
      </c>
      <c r="F69" s="2">
        <v>0</v>
      </c>
      <c r="G69" s="2">
        <v>0</v>
      </c>
      <c r="H69" s="2">
        <v>0</v>
      </c>
      <c r="I69" s="2">
        <v>0</v>
      </c>
      <c r="J69" s="2">
        <v>3430</v>
      </c>
      <c r="K69">
        <v>0.45</v>
      </c>
      <c r="L69" s="2">
        <f>Table2[[#This Row],[Number of Indviduals]]*Table2[[#This Row],[Proportion Participating]]</f>
        <v>0</v>
      </c>
      <c r="M69" s="2">
        <f>Table2[[#This Row],[Number of Indviduals2]]*Table2[[#This Row],[Proportion Participating]]</f>
        <v>0</v>
      </c>
      <c r="N69" s="2">
        <f>Table2[[#This Row],[Number of Indviduals3]]*Table2[[#This Row],[Proportion Participating]]</f>
        <v>0</v>
      </c>
      <c r="O69" s="2">
        <f>Table2[[#This Row],[Number of Indviduals5]]*Table2[[#This Row],[Proportion Participating]]</f>
        <v>0</v>
      </c>
      <c r="P69" s="2"/>
    </row>
    <row r="70" spans="1:16" x14ac:dyDescent="0.2">
      <c r="A70" s="2">
        <v>92</v>
      </c>
      <c r="B70" s="2">
        <v>0</v>
      </c>
      <c r="C70" s="2">
        <v>0</v>
      </c>
      <c r="D70" s="2">
        <v>0</v>
      </c>
      <c r="E70" s="2">
        <v>0</v>
      </c>
      <c r="F70" s="2">
        <v>0</v>
      </c>
      <c r="G70" s="2">
        <v>0</v>
      </c>
      <c r="H70" s="2">
        <v>0</v>
      </c>
      <c r="I70" s="2">
        <v>0</v>
      </c>
      <c r="J70" s="2">
        <v>3430</v>
      </c>
      <c r="K70">
        <v>0.45</v>
      </c>
      <c r="L70" s="2">
        <f>Table2[[#This Row],[Number of Indviduals]]*Table2[[#This Row],[Proportion Participating]]</f>
        <v>0</v>
      </c>
      <c r="M70" s="2">
        <f>Table2[[#This Row],[Number of Indviduals2]]*Table2[[#This Row],[Proportion Participating]]</f>
        <v>0</v>
      </c>
      <c r="N70" s="2">
        <f>Table2[[#This Row],[Number of Indviduals3]]*Table2[[#This Row],[Proportion Participating]]</f>
        <v>0</v>
      </c>
      <c r="O70" s="2">
        <f>Table2[[#This Row],[Number of Indviduals5]]*Table2[[#This Row],[Proportion Participating]]</f>
        <v>0</v>
      </c>
      <c r="P70" s="2"/>
    </row>
    <row r="71" spans="1:16" x14ac:dyDescent="0.2">
      <c r="A71" s="2">
        <v>93</v>
      </c>
      <c r="B71" s="2">
        <v>0</v>
      </c>
      <c r="C71" s="2">
        <v>0</v>
      </c>
      <c r="D71" s="2">
        <v>0</v>
      </c>
      <c r="E71" s="2">
        <v>0</v>
      </c>
      <c r="F71" s="2">
        <v>0</v>
      </c>
      <c r="G71" s="2">
        <v>0</v>
      </c>
      <c r="H71" s="2">
        <v>0</v>
      </c>
      <c r="I71" s="2">
        <v>0</v>
      </c>
      <c r="J71" s="2">
        <v>3430</v>
      </c>
      <c r="K71">
        <v>0.45</v>
      </c>
      <c r="L71" s="2">
        <f>Table2[[#This Row],[Number of Indviduals]]*Table2[[#This Row],[Proportion Participating]]</f>
        <v>0</v>
      </c>
      <c r="M71" s="2">
        <f>Table2[[#This Row],[Number of Indviduals2]]*Table2[[#This Row],[Proportion Participating]]</f>
        <v>0</v>
      </c>
      <c r="N71" s="2">
        <f>Table2[[#This Row],[Number of Indviduals3]]*Table2[[#This Row],[Proportion Participating]]</f>
        <v>0</v>
      </c>
      <c r="O71" s="2">
        <f>Table2[[#This Row],[Number of Indviduals5]]*Table2[[#This Row],[Proportion Participating]]</f>
        <v>0</v>
      </c>
      <c r="P71" s="2"/>
    </row>
    <row r="72" spans="1:16" x14ac:dyDescent="0.2">
      <c r="A72" s="2">
        <v>94</v>
      </c>
      <c r="B72" s="2">
        <v>0</v>
      </c>
      <c r="C72" s="2">
        <v>0</v>
      </c>
      <c r="D72" s="2">
        <v>0</v>
      </c>
      <c r="E72" s="2">
        <v>0</v>
      </c>
      <c r="F72" s="2">
        <v>0</v>
      </c>
      <c r="G72" s="2">
        <v>0</v>
      </c>
      <c r="H72" s="2">
        <v>0</v>
      </c>
      <c r="I72" s="2">
        <v>0</v>
      </c>
      <c r="J72" s="2">
        <v>3430</v>
      </c>
      <c r="K72">
        <v>0.45</v>
      </c>
      <c r="L72" s="2">
        <f>Table2[[#This Row],[Number of Indviduals]]*Table2[[#This Row],[Proportion Participating]]</f>
        <v>0</v>
      </c>
      <c r="M72" s="2">
        <f>Table2[[#This Row],[Number of Indviduals2]]*Table2[[#This Row],[Proportion Participating]]</f>
        <v>0</v>
      </c>
      <c r="N72" s="2">
        <f>Table2[[#This Row],[Number of Indviduals3]]*Table2[[#This Row],[Proportion Participating]]</f>
        <v>0</v>
      </c>
      <c r="O72" s="2">
        <f>Table2[[#This Row],[Number of Indviduals5]]*Table2[[#This Row],[Proportion Participating]]</f>
        <v>0</v>
      </c>
      <c r="P72" s="2"/>
    </row>
    <row r="73" spans="1:16" x14ac:dyDescent="0.2">
      <c r="A73" s="2">
        <v>95</v>
      </c>
      <c r="B73" s="2">
        <v>0</v>
      </c>
      <c r="C73" s="2">
        <v>0</v>
      </c>
      <c r="D73" s="2">
        <v>0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3430</v>
      </c>
      <c r="K73">
        <v>0.45</v>
      </c>
      <c r="L73" s="2">
        <f>Table2[[#This Row],[Number of Indviduals]]*Table2[[#This Row],[Proportion Participating]]</f>
        <v>0</v>
      </c>
      <c r="M73" s="2">
        <f>Table2[[#This Row],[Number of Indviduals2]]*Table2[[#This Row],[Proportion Participating]]</f>
        <v>0</v>
      </c>
      <c r="N73" s="2">
        <f>Table2[[#This Row],[Number of Indviduals3]]*Table2[[#This Row],[Proportion Participating]]</f>
        <v>0</v>
      </c>
      <c r="O73" s="2">
        <f>Table2[[#This Row],[Number of Indviduals5]]*Table2[[#This Row],[Proportion Participating]]</f>
        <v>0</v>
      </c>
      <c r="P73" s="2"/>
    </row>
  </sheetData>
  <mergeCells count="2">
    <mergeCell ref="B1:E1"/>
    <mergeCell ref="F1:I1"/>
  </mergeCells>
  <phoneticPr fontId="16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C6FCF-5B19-6243-9382-9170D2B1E2CC}">
  <dimension ref="A1:G98"/>
  <sheetViews>
    <sheetView workbookViewId="0">
      <selection activeCell="D14" sqref="D14:D22"/>
    </sheetView>
  </sheetViews>
  <sheetFormatPr baseColWidth="10" defaultRowHeight="16" x14ac:dyDescent="0.2"/>
  <cols>
    <col min="5" max="6" width="11.5" customWidth="1"/>
  </cols>
  <sheetData>
    <row r="1" spans="1:7" ht="19" x14ac:dyDescent="0.25">
      <c r="A1" s="39" t="s">
        <v>116</v>
      </c>
      <c r="B1" s="9"/>
      <c r="C1" s="9"/>
      <c r="D1" s="9"/>
      <c r="E1" s="9"/>
      <c r="F1" s="9"/>
    </row>
    <row r="2" spans="1:7" ht="18" x14ac:dyDescent="0.2">
      <c r="A2" s="39" t="s">
        <v>0</v>
      </c>
      <c r="B2" s="39" t="s">
        <v>25</v>
      </c>
      <c r="C2" s="39" t="s">
        <v>118</v>
      </c>
      <c r="D2" s="39" t="s">
        <v>143</v>
      </c>
      <c r="E2" s="39" t="s">
        <v>144</v>
      </c>
      <c r="F2" s="39" t="s">
        <v>145</v>
      </c>
      <c r="G2" s="39"/>
    </row>
    <row r="3" spans="1:7" ht="19" x14ac:dyDescent="0.25">
      <c r="A3" s="39"/>
      <c r="B3" s="39" t="s">
        <v>23</v>
      </c>
      <c r="C3" s="39" t="s">
        <v>24</v>
      </c>
      <c r="D3" s="39" t="s">
        <v>23</v>
      </c>
      <c r="E3" s="8" t="s">
        <v>117</v>
      </c>
      <c r="F3" s="7"/>
      <c r="G3" s="8"/>
    </row>
    <row r="4" spans="1:7" ht="19" x14ac:dyDescent="0.25">
      <c r="A4" s="39">
        <v>25</v>
      </c>
      <c r="B4" s="7">
        <v>0</v>
      </c>
      <c r="C4" s="7">
        <v>0</v>
      </c>
      <c r="D4" s="7">
        <f>Table3[[#This Row],[T20]]*Table3[[#This Row],[Proportion]]</f>
        <v>0</v>
      </c>
      <c r="E4" s="7">
        <f>Table3[[#This Row],[T202]]*Table3[[#This Row],[Proportion]]</f>
        <v>0</v>
      </c>
      <c r="F4" s="9">
        <v>0.75</v>
      </c>
      <c r="G4" s="7"/>
    </row>
    <row r="5" spans="1:7" ht="19" x14ac:dyDescent="0.25">
      <c r="A5" s="39">
        <v>26</v>
      </c>
      <c r="B5" s="7">
        <v>89</v>
      </c>
      <c r="C5" s="7">
        <v>40</v>
      </c>
      <c r="D5" s="7">
        <v>0</v>
      </c>
      <c r="E5" s="7">
        <v>0</v>
      </c>
      <c r="F5" s="9">
        <v>0.75</v>
      </c>
      <c r="G5" s="7"/>
    </row>
    <row r="6" spans="1:7" ht="19" x14ac:dyDescent="0.25">
      <c r="A6" s="39">
        <v>27</v>
      </c>
      <c r="B6" s="7">
        <v>90</v>
      </c>
      <c r="C6" s="7">
        <v>43</v>
      </c>
      <c r="D6" s="7">
        <v>0</v>
      </c>
      <c r="E6" s="7">
        <v>0</v>
      </c>
      <c r="F6" s="9">
        <v>0.75</v>
      </c>
      <c r="G6" s="7"/>
    </row>
    <row r="7" spans="1:7" ht="19" x14ac:dyDescent="0.25">
      <c r="A7" s="39">
        <v>28</v>
      </c>
      <c r="B7" s="7">
        <v>103</v>
      </c>
      <c r="C7" s="7">
        <v>37</v>
      </c>
      <c r="D7" s="7">
        <v>0</v>
      </c>
      <c r="E7" s="7">
        <v>0</v>
      </c>
      <c r="F7" s="9">
        <v>0.75</v>
      </c>
      <c r="G7" s="7"/>
    </row>
    <row r="8" spans="1:7" ht="19" x14ac:dyDescent="0.25">
      <c r="A8" s="39">
        <v>29</v>
      </c>
      <c r="B8" s="7">
        <v>86</v>
      </c>
      <c r="C8" s="7">
        <v>31</v>
      </c>
      <c r="D8" s="7">
        <v>0</v>
      </c>
      <c r="E8" s="7">
        <v>0</v>
      </c>
      <c r="F8" s="9">
        <v>0.6</v>
      </c>
      <c r="G8" s="7"/>
    </row>
    <row r="9" spans="1:7" ht="19" x14ac:dyDescent="0.25">
      <c r="A9" s="39">
        <v>30</v>
      </c>
      <c r="B9" s="7">
        <v>69</v>
      </c>
      <c r="C9" s="7">
        <v>25</v>
      </c>
      <c r="D9" s="7">
        <v>0</v>
      </c>
      <c r="E9" s="7">
        <v>0</v>
      </c>
      <c r="F9" s="9">
        <v>0.6</v>
      </c>
      <c r="G9" s="7"/>
    </row>
    <row r="10" spans="1:7" ht="19" x14ac:dyDescent="0.25">
      <c r="A10" s="39">
        <v>31</v>
      </c>
      <c r="B10" s="7">
        <v>71</v>
      </c>
      <c r="C10" s="7">
        <v>33</v>
      </c>
      <c r="D10" s="7">
        <v>0</v>
      </c>
      <c r="E10" s="7">
        <v>0</v>
      </c>
      <c r="F10" s="9">
        <v>0.6</v>
      </c>
      <c r="G10" s="7"/>
    </row>
    <row r="11" spans="1:7" ht="19" x14ac:dyDescent="0.25">
      <c r="A11" s="39">
        <v>32</v>
      </c>
      <c r="B11" s="7">
        <v>70</v>
      </c>
      <c r="C11" s="7">
        <v>25</v>
      </c>
      <c r="D11" s="7">
        <v>0</v>
      </c>
      <c r="E11" s="7">
        <v>0</v>
      </c>
      <c r="F11" s="9">
        <v>0.6</v>
      </c>
      <c r="G11" s="7"/>
    </row>
    <row r="12" spans="1:7" ht="19" x14ac:dyDescent="0.25">
      <c r="A12" s="39">
        <v>33</v>
      </c>
      <c r="B12" s="7">
        <v>55</v>
      </c>
      <c r="C12" s="7">
        <v>17</v>
      </c>
      <c r="D12" s="7">
        <v>0</v>
      </c>
      <c r="E12" s="7">
        <v>0</v>
      </c>
      <c r="F12" s="9">
        <v>0.6</v>
      </c>
      <c r="G12" s="7"/>
    </row>
    <row r="13" spans="1:7" ht="19" x14ac:dyDescent="0.25">
      <c r="A13" s="39">
        <v>34</v>
      </c>
      <c r="B13" s="7">
        <v>70</v>
      </c>
      <c r="C13" s="7">
        <v>23</v>
      </c>
      <c r="D13" s="7">
        <v>0</v>
      </c>
      <c r="E13" s="7">
        <v>0</v>
      </c>
      <c r="F13" s="9">
        <v>0.6</v>
      </c>
      <c r="G13" s="7"/>
    </row>
    <row r="14" spans="1:7" ht="19" x14ac:dyDescent="0.25">
      <c r="A14" s="39">
        <v>35</v>
      </c>
      <c r="B14" s="7">
        <v>51</v>
      </c>
      <c r="C14" s="7">
        <v>20</v>
      </c>
      <c r="D14" s="7">
        <v>17</v>
      </c>
      <c r="E14" s="7">
        <v>0</v>
      </c>
      <c r="F14" s="9">
        <v>0.6</v>
      </c>
      <c r="G14" s="7"/>
    </row>
    <row r="15" spans="1:7" ht="19" x14ac:dyDescent="0.25">
      <c r="A15" s="39">
        <v>36</v>
      </c>
      <c r="B15" s="7">
        <v>68</v>
      </c>
      <c r="C15" s="7">
        <v>17</v>
      </c>
      <c r="D15" s="7">
        <v>10</v>
      </c>
      <c r="E15" s="7">
        <v>0</v>
      </c>
      <c r="F15" s="9">
        <v>0.6</v>
      </c>
      <c r="G15" s="7"/>
    </row>
    <row r="16" spans="1:7" ht="19" x14ac:dyDescent="0.25">
      <c r="A16" s="39">
        <v>37</v>
      </c>
      <c r="B16" s="7">
        <v>46</v>
      </c>
      <c r="C16" s="7">
        <v>14</v>
      </c>
      <c r="D16" s="7">
        <v>13</v>
      </c>
      <c r="E16" s="7">
        <v>0</v>
      </c>
      <c r="F16" s="9">
        <v>0.6</v>
      </c>
      <c r="G16" s="7"/>
    </row>
    <row r="17" spans="1:7" ht="19" x14ac:dyDescent="0.25">
      <c r="A17" s="39">
        <v>38</v>
      </c>
      <c r="B17" s="7">
        <v>70</v>
      </c>
      <c r="C17" s="7">
        <v>8</v>
      </c>
      <c r="D17" s="7">
        <v>8</v>
      </c>
      <c r="E17" s="7">
        <v>0</v>
      </c>
      <c r="F17" s="9">
        <v>0.6</v>
      </c>
      <c r="G17" s="7"/>
    </row>
    <row r="18" spans="1:7" ht="19" x14ac:dyDescent="0.25">
      <c r="A18" s="39">
        <v>39</v>
      </c>
      <c r="B18" s="7">
        <v>58</v>
      </c>
      <c r="C18" s="7">
        <v>8</v>
      </c>
      <c r="D18" s="7">
        <v>6</v>
      </c>
      <c r="E18" s="7">
        <v>0</v>
      </c>
      <c r="F18" s="9">
        <v>0.6</v>
      </c>
      <c r="G18" s="7"/>
    </row>
    <row r="19" spans="1:7" ht="19" x14ac:dyDescent="0.25">
      <c r="A19" s="39">
        <v>40</v>
      </c>
      <c r="B19" s="7">
        <v>52</v>
      </c>
      <c r="C19" s="7">
        <v>4</v>
      </c>
      <c r="D19" s="7">
        <v>6</v>
      </c>
      <c r="E19" s="7">
        <v>0</v>
      </c>
      <c r="F19" s="9">
        <v>0.6</v>
      </c>
      <c r="G19" s="7"/>
    </row>
    <row r="20" spans="1:7" ht="19" x14ac:dyDescent="0.25">
      <c r="A20" s="39">
        <v>41</v>
      </c>
      <c r="B20" s="7">
        <v>52</v>
      </c>
      <c r="C20" s="7">
        <v>4</v>
      </c>
      <c r="D20" s="7">
        <v>2</v>
      </c>
      <c r="E20" s="7">
        <v>0</v>
      </c>
      <c r="F20" s="9">
        <v>0.6</v>
      </c>
      <c r="G20" s="7"/>
    </row>
    <row r="21" spans="1:7" ht="19" x14ac:dyDescent="0.25">
      <c r="A21" s="39">
        <v>42</v>
      </c>
      <c r="B21" s="7">
        <v>47</v>
      </c>
      <c r="C21" s="7">
        <v>0</v>
      </c>
      <c r="D21" s="7">
        <v>5</v>
      </c>
      <c r="E21" s="7">
        <v>0</v>
      </c>
      <c r="F21" s="9">
        <v>0.6</v>
      </c>
      <c r="G21" s="7"/>
    </row>
    <row r="22" spans="1:7" ht="19" x14ac:dyDescent="0.25">
      <c r="A22" s="39">
        <v>43</v>
      </c>
      <c r="B22" s="7">
        <v>26</v>
      </c>
      <c r="C22" s="7">
        <v>2</v>
      </c>
      <c r="D22" s="7">
        <v>1</v>
      </c>
      <c r="E22" s="7">
        <v>0</v>
      </c>
      <c r="F22" s="9">
        <v>0.6</v>
      </c>
      <c r="G22" s="7"/>
    </row>
    <row r="23" spans="1:7" ht="19" x14ac:dyDescent="0.25">
      <c r="A23" s="39">
        <v>44</v>
      </c>
      <c r="B23" s="7">
        <v>44</v>
      </c>
      <c r="C23" s="7">
        <v>2</v>
      </c>
      <c r="D23" s="7">
        <v>0</v>
      </c>
      <c r="E23" s="7">
        <v>0</v>
      </c>
      <c r="F23" s="9">
        <v>0.6</v>
      </c>
      <c r="G23" s="7"/>
    </row>
    <row r="24" spans="1:7" ht="19" x14ac:dyDescent="0.25">
      <c r="A24" s="39">
        <v>45</v>
      </c>
      <c r="B24" s="7">
        <v>39</v>
      </c>
      <c r="C24" s="7">
        <v>0</v>
      </c>
      <c r="D24" s="7">
        <v>0</v>
      </c>
      <c r="E24" s="7">
        <v>0</v>
      </c>
      <c r="F24" s="9">
        <v>0.6</v>
      </c>
      <c r="G24" s="7"/>
    </row>
    <row r="25" spans="1:7" ht="19" x14ac:dyDescent="0.25">
      <c r="A25" s="39">
        <v>46</v>
      </c>
      <c r="B25" s="7">
        <v>34</v>
      </c>
      <c r="C25" s="7">
        <v>0</v>
      </c>
      <c r="D25" s="7">
        <v>0</v>
      </c>
      <c r="E25" s="7">
        <v>0</v>
      </c>
      <c r="F25" s="9">
        <v>0.6</v>
      </c>
      <c r="G25" s="7"/>
    </row>
    <row r="26" spans="1:7" ht="19" x14ac:dyDescent="0.25">
      <c r="A26" s="39">
        <v>47</v>
      </c>
      <c r="B26" s="7">
        <v>38</v>
      </c>
      <c r="C26" s="7">
        <v>0</v>
      </c>
      <c r="D26" s="7">
        <v>0</v>
      </c>
      <c r="E26" s="7">
        <v>0</v>
      </c>
      <c r="F26" s="9">
        <v>0.6</v>
      </c>
      <c r="G26" s="7"/>
    </row>
    <row r="27" spans="1:7" ht="19" x14ac:dyDescent="0.25">
      <c r="A27" s="39">
        <v>48</v>
      </c>
      <c r="B27" s="7">
        <v>35</v>
      </c>
      <c r="C27" s="7">
        <v>0</v>
      </c>
      <c r="D27" s="7">
        <v>0</v>
      </c>
      <c r="E27" s="7">
        <v>0</v>
      </c>
      <c r="F27" s="9">
        <v>0.6</v>
      </c>
      <c r="G27" s="7"/>
    </row>
    <row r="28" spans="1:7" ht="19" x14ac:dyDescent="0.25">
      <c r="A28" s="39">
        <v>49</v>
      </c>
      <c r="B28" s="7">
        <v>25</v>
      </c>
      <c r="C28" s="7">
        <v>0</v>
      </c>
      <c r="D28" s="7">
        <v>0</v>
      </c>
      <c r="E28" s="7">
        <v>0</v>
      </c>
      <c r="F28" s="9">
        <v>0.6</v>
      </c>
      <c r="G28" s="7"/>
    </row>
    <row r="29" spans="1:7" ht="19" x14ac:dyDescent="0.25">
      <c r="A29" s="39">
        <v>50</v>
      </c>
      <c r="B29" s="7">
        <v>24</v>
      </c>
      <c r="C29" s="7">
        <v>0</v>
      </c>
      <c r="D29" s="7">
        <v>0</v>
      </c>
      <c r="E29" s="7">
        <v>0</v>
      </c>
      <c r="F29" s="9">
        <v>0.6</v>
      </c>
      <c r="G29" s="7"/>
    </row>
    <row r="30" spans="1:7" ht="19" x14ac:dyDescent="0.25">
      <c r="A30" s="39">
        <v>51</v>
      </c>
      <c r="B30" s="7">
        <v>25</v>
      </c>
      <c r="C30" s="7">
        <v>0</v>
      </c>
      <c r="D30" s="7">
        <v>0</v>
      </c>
      <c r="E30" s="7">
        <v>0</v>
      </c>
      <c r="F30" s="9">
        <v>0.6</v>
      </c>
      <c r="G30" s="7"/>
    </row>
    <row r="31" spans="1:7" ht="19" x14ac:dyDescent="0.25">
      <c r="A31" s="39">
        <v>52</v>
      </c>
      <c r="B31" s="7">
        <v>15</v>
      </c>
      <c r="C31" s="7">
        <v>0</v>
      </c>
      <c r="D31" s="7">
        <v>0</v>
      </c>
      <c r="E31" s="7">
        <v>0</v>
      </c>
      <c r="F31" s="9">
        <v>0.6</v>
      </c>
      <c r="G31" s="7"/>
    </row>
    <row r="32" spans="1:7" ht="19" x14ac:dyDescent="0.25">
      <c r="A32" s="39">
        <v>53</v>
      </c>
      <c r="B32" s="7">
        <v>21</v>
      </c>
      <c r="C32" s="7">
        <v>0</v>
      </c>
      <c r="D32" s="7">
        <v>0</v>
      </c>
      <c r="E32" s="7">
        <v>0</v>
      </c>
      <c r="F32" s="9">
        <v>0.6</v>
      </c>
      <c r="G32" s="7"/>
    </row>
    <row r="33" spans="1:7" ht="19" x14ac:dyDescent="0.25">
      <c r="A33" s="39">
        <v>54</v>
      </c>
      <c r="B33" s="7">
        <v>20</v>
      </c>
      <c r="C33" s="7">
        <v>0</v>
      </c>
      <c r="D33" s="7">
        <v>0</v>
      </c>
      <c r="E33" s="7">
        <v>0</v>
      </c>
      <c r="F33" s="9">
        <v>0.6</v>
      </c>
      <c r="G33" s="7"/>
    </row>
    <row r="34" spans="1:7" ht="19" x14ac:dyDescent="0.25">
      <c r="A34" s="39">
        <v>55</v>
      </c>
      <c r="B34" s="7">
        <v>17</v>
      </c>
      <c r="C34" s="7">
        <v>0</v>
      </c>
      <c r="D34" s="7">
        <v>0</v>
      </c>
      <c r="E34" s="7">
        <v>0</v>
      </c>
      <c r="F34" s="9">
        <v>0.6</v>
      </c>
      <c r="G34" s="7"/>
    </row>
    <row r="35" spans="1:7" ht="19" x14ac:dyDescent="0.25">
      <c r="A35" s="39">
        <v>56</v>
      </c>
      <c r="B35" s="7">
        <v>0</v>
      </c>
      <c r="C35" s="7">
        <v>0</v>
      </c>
      <c r="D35" s="7">
        <v>0</v>
      </c>
      <c r="E35" s="7">
        <v>0</v>
      </c>
      <c r="F35" s="9">
        <v>0.6</v>
      </c>
      <c r="G35" s="7"/>
    </row>
    <row r="36" spans="1:7" ht="19" x14ac:dyDescent="0.25">
      <c r="A36" s="39">
        <v>57</v>
      </c>
      <c r="B36" s="7">
        <v>0</v>
      </c>
      <c r="C36" s="7">
        <v>0</v>
      </c>
      <c r="D36" s="7">
        <v>0</v>
      </c>
      <c r="E36" s="7">
        <v>0</v>
      </c>
      <c r="F36" s="9">
        <v>0.6</v>
      </c>
      <c r="G36" s="7"/>
    </row>
    <row r="37" spans="1:7" ht="19" x14ac:dyDescent="0.25">
      <c r="A37" s="39">
        <v>58</v>
      </c>
      <c r="B37" s="7">
        <v>0</v>
      </c>
      <c r="C37" s="7">
        <v>0</v>
      </c>
      <c r="D37" s="7">
        <v>0</v>
      </c>
      <c r="E37" s="7">
        <v>0</v>
      </c>
      <c r="F37" s="9">
        <v>0.6</v>
      </c>
      <c r="G37" s="7"/>
    </row>
    <row r="38" spans="1:7" ht="19" x14ac:dyDescent="0.25">
      <c r="A38" s="39">
        <v>59</v>
      </c>
      <c r="B38" s="7">
        <v>0</v>
      </c>
      <c r="C38" s="7">
        <v>0</v>
      </c>
      <c r="D38" s="7">
        <v>0</v>
      </c>
      <c r="E38" s="7">
        <v>0</v>
      </c>
      <c r="F38" s="9">
        <v>0.6</v>
      </c>
      <c r="G38" s="7"/>
    </row>
    <row r="39" spans="1:7" ht="19" x14ac:dyDescent="0.25">
      <c r="A39" s="39">
        <v>60</v>
      </c>
      <c r="B39" s="7">
        <v>0</v>
      </c>
      <c r="C39" s="7">
        <v>0</v>
      </c>
      <c r="D39" s="7">
        <v>0</v>
      </c>
      <c r="E39" s="7">
        <v>0</v>
      </c>
      <c r="F39" s="9">
        <v>0.6</v>
      </c>
      <c r="G39" s="7"/>
    </row>
    <row r="40" spans="1:7" ht="19" x14ac:dyDescent="0.25">
      <c r="A40" s="39">
        <v>61</v>
      </c>
      <c r="B40" s="7">
        <v>0</v>
      </c>
      <c r="C40" s="7">
        <v>0</v>
      </c>
      <c r="D40" s="7">
        <v>0</v>
      </c>
      <c r="E40" s="7">
        <v>0</v>
      </c>
      <c r="F40" s="9">
        <v>0.6</v>
      </c>
      <c r="G40" s="7"/>
    </row>
    <row r="41" spans="1:7" ht="19" x14ac:dyDescent="0.25">
      <c r="A41" s="39">
        <v>62</v>
      </c>
      <c r="B41" s="7">
        <v>0</v>
      </c>
      <c r="C41" s="7">
        <v>0</v>
      </c>
      <c r="D41" s="7">
        <v>0</v>
      </c>
      <c r="E41" s="7">
        <v>0</v>
      </c>
      <c r="F41" s="9">
        <v>0.6</v>
      </c>
      <c r="G41" s="7"/>
    </row>
    <row r="42" spans="1:7" ht="19" x14ac:dyDescent="0.25">
      <c r="A42" s="39">
        <v>63</v>
      </c>
      <c r="B42" s="7">
        <v>0</v>
      </c>
      <c r="C42" s="7">
        <v>0</v>
      </c>
      <c r="D42" s="7">
        <v>0</v>
      </c>
      <c r="E42" s="7">
        <v>0</v>
      </c>
      <c r="F42" s="9">
        <v>0.6</v>
      </c>
      <c r="G42" s="7"/>
    </row>
    <row r="43" spans="1:7" ht="19" x14ac:dyDescent="0.25">
      <c r="A43" s="39">
        <v>64</v>
      </c>
      <c r="B43" s="7">
        <v>0</v>
      </c>
      <c r="C43" s="7">
        <v>0</v>
      </c>
      <c r="D43" s="7">
        <v>0</v>
      </c>
      <c r="E43" s="7">
        <v>0</v>
      </c>
      <c r="F43" s="9">
        <v>0.6</v>
      </c>
      <c r="G43" s="7"/>
    </row>
    <row r="44" spans="1:7" ht="19" x14ac:dyDescent="0.25">
      <c r="A44" s="39">
        <v>65</v>
      </c>
      <c r="B44" s="7">
        <v>0</v>
      </c>
      <c r="C44" s="7">
        <v>0</v>
      </c>
      <c r="D44" s="7">
        <v>0</v>
      </c>
      <c r="E44" s="7">
        <v>0</v>
      </c>
      <c r="F44" s="9">
        <v>0.6</v>
      </c>
      <c r="G44" s="7"/>
    </row>
    <row r="45" spans="1:7" ht="19" x14ac:dyDescent="0.25">
      <c r="A45" s="39">
        <v>66</v>
      </c>
      <c r="B45" s="7">
        <v>0</v>
      </c>
      <c r="C45" s="7">
        <v>0</v>
      </c>
      <c r="D45" s="7">
        <v>0</v>
      </c>
      <c r="E45" s="7">
        <v>0</v>
      </c>
      <c r="F45" s="9">
        <v>0.6</v>
      </c>
      <c r="G45" s="7"/>
    </row>
    <row r="46" spans="1:7" ht="19" x14ac:dyDescent="0.25">
      <c r="A46" s="39">
        <v>67</v>
      </c>
      <c r="B46" s="7">
        <v>0</v>
      </c>
      <c r="C46" s="7">
        <v>0</v>
      </c>
      <c r="D46" s="7">
        <v>0</v>
      </c>
      <c r="E46" s="7">
        <v>0</v>
      </c>
      <c r="F46" s="9">
        <v>0.6</v>
      </c>
      <c r="G46" s="7"/>
    </row>
    <row r="47" spans="1:7" ht="19" x14ac:dyDescent="0.25">
      <c r="A47" s="39">
        <v>68</v>
      </c>
      <c r="B47" s="7">
        <v>0</v>
      </c>
      <c r="C47" s="7">
        <v>0</v>
      </c>
      <c r="D47" s="7">
        <v>0</v>
      </c>
      <c r="E47" s="7">
        <v>0</v>
      </c>
      <c r="F47" s="9">
        <v>0.6</v>
      </c>
      <c r="G47" s="7"/>
    </row>
    <row r="48" spans="1:7" ht="19" x14ac:dyDescent="0.25">
      <c r="A48" s="39">
        <v>69</v>
      </c>
      <c r="B48" s="7">
        <v>0</v>
      </c>
      <c r="C48" s="7">
        <v>0</v>
      </c>
      <c r="D48" s="7">
        <v>0</v>
      </c>
      <c r="E48" s="7">
        <v>0</v>
      </c>
      <c r="F48" s="9">
        <v>0.45</v>
      </c>
      <c r="G48" s="7"/>
    </row>
    <row r="49" spans="1:7" ht="19" x14ac:dyDescent="0.25">
      <c r="A49" s="39">
        <v>70</v>
      </c>
      <c r="B49" s="7">
        <v>0</v>
      </c>
      <c r="C49" s="7">
        <v>0</v>
      </c>
      <c r="D49" s="7">
        <v>0</v>
      </c>
      <c r="E49" s="7">
        <v>0</v>
      </c>
      <c r="F49" s="9">
        <v>0.45</v>
      </c>
      <c r="G49" s="7"/>
    </row>
    <row r="50" spans="1:7" ht="19" x14ac:dyDescent="0.25">
      <c r="A50" s="39">
        <v>71</v>
      </c>
      <c r="B50" s="7">
        <v>0</v>
      </c>
      <c r="C50" s="7">
        <v>0</v>
      </c>
      <c r="D50" s="7">
        <v>0</v>
      </c>
      <c r="E50" s="7">
        <v>0</v>
      </c>
      <c r="F50" s="9">
        <v>0.45</v>
      </c>
      <c r="G50" s="7"/>
    </row>
    <row r="51" spans="1:7" ht="19" x14ac:dyDescent="0.25">
      <c r="A51" s="39">
        <v>72</v>
      </c>
      <c r="B51" s="7">
        <v>0</v>
      </c>
      <c r="C51" s="7">
        <v>0</v>
      </c>
      <c r="D51" s="7">
        <v>0</v>
      </c>
      <c r="E51" s="7">
        <v>0</v>
      </c>
      <c r="F51" s="9">
        <v>0.45</v>
      </c>
      <c r="G51" s="7"/>
    </row>
    <row r="52" spans="1:7" ht="19" x14ac:dyDescent="0.25">
      <c r="A52" s="39">
        <v>73</v>
      </c>
      <c r="B52" s="7">
        <v>0</v>
      </c>
      <c r="C52" s="7">
        <v>0</v>
      </c>
      <c r="D52" s="7">
        <v>0</v>
      </c>
      <c r="E52" s="7">
        <v>0</v>
      </c>
      <c r="F52" s="9">
        <v>0.45</v>
      </c>
      <c r="G52" s="7"/>
    </row>
    <row r="53" spans="1:7" ht="19" x14ac:dyDescent="0.25">
      <c r="A53" s="39">
        <v>74</v>
      </c>
      <c r="B53" s="7">
        <v>0</v>
      </c>
      <c r="C53" s="7">
        <v>0</v>
      </c>
      <c r="D53" s="7">
        <v>0</v>
      </c>
      <c r="E53" s="7">
        <v>0</v>
      </c>
      <c r="F53" s="9">
        <v>0.45</v>
      </c>
      <c r="G53" s="7"/>
    </row>
    <row r="54" spans="1:7" ht="19" x14ac:dyDescent="0.25">
      <c r="A54" s="39">
        <v>75</v>
      </c>
      <c r="B54" s="7">
        <v>0</v>
      </c>
      <c r="C54" s="7">
        <v>0</v>
      </c>
      <c r="D54" s="7">
        <v>0</v>
      </c>
      <c r="E54" s="7">
        <v>0</v>
      </c>
      <c r="F54" s="9">
        <v>0.45</v>
      </c>
      <c r="G54" s="7"/>
    </row>
    <row r="55" spans="1:7" ht="19" x14ac:dyDescent="0.25">
      <c r="A55" s="39">
        <v>76</v>
      </c>
      <c r="B55" s="7">
        <v>0</v>
      </c>
      <c r="C55" s="7">
        <v>0</v>
      </c>
      <c r="D55" s="7">
        <v>0</v>
      </c>
      <c r="E55" s="7">
        <v>0</v>
      </c>
      <c r="F55" s="9">
        <v>0.45</v>
      </c>
      <c r="G55" s="7"/>
    </row>
    <row r="56" spans="1:7" ht="19" x14ac:dyDescent="0.25">
      <c r="A56" s="39">
        <v>77</v>
      </c>
      <c r="B56" s="7">
        <v>0</v>
      </c>
      <c r="C56" s="7">
        <v>0</v>
      </c>
      <c r="D56" s="7">
        <v>0</v>
      </c>
      <c r="E56" s="7">
        <v>0</v>
      </c>
      <c r="F56" s="9">
        <v>0.45</v>
      </c>
      <c r="G56" s="7"/>
    </row>
    <row r="57" spans="1:7" ht="19" x14ac:dyDescent="0.25">
      <c r="A57" s="39">
        <v>78</v>
      </c>
      <c r="B57" s="7">
        <v>0</v>
      </c>
      <c r="C57" s="7">
        <v>0</v>
      </c>
      <c r="D57" s="7">
        <v>0</v>
      </c>
      <c r="E57" s="7">
        <v>0</v>
      </c>
      <c r="F57" s="9">
        <v>0.45</v>
      </c>
      <c r="G57" s="7"/>
    </row>
    <row r="58" spans="1:7" ht="19" x14ac:dyDescent="0.25">
      <c r="A58" s="39">
        <v>79</v>
      </c>
      <c r="B58" s="7">
        <v>0</v>
      </c>
      <c r="C58" s="7">
        <v>0</v>
      </c>
      <c r="D58" s="7">
        <v>0</v>
      </c>
      <c r="E58" s="7">
        <v>0</v>
      </c>
      <c r="F58" s="9">
        <v>0.45</v>
      </c>
      <c r="G58" s="7"/>
    </row>
    <row r="59" spans="1:7" ht="19" x14ac:dyDescent="0.25">
      <c r="A59" s="39">
        <v>80</v>
      </c>
      <c r="B59" s="7">
        <v>0</v>
      </c>
      <c r="C59" s="7">
        <v>0</v>
      </c>
      <c r="D59" s="7">
        <v>0</v>
      </c>
      <c r="E59" s="7">
        <v>0</v>
      </c>
      <c r="F59" s="9">
        <v>0.45</v>
      </c>
      <c r="G59" s="7"/>
    </row>
    <row r="60" spans="1:7" ht="19" x14ac:dyDescent="0.25">
      <c r="A60" s="39">
        <v>81</v>
      </c>
      <c r="B60" s="7">
        <v>0</v>
      </c>
      <c r="C60" s="7">
        <v>0</v>
      </c>
      <c r="D60" s="7">
        <v>0</v>
      </c>
      <c r="E60" s="7">
        <v>0</v>
      </c>
      <c r="F60" s="9">
        <v>0.45</v>
      </c>
      <c r="G60" s="7"/>
    </row>
    <row r="61" spans="1:7" ht="19" x14ac:dyDescent="0.25">
      <c r="A61" s="39">
        <v>82</v>
      </c>
      <c r="B61" s="7">
        <v>0</v>
      </c>
      <c r="C61" s="7">
        <v>0</v>
      </c>
      <c r="D61" s="7">
        <v>0</v>
      </c>
      <c r="E61" s="7">
        <v>0</v>
      </c>
      <c r="F61" s="9">
        <v>0.45</v>
      </c>
      <c r="G61" s="7"/>
    </row>
    <row r="62" spans="1:7" ht="19" x14ac:dyDescent="0.25">
      <c r="A62" s="39">
        <v>83</v>
      </c>
      <c r="B62" s="7">
        <v>0</v>
      </c>
      <c r="C62" s="7">
        <v>0</v>
      </c>
      <c r="D62" s="7">
        <v>0</v>
      </c>
      <c r="E62" s="7">
        <v>0</v>
      </c>
      <c r="F62" s="9">
        <v>0.45</v>
      </c>
      <c r="G62" s="7"/>
    </row>
    <row r="63" spans="1:7" ht="19" x14ac:dyDescent="0.25">
      <c r="A63" s="39">
        <v>84</v>
      </c>
      <c r="B63" s="7">
        <v>0</v>
      </c>
      <c r="C63" s="7">
        <v>0</v>
      </c>
      <c r="D63" s="7">
        <v>0</v>
      </c>
      <c r="E63" s="7">
        <v>0</v>
      </c>
      <c r="F63" s="9">
        <v>0.45</v>
      </c>
      <c r="G63" s="7"/>
    </row>
    <row r="64" spans="1:7" ht="19" x14ac:dyDescent="0.25">
      <c r="A64" s="39">
        <v>85</v>
      </c>
      <c r="B64" s="7">
        <v>0</v>
      </c>
      <c r="C64" s="7">
        <v>0</v>
      </c>
      <c r="D64" s="7">
        <v>0</v>
      </c>
      <c r="E64" s="7">
        <v>0</v>
      </c>
      <c r="F64" s="9">
        <v>0.45</v>
      </c>
      <c r="G64" s="7"/>
    </row>
    <row r="65" spans="1:7" ht="19" x14ac:dyDescent="0.25">
      <c r="A65" s="39">
        <v>86</v>
      </c>
      <c r="B65" s="7">
        <v>0</v>
      </c>
      <c r="C65" s="7">
        <v>0</v>
      </c>
      <c r="D65" s="7">
        <v>0</v>
      </c>
      <c r="E65" s="7">
        <v>0</v>
      </c>
      <c r="F65" s="9">
        <v>0.45</v>
      </c>
      <c r="G65" s="7"/>
    </row>
    <row r="66" spans="1:7" ht="19" x14ac:dyDescent="0.25">
      <c r="A66" s="39">
        <v>87</v>
      </c>
      <c r="B66" s="7">
        <v>0</v>
      </c>
      <c r="C66" s="7">
        <v>0</v>
      </c>
      <c r="D66" s="7">
        <v>0</v>
      </c>
      <c r="E66" s="7">
        <v>0</v>
      </c>
      <c r="F66" s="9">
        <v>0.45</v>
      </c>
      <c r="G66" s="7"/>
    </row>
    <row r="67" spans="1:7" ht="19" x14ac:dyDescent="0.25">
      <c r="A67" s="39">
        <v>88</v>
      </c>
      <c r="B67" s="7">
        <v>0</v>
      </c>
      <c r="C67" s="7">
        <v>0</v>
      </c>
      <c r="D67" s="7">
        <v>0</v>
      </c>
      <c r="E67" s="7">
        <v>0</v>
      </c>
      <c r="F67" s="9">
        <v>0.45</v>
      </c>
      <c r="G67" s="7"/>
    </row>
    <row r="68" spans="1:7" ht="19" x14ac:dyDescent="0.25">
      <c r="A68" s="39">
        <v>89</v>
      </c>
      <c r="B68" s="7">
        <v>0</v>
      </c>
      <c r="C68" s="7">
        <v>0</v>
      </c>
      <c r="D68" s="7">
        <v>0</v>
      </c>
      <c r="E68" s="7">
        <v>0</v>
      </c>
      <c r="F68" s="9">
        <v>0.45</v>
      </c>
      <c r="G68" s="7"/>
    </row>
    <row r="69" spans="1:7" ht="19" x14ac:dyDescent="0.25">
      <c r="A69" s="39">
        <v>90</v>
      </c>
      <c r="B69" s="7">
        <v>0</v>
      </c>
      <c r="C69" s="7">
        <v>0</v>
      </c>
      <c r="D69" s="7">
        <v>0</v>
      </c>
      <c r="E69" s="7">
        <v>0</v>
      </c>
      <c r="F69" s="9">
        <v>0.45</v>
      </c>
      <c r="G69" s="7"/>
    </row>
    <row r="70" spans="1:7" ht="19" x14ac:dyDescent="0.25">
      <c r="A70" s="39">
        <v>91</v>
      </c>
      <c r="B70" s="7">
        <v>0</v>
      </c>
      <c r="C70" s="7">
        <v>0</v>
      </c>
      <c r="D70" s="7">
        <v>0</v>
      </c>
      <c r="E70" s="7">
        <v>0</v>
      </c>
      <c r="F70" s="9">
        <v>0.45</v>
      </c>
      <c r="G70" s="7"/>
    </row>
    <row r="71" spans="1:7" ht="19" x14ac:dyDescent="0.25">
      <c r="A71" s="39">
        <v>92</v>
      </c>
      <c r="B71" s="7">
        <v>0</v>
      </c>
      <c r="C71" s="7">
        <v>0</v>
      </c>
      <c r="D71" s="7">
        <v>0</v>
      </c>
      <c r="E71" s="7">
        <v>0</v>
      </c>
      <c r="F71" s="9">
        <v>0.45</v>
      </c>
      <c r="G71" s="7"/>
    </row>
    <row r="72" spans="1:7" ht="19" x14ac:dyDescent="0.25">
      <c r="A72" s="39">
        <v>93</v>
      </c>
      <c r="B72" s="7">
        <v>0</v>
      </c>
      <c r="C72" s="7">
        <v>0</v>
      </c>
      <c r="D72" s="7">
        <v>0</v>
      </c>
      <c r="E72" s="7">
        <v>0</v>
      </c>
      <c r="F72" s="9">
        <v>0.45</v>
      </c>
      <c r="G72" s="7"/>
    </row>
    <row r="73" spans="1:7" ht="19" x14ac:dyDescent="0.25">
      <c r="A73" s="39">
        <v>94</v>
      </c>
      <c r="B73" s="7">
        <v>0</v>
      </c>
      <c r="C73" s="7">
        <v>0</v>
      </c>
      <c r="D73" s="7">
        <v>0</v>
      </c>
      <c r="E73" s="7">
        <v>0</v>
      </c>
      <c r="F73" s="9">
        <v>0.45</v>
      </c>
      <c r="G73" s="7"/>
    </row>
    <row r="74" spans="1:7" ht="19" x14ac:dyDescent="0.25">
      <c r="A74" s="39">
        <v>95</v>
      </c>
      <c r="B74" s="7">
        <v>0</v>
      </c>
      <c r="C74" s="7">
        <v>0</v>
      </c>
      <c r="D74" s="7">
        <v>0</v>
      </c>
      <c r="E74" s="7">
        <v>0</v>
      </c>
      <c r="F74" s="9">
        <v>0.45</v>
      </c>
      <c r="G74" s="7"/>
    </row>
    <row r="75" spans="1:7" ht="19" x14ac:dyDescent="0.25">
      <c r="A75" s="39"/>
      <c r="B75" s="7"/>
      <c r="C75" s="7"/>
      <c r="D75" s="7"/>
      <c r="E75" s="7"/>
      <c r="F75" s="9"/>
    </row>
    <row r="76" spans="1:7" ht="19" x14ac:dyDescent="0.25">
      <c r="A76" s="39"/>
      <c r="B76" s="7"/>
      <c r="C76" s="7"/>
      <c r="D76" s="7"/>
      <c r="E76" s="7"/>
      <c r="F76" s="9"/>
    </row>
    <row r="77" spans="1:7" ht="19" x14ac:dyDescent="0.25">
      <c r="A77" s="39"/>
      <c r="B77" s="7"/>
      <c r="C77" s="7"/>
      <c r="D77" s="7"/>
      <c r="E77" s="7"/>
      <c r="F77" s="9"/>
    </row>
    <row r="78" spans="1:7" ht="19" x14ac:dyDescent="0.25">
      <c r="A78" s="39"/>
      <c r="B78" s="7"/>
      <c r="C78" s="7"/>
      <c r="D78" s="7"/>
      <c r="E78" s="7"/>
      <c r="F78" s="9"/>
    </row>
    <row r="79" spans="1:7" ht="19" x14ac:dyDescent="0.25">
      <c r="A79" s="39"/>
      <c r="B79" s="7"/>
      <c r="C79" s="7"/>
      <c r="D79" s="7"/>
      <c r="E79" s="7"/>
      <c r="F79" s="9"/>
    </row>
    <row r="80" spans="1:7" ht="19" x14ac:dyDescent="0.25">
      <c r="A80" s="39"/>
      <c r="B80" s="7"/>
      <c r="C80" s="7"/>
      <c r="D80" s="7"/>
      <c r="E80" s="7"/>
      <c r="F80" s="9"/>
    </row>
    <row r="81" spans="1:6" ht="19" x14ac:dyDescent="0.25">
      <c r="A81" s="39"/>
      <c r="B81" s="7"/>
      <c r="C81" s="7"/>
      <c r="D81" s="7"/>
      <c r="E81" s="7"/>
      <c r="F81" s="9"/>
    </row>
    <row r="82" spans="1:6" ht="19" x14ac:dyDescent="0.25">
      <c r="A82" s="39"/>
      <c r="B82" s="7"/>
      <c r="C82" s="7"/>
      <c r="D82" s="7"/>
      <c r="E82" s="7"/>
      <c r="F82" s="9"/>
    </row>
    <row r="83" spans="1:6" ht="19" x14ac:dyDescent="0.25">
      <c r="A83" s="39"/>
      <c r="B83" s="7"/>
      <c r="C83" s="7"/>
      <c r="D83" s="7"/>
      <c r="E83" s="7"/>
      <c r="F83" s="9"/>
    </row>
    <row r="84" spans="1:6" ht="19" x14ac:dyDescent="0.25">
      <c r="A84" s="39"/>
      <c r="B84" s="7"/>
      <c r="C84" s="7"/>
      <c r="D84" s="7"/>
      <c r="E84" s="7"/>
      <c r="F84" s="9"/>
    </row>
    <row r="85" spans="1:6" ht="19" x14ac:dyDescent="0.25">
      <c r="A85" s="39"/>
      <c r="B85" s="7"/>
      <c r="C85" s="7"/>
      <c r="D85" s="7"/>
      <c r="E85" s="7"/>
      <c r="F85" s="9"/>
    </row>
    <row r="86" spans="1:6" ht="19" x14ac:dyDescent="0.25">
      <c r="A86" s="39"/>
      <c r="B86" s="7"/>
      <c r="C86" s="7"/>
      <c r="D86" s="7"/>
      <c r="E86" s="7"/>
      <c r="F86" s="9"/>
    </row>
    <row r="87" spans="1:6" ht="19" x14ac:dyDescent="0.25">
      <c r="A87" s="39"/>
      <c r="B87" s="7"/>
      <c r="C87" s="7"/>
      <c r="D87" s="7"/>
      <c r="E87" s="7"/>
      <c r="F87" s="9"/>
    </row>
    <row r="88" spans="1:6" ht="19" x14ac:dyDescent="0.25">
      <c r="A88" s="39"/>
      <c r="B88" s="7"/>
      <c r="C88" s="7"/>
      <c r="D88" s="7"/>
      <c r="E88" s="7"/>
      <c r="F88" s="9"/>
    </row>
    <row r="89" spans="1:6" ht="19" x14ac:dyDescent="0.25">
      <c r="A89" s="39"/>
      <c r="B89" s="7"/>
      <c r="C89" s="7"/>
      <c r="D89" s="7"/>
      <c r="E89" s="7"/>
      <c r="F89" s="9"/>
    </row>
    <row r="90" spans="1:6" ht="19" x14ac:dyDescent="0.25">
      <c r="A90" s="39"/>
      <c r="B90" s="7"/>
      <c r="C90" s="7"/>
      <c r="D90" s="7"/>
      <c r="E90" s="7"/>
      <c r="F90" s="9"/>
    </row>
    <row r="91" spans="1:6" ht="19" x14ac:dyDescent="0.25">
      <c r="A91" s="39"/>
      <c r="B91" s="7"/>
      <c r="C91" s="7"/>
      <c r="D91" s="7"/>
      <c r="E91" s="7"/>
      <c r="F91" s="9"/>
    </row>
    <row r="92" spans="1:6" ht="19" x14ac:dyDescent="0.25">
      <c r="A92" s="39"/>
      <c r="B92" s="7"/>
      <c r="C92" s="7"/>
      <c r="D92" s="7"/>
      <c r="E92" s="7"/>
      <c r="F92" s="9"/>
    </row>
    <row r="93" spans="1:6" ht="19" x14ac:dyDescent="0.25">
      <c r="A93" s="39"/>
      <c r="B93" s="7"/>
      <c r="C93" s="7"/>
      <c r="D93" s="7"/>
      <c r="E93" s="7"/>
      <c r="F93" s="9"/>
    </row>
    <row r="94" spans="1:6" ht="19" x14ac:dyDescent="0.25">
      <c r="A94" s="39"/>
      <c r="B94" s="7"/>
      <c r="C94" s="7"/>
      <c r="D94" s="7"/>
      <c r="E94" s="7"/>
      <c r="F94" s="9"/>
    </row>
    <row r="95" spans="1:6" ht="19" x14ac:dyDescent="0.25">
      <c r="A95" s="39"/>
      <c r="B95" s="7"/>
      <c r="C95" s="7"/>
      <c r="D95" s="7"/>
      <c r="E95" s="7"/>
      <c r="F95" s="9"/>
    </row>
    <row r="96" spans="1:6" ht="19" x14ac:dyDescent="0.25">
      <c r="A96" s="39"/>
      <c r="B96" s="7"/>
      <c r="C96" s="7"/>
      <c r="D96" s="7"/>
      <c r="E96" s="7"/>
      <c r="F96" s="9"/>
    </row>
    <row r="97" spans="1:6" ht="19" x14ac:dyDescent="0.25">
      <c r="A97" s="39"/>
      <c r="B97" s="7"/>
      <c r="C97" s="7"/>
      <c r="D97" s="7"/>
      <c r="E97" s="7"/>
      <c r="F97" s="9"/>
    </row>
    <row r="98" spans="1:6" ht="19" x14ac:dyDescent="0.25">
      <c r="A98" s="39"/>
      <c r="B98" s="7"/>
      <c r="C98" s="7"/>
      <c r="D98" s="7"/>
      <c r="E98" s="7"/>
      <c r="F98" s="9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1E084-C1F5-654A-853A-10348CED77CE}">
  <sheetPr codeName="Sheet7"/>
  <dimension ref="A1:F98"/>
  <sheetViews>
    <sheetView workbookViewId="0">
      <selection activeCell="I30" sqref="I30"/>
    </sheetView>
  </sheetViews>
  <sheetFormatPr baseColWidth="10" defaultRowHeight="16" x14ac:dyDescent="0.2"/>
  <cols>
    <col min="1" max="1" width="13.1640625" customWidth="1"/>
    <col min="2" max="5" width="12.1640625" bestFit="1" customWidth="1"/>
  </cols>
  <sheetData>
    <row r="1" spans="1:6" x14ac:dyDescent="0.2">
      <c r="A1" s="2" t="s">
        <v>77</v>
      </c>
      <c r="B1" s="23" t="s">
        <v>55</v>
      </c>
      <c r="C1" s="23" t="s">
        <v>78</v>
      </c>
      <c r="D1" s="24" t="s">
        <v>56</v>
      </c>
      <c r="E1" s="24" t="s">
        <v>79</v>
      </c>
    </row>
    <row r="2" spans="1:6" x14ac:dyDescent="0.2">
      <c r="A2" s="1" t="s">
        <v>0</v>
      </c>
      <c r="B2" s="1" t="s">
        <v>25</v>
      </c>
      <c r="C2" s="1" t="s">
        <v>11</v>
      </c>
      <c r="D2" s="1" t="s">
        <v>25</v>
      </c>
      <c r="E2" s="1" t="s">
        <v>11</v>
      </c>
    </row>
    <row r="3" spans="1:6" x14ac:dyDescent="0.2">
      <c r="A3" s="2">
        <v>25</v>
      </c>
      <c r="B3" s="2">
        <v>0</v>
      </c>
      <c r="C3" s="2">
        <v>0</v>
      </c>
      <c r="D3" s="2">
        <v>0</v>
      </c>
      <c r="E3" s="2">
        <v>0</v>
      </c>
    </row>
    <row r="4" spans="1:6" x14ac:dyDescent="0.2">
      <c r="A4" s="2">
        <v>26</v>
      </c>
      <c r="B4" s="2">
        <v>555097.08739999996</v>
      </c>
      <c r="C4" s="2">
        <v>0</v>
      </c>
      <c r="D4" s="2">
        <v>459850.10710000002</v>
      </c>
      <c r="E4" s="2">
        <v>0</v>
      </c>
    </row>
    <row r="5" spans="1:6" x14ac:dyDescent="0.2">
      <c r="A5" s="2">
        <v>27</v>
      </c>
      <c r="B5" s="2">
        <v>555097.08739999996</v>
      </c>
      <c r="C5" s="2">
        <v>0</v>
      </c>
      <c r="D5" s="2">
        <v>459850.10710000002</v>
      </c>
      <c r="E5" s="2">
        <v>0</v>
      </c>
    </row>
    <row r="6" spans="1:6" x14ac:dyDescent="0.2">
      <c r="A6" s="2">
        <v>28</v>
      </c>
      <c r="B6" s="2">
        <v>557369.61450000003</v>
      </c>
      <c r="C6" s="2">
        <v>0</v>
      </c>
      <c r="D6" s="2">
        <v>518231.44099999999</v>
      </c>
      <c r="E6" s="2">
        <v>0</v>
      </c>
    </row>
    <row r="7" spans="1:6" x14ac:dyDescent="0.2">
      <c r="A7" s="2">
        <v>29</v>
      </c>
      <c r="B7" s="2">
        <v>548674.69880000001</v>
      </c>
      <c r="C7" s="2">
        <v>0</v>
      </c>
      <c r="D7" s="2">
        <v>522211.53850000002</v>
      </c>
      <c r="E7" s="2">
        <v>0</v>
      </c>
      <c r="F7" t="s">
        <v>76</v>
      </c>
    </row>
    <row r="8" spans="1:6" x14ac:dyDescent="0.2">
      <c r="A8" s="2">
        <v>30</v>
      </c>
      <c r="B8" s="2">
        <v>409883.72090000001</v>
      </c>
      <c r="C8" s="2">
        <v>0</v>
      </c>
      <c r="D8" s="2">
        <v>513905.32539999997</v>
      </c>
      <c r="E8" s="2">
        <v>0</v>
      </c>
    </row>
    <row r="9" spans="1:6" x14ac:dyDescent="0.2">
      <c r="A9" s="2">
        <v>31</v>
      </c>
      <c r="B9" s="2">
        <v>609698.27590000001</v>
      </c>
      <c r="C9" s="2">
        <v>0</v>
      </c>
      <c r="D9" s="2">
        <v>534652.50970000005</v>
      </c>
      <c r="E9" s="2">
        <v>0</v>
      </c>
    </row>
    <row r="10" spans="1:6" x14ac:dyDescent="0.2">
      <c r="A10" s="2">
        <v>32</v>
      </c>
      <c r="B10" s="2">
        <v>657110.60950000002</v>
      </c>
      <c r="C10" s="2">
        <v>0</v>
      </c>
      <c r="D10" s="2">
        <v>561089.49419999996</v>
      </c>
      <c r="E10" s="2">
        <v>0</v>
      </c>
    </row>
    <row r="11" spans="1:6" x14ac:dyDescent="0.2">
      <c r="A11" s="2">
        <v>33</v>
      </c>
      <c r="B11" s="2">
        <v>565513.12650000001</v>
      </c>
      <c r="C11" s="2">
        <v>0</v>
      </c>
      <c r="D11" s="2">
        <v>536176.4706</v>
      </c>
      <c r="E11" s="2">
        <v>0</v>
      </c>
    </row>
    <row r="12" spans="1:6" x14ac:dyDescent="0.2">
      <c r="A12" s="2">
        <v>34</v>
      </c>
      <c r="B12" s="2">
        <v>567177.91410000005</v>
      </c>
      <c r="C12" s="2">
        <v>0</v>
      </c>
      <c r="D12" s="2">
        <v>579771.78419999999</v>
      </c>
      <c r="E12" s="2">
        <v>0</v>
      </c>
    </row>
    <row r="13" spans="1:6" x14ac:dyDescent="0.2">
      <c r="A13" s="2">
        <v>35</v>
      </c>
      <c r="B13" s="2">
        <v>590659.34069999994</v>
      </c>
      <c r="C13" s="2">
        <v>0</v>
      </c>
      <c r="D13" s="2">
        <v>594897.95920000004</v>
      </c>
      <c r="E13" s="2">
        <v>0</v>
      </c>
    </row>
    <row r="14" spans="1:6" x14ac:dyDescent="0.2">
      <c r="A14" s="2">
        <v>36</v>
      </c>
      <c r="B14" s="2">
        <v>668927.78989999997</v>
      </c>
      <c r="C14" s="2">
        <v>768551.23670000001</v>
      </c>
      <c r="D14" s="2">
        <v>555497.9253</v>
      </c>
      <c r="E14" s="2">
        <v>726057.90650000004</v>
      </c>
    </row>
    <row r="15" spans="1:6" x14ac:dyDescent="0.2">
      <c r="A15" s="2">
        <v>37</v>
      </c>
      <c r="B15" s="2">
        <v>477205.8824</v>
      </c>
      <c r="C15" s="2">
        <v>764705.8824</v>
      </c>
      <c r="D15" s="2">
        <v>562633.83299999998</v>
      </c>
      <c r="E15" s="2">
        <v>742290.74890000001</v>
      </c>
    </row>
    <row r="16" spans="1:6" x14ac:dyDescent="0.2">
      <c r="A16" s="2">
        <v>38</v>
      </c>
      <c r="B16" s="2">
        <v>640599.17359999998</v>
      </c>
      <c r="C16" s="2">
        <v>717948.71790000005</v>
      </c>
      <c r="D16" s="2">
        <v>620616.57030000002</v>
      </c>
      <c r="E16" s="2">
        <v>724373.57629999996</v>
      </c>
    </row>
    <row r="17" spans="1:5" x14ac:dyDescent="0.2">
      <c r="A17" s="2">
        <v>39</v>
      </c>
      <c r="B17" s="2">
        <v>652074.23580000002</v>
      </c>
      <c r="C17" s="2">
        <v>764705.8824</v>
      </c>
      <c r="D17" s="2">
        <v>587360.59479999996</v>
      </c>
      <c r="E17" s="2">
        <v>786447.63859999995</v>
      </c>
    </row>
    <row r="18" spans="1:5" x14ac:dyDescent="0.2">
      <c r="A18" s="2">
        <v>40</v>
      </c>
      <c r="B18" s="2">
        <v>659737.4179</v>
      </c>
      <c r="C18" s="2">
        <v>762589.92810000002</v>
      </c>
      <c r="D18" s="2">
        <v>593373.49399999995</v>
      </c>
      <c r="E18" s="2">
        <v>773218.14249999996</v>
      </c>
    </row>
    <row r="19" spans="1:5" x14ac:dyDescent="0.2">
      <c r="A19" s="2">
        <v>41</v>
      </c>
      <c r="B19" s="2">
        <v>639956.33189999999</v>
      </c>
      <c r="C19" s="2">
        <v>748623.85320000001</v>
      </c>
      <c r="D19" s="2">
        <v>647064.05689999997</v>
      </c>
      <c r="E19" s="2">
        <v>749473.68420000002</v>
      </c>
    </row>
    <row r="20" spans="1:5" x14ac:dyDescent="0.2">
      <c r="A20" s="2">
        <v>42</v>
      </c>
      <c r="B20" s="2">
        <v>639277.65240000002</v>
      </c>
      <c r="C20" s="2">
        <v>822380.10660000006</v>
      </c>
      <c r="D20" s="2">
        <v>543871.59530000004</v>
      </c>
      <c r="E20" s="2">
        <v>651658.76780000003</v>
      </c>
    </row>
    <row r="21" spans="1:5" x14ac:dyDescent="0.2">
      <c r="A21" s="2">
        <v>43</v>
      </c>
      <c r="B21" s="2">
        <v>629254.30209999997</v>
      </c>
      <c r="C21" s="2">
        <v>786618.44480000006</v>
      </c>
      <c r="D21" s="2">
        <v>625732.21759999997</v>
      </c>
      <c r="E21" s="2">
        <v>730360.93420000002</v>
      </c>
    </row>
    <row r="22" spans="1:5" x14ac:dyDescent="0.2">
      <c r="A22" s="2">
        <v>44</v>
      </c>
      <c r="B22" s="2">
        <v>637611.60710000002</v>
      </c>
      <c r="C22" s="2">
        <v>791095.89040000003</v>
      </c>
      <c r="D22" s="2">
        <v>619626.16819999996</v>
      </c>
      <c r="E22" s="2">
        <v>775303.64370000002</v>
      </c>
    </row>
    <row r="23" spans="1:5" x14ac:dyDescent="0.2">
      <c r="A23" s="2">
        <v>45</v>
      </c>
      <c r="B23" s="2">
        <v>713333.33330000006</v>
      </c>
      <c r="C23" s="2">
        <v>784482.75859999994</v>
      </c>
      <c r="D23" s="2">
        <v>636585.36589999998</v>
      </c>
      <c r="E23" s="2">
        <v>809815.95090000005</v>
      </c>
    </row>
    <row r="24" spans="1:5" x14ac:dyDescent="0.2">
      <c r="A24" s="2">
        <v>46</v>
      </c>
      <c r="B24" s="2">
        <v>691880.3419</v>
      </c>
      <c r="C24" s="2">
        <v>832451.49910000002</v>
      </c>
      <c r="D24" s="2">
        <v>620352.25049999997</v>
      </c>
      <c r="E24" s="2">
        <v>728888.88890000002</v>
      </c>
    </row>
    <row r="25" spans="1:5" x14ac:dyDescent="0.2">
      <c r="A25" s="2">
        <v>47</v>
      </c>
      <c r="B25" s="2">
        <v>642217.89879999997</v>
      </c>
      <c r="C25" s="2">
        <v>760000</v>
      </c>
      <c r="D25" s="2">
        <v>615125.24080000003</v>
      </c>
      <c r="E25" s="2">
        <v>722792.6078</v>
      </c>
    </row>
    <row r="26" spans="1:5" x14ac:dyDescent="0.2">
      <c r="A26" s="2">
        <v>48</v>
      </c>
      <c r="B26" s="2">
        <v>694916.82070000004</v>
      </c>
      <c r="C26" s="2">
        <v>719022.68759999995</v>
      </c>
      <c r="D26" s="2">
        <v>631627.05669999996</v>
      </c>
      <c r="E26" s="2">
        <v>782178.21779999998</v>
      </c>
    </row>
    <row r="27" spans="1:5" x14ac:dyDescent="0.2">
      <c r="A27" s="2">
        <v>49</v>
      </c>
      <c r="B27" s="2">
        <v>675879.91720000003</v>
      </c>
      <c r="C27" s="2">
        <v>774074.07409999997</v>
      </c>
      <c r="D27" s="2">
        <v>646990.29130000004</v>
      </c>
      <c r="E27" s="2">
        <v>758465.01130000001</v>
      </c>
    </row>
    <row r="28" spans="1:5" x14ac:dyDescent="0.2">
      <c r="A28" s="2">
        <v>50</v>
      </c>
      <c r="B28" s="2">
        <v>680831.64300000004</v>
      </c>
      <c r="C28" s="2">
        <v>731319.55480000004</v>
      </c>
      <c r="D28" s="2">
        <v>658474.57629999996</v>
      </c>
      <c r="E28" s="2">
        <v>801801.80180000002</v>
      </c>
    </row>
    <row r="29" spans="1:5" x14ac:dyDescent="0.2">
      <c r="A29" s="2">
        <v>51</v>
      </c>
      <c r="B29" s="2">
        <v>654854.3689</v>
      </c>
      <c r="C29" s="2">
        <v>724381.62540000002</v>
      </c>
      <c r="D29" s="2">
        <v>652059.92509999999</v>
      </c>
      <c r="E29" s="2">
        <v>755741.12730000005</v>
      </c>
    </row>
    <row r="30" spans="1:5" x14ac:dyDescent="0.2">
      <c r="A30" s="2">
        <v>52</v>
      </c>
      <c r="B30" s="2">
        <v>615415.01980000001</v>
      </c>
      <c r="C30" s="2">
        <v>769616.02670000005</v>
      </c>
      <c r="D30" s="2">
        <v>631749.04940000002</v>
      </c>
      <c r="E30" s="2">
        <v>800947.86730000004</v>
      </c>
    </row>
    <row r="31" spans="1:5" x14ac:dyDescent="0.2">
      <c r="A31" s="2">
        <v>53</v>
      </c>
      <c r="B31" s="2">
        <v>700508.13009999995</v>
      </c>
      <c r="C31" s="2">
        <v>753130.59030000004</v>
      </c>
      <c r="D31" s="2">
        <v>671535.58050000004</v>
      </c>
      <c r="E31" s="2">
        <v>782700.42189999996</v>
      </c>
    </row>
    <row r="32" spans="1:5" x14ac:dyDescent="0.2">
      <c r="A32" s="2">
        <v>54</v>
      </c>
      <c r="B32" s="2">
        <v>712169.81129999994</v>
      </c>
      <c r="C32" s="2">
        <v>741710.29669999995</v>
      </c>
      <c r="D32" s="2">
        <v>650617.28399999999</v>
      </c>
      <c r="E32" s="2">
        <v>800000</v>
      </c>
    </row>
    <row r="33" spans="1:5" x14ac:dyDescent="0.2">
      <c r="A33" s="2">
        <v>55</v>
      </c>
      <c r="B33" s="2">
        <v>641007.90509999997</v>
      </c>
      <c r="C33" s="2">
        <v>742647.0588</v>
      </c>
      <c r="D33" s="2">
        <v>630430.52839999995</v>
      </c>
      <c r="E33" s="2">
        <v>721088.43539999996</v>
      </c>
    </row>
    <row r="34" spans="1:5" x14ac:dyDescent="0.2">
      <c r="A34" s="2">
        <v>56</v>
      </c>
      <c r="B34" s="2">
        <v>600104.60250000004</v>
      </c>
      <c r="C34" s="2">
        <v>728846.15379999997</v>
      </c>
      <c r="D34" s="2">
        <v>594594.59459999995</v>
      </c>
      <c r="E34" s="2">
        <v>740088.10569999996</v>
      </c>
    </row>
    <row r="35" spans="1:5" x14ac:dyDescent="0.2">
      <c r="A35" s="2">
        <v>57</v>
      </c>
      <c r="B35" s="2">
        <f>B34</f>
        <v>600104.60250000004</v>
      </c>
      <c r="C35" s="2">
        <v>799276.6727</v>
      </c>
      <c r="D35" s="2">
        <f>D34</f>
        <v>594594.59459999995</v>
      </c>
      <c r="E35" s="2">
        <v>761099.36580000003</v>
      </c>
    </row>
    <row r="36" spans="1:5" x14ac:dyDescent="0.2">
      <c r="A36" s="2">
        <v>58</v>
      </c>
      <c r="B36" s="2">
        <f t="shared" ref="B36:B98" si="0">B35</f>
        <v>600104.60250000004</v>
      </c>
      <c r="C36" s="2">
        <v>822898.03220000002</v>
      </c>
      <c r="D36" s="2">
        <f t="shared" ref="D36:D98" si="1">D35</f>
        <v>594594.59459999995</v>
      </c>
      <c r="E36" s="2">
        <v>725910.06420000002</v>
      </c>
    </row>
    <row r="37" spans="1:5" x14ac:dyDescent="0.2">
      <c r="A37" s="2">
        <v>59</v>
      </c>
      <c r="B37" s="2">
        <f t="shared" si="0"/>
        <v>600104.60250000004</v>
      </c>
      <c r="C37" s="2">
        <v>780656.304</v>
      </c>
      <c r="D37" s="2">
        <f t="shared" si="1"/>
        <v>594594.59459999995</v>
      </c>
      <c r="E37" s="2">
        <v>827037.77339999995</v>
      </c>
    </row>
    <row r="38" spans="1:5" x14ac:dyDescent="0.2">
      <c r="A38" s="2">
        <v>60</v>
      </c>
      <c r="B38" s="2">
        <f t="shared" si="0"/>
        <v>600104.60250000004</v>
      </c>
      <c r="C38" s="2">
        <v>829268.29269999999</v>
      </c>
      <c r="D38" s="2">
        <f t="shared" si="1"/>
        <v>594594.59459999995</v>
      </c>
      <c r="E38" s="2">
        <v>788418.70819999999</v>
      </c>
    </row>
    <row r="39" spans="1:5" x14ac:dyDescent="0.2">
      <c r="A39" s="2">
        <v>61</v>
      </c>
      <c r="B39" s="2">
        <f t="shared" si="0"/>
        <v>600104.60250000004</v>
      </c>
      <c r="C39" s="2">
        <v>780036.96860000002</v>
      </c>
      <c r="D39" s="2">
        <f t="shared" si="1"/>
        <v>594594.59459999995</v>
      </c>
      <c r="E39" s="2">
        <v>766528.92559999996</v>
      </c>
    </row>
    <row r="40" spans="1:5" x14ac:dyDescent="0.2">
      <c r="A40" s="2">
        <v>62</v>
      </c>
      <c r="B40" s="2">
        <f t="shared" si="0"/>
        <v>600104.60250000004</v>
      </c>
      <c r="C40" s="2">
        <v>715547.70319999999</v>
      </c>
      <c r="D40" s="2">
        <f t="shared" si="1"/>
        <v>594594.59459999995</v>
      </c>
      <c r="E40" s="2">
        <v>785288.27040000004</v>
      </c>
    </row>
    <row r="41" spans="1:5" x14ac:dyDescent="0.2">
      <c r="A41" s="2">
        <v>63</v>
      </c>
      <c r="B41" s="2">
        <f t="shared" si="0"/>
        <v>600104.60250000004</v>
      </c>
      <c r="C41" s="2">
        <v>783783.78379999998</v>
      </c>
      <c r="D41" s="2">
        <f t="shared" si="1"/>
        <v>594594.59459999995</v>
      </c>
      <c r="E41" s="2">
        <v>784869.97640000004</v>
      </c>
    </row>
    <row r="42" spans="1:5" x14ac:dyDescent="0.2">
      <c r="A42" s="2">
        <v>64</v>
      </c>
      <c r="B42" s="2">
        <f t="shared" si="0"/>
        <v>600104.60250000004</v>
      </c>
      <c r="C42" s="2">
        <v>793851.71790000005</v>
      </c>
      <c r="D42" s="2">
        <f t="shared" si="1"/>
        <v>594594.59459999995</v>
      </c>
      <c r="E42" s="2">
        <v>786307.05390000006</v>
      </c>
    </row>
    <row r="43" spans="1:5" x14ac:dyDescent="0.2">
      <c r="A43" s="2">
        <v>65</v>
      </c>
      <c r="B43" s="2">
        <f t="shared" si="0"/>
        <v>600104.60250000004</v>
      </c>
      <c r="C43" s="2">
        <v>754545.45449999999</v>
      </c>
      <c r="D43" s="2">
        <f t="shared" si="1"/>
        <v>594594.59459999995</v>
      </c>
      <c r="E43" s="2">
        <v>812500</v>
      </c>
    </row>
    <row r="44" spans="1:5" x14ac:dyDescent="0.2">
      <c r="A44" s="2">
        <v>66</v>
      </c>
      <c r="B44" s="2">
        <f t="shared" si="0"/>
        <v>600104.60250000004</v>
      </c>
      <c r="C44" s="2">
        <v>750957.85439999995</v>
      </c>
      <c r="D44" s="2">
        <f t="shared" si="1"/>
        <v>594594.59459999995</v>
      </c>
      <c r="E44" s="2">
        <v>698850.5747</v>
      </c>
    </row>
    <row r="45" spans="1:5" x14ac:dyDescent="0.2">
      <c r="A45" s="2">
        <v>67</v>
      </c>
      <c r="B45" s="2">
        <f t="shared" si="0"/>
        <v>600104.60250000004</v>
      </c>
      <c r="C45" s="2">
        <f>C44</f>
        <v>750957.85439999995</v>
      </c>
      <c r="D45" s="2">
        <f t="shared" si="1"/>
        <v>594594.59459999995</v>
      </c>
      <c r="E45" s="2">
        <f>E44</f>
        <v>698850.5747</v>
      </c>
    </row>
    <row r="46" spans="1:5" x14ac:dyDescent="0.2">
      <c r="A46" s="2">
        <v>68</v>
      </c>
      <c r="B46" s="2">
        <f t="shared" si="0"/>
        <v>600104.60250000004</v>
      </c>
      <c r="C46" s="2">
        <f t="shared" ref="C46:C98" si="2">C45</f>
        <v>750957.85439999995</v>
      </c>
      <c r="D46" s="2">
        <f t="shared" si="1"/>
        <v>594594.59459999995</v>
      </c>
      <c r="E46" s="2">
        <f t="shared" ref="E46:E98" si="3">E45</f>
        <v>698850.5747</v>
      </c>
    </row>
    <row r="47" spans="1:5" x14ac:dyDescent="0.2">
      <c r="A47" s="2">
        <v>69</v>
      </c>
      <c r="B47" s="2">
        <f t="shared" si="0"/>
        <v>600104.60250000004</v>
      </c>
      <c r="C47" s="2">
        <f t="shared" si="2"/>
        <v>750957.85439999995</v>
      </c>
      <c r="D47" s="2">
        <f t="shared" si="1"/>
        <v>594594.59459999995</v>
      </c>
      <c r="E47" s="2">
        <f t="shared" si="3"/>
        <v>698850.5747</v>
      </c>
    </row>
    <row r="48" spans="1:5" x14ac:dyDescent="0.2">
      <c r="A48" s="2">
        <v>70</v>
      </c>
      <c r="B48" s="2">
        <f t="shared" si="0"/>
        <v>600104.60250000004</v>
      </c>
      <c r="C48" s="2">
        <f t="shared" si="2"/>
        <v>750957.85439999995</v>
      </c>
      <c r="D48" s="2">
        <f t="shared" si="1"/>
        <v>594594.59459999995</v>
      </c>
      <c r="E48" s="2">
        <f t="shared" si="3"/>
        <v>698850.5747</v>
      </c>
    </row>
    <row r="49" spans="1:5" x14ac:dyDescent="0.2">
      <c r="A49" s="2">
        <v>71</v>
      </c>
      <c r="B49" s="2">
        <f t="shared" si="0"/>
        <v>600104.60250000004</v>
      </c>
      <c r="C49" s="2">
        <f t="shared" si="2"/>
        <v>750957.85439999995</v>
      </c>
      <c r="D49" s="2">
        <f t="shared" si="1"/>
        <v>594594.59459999995</v>
      </c>
      <c r="E49" s="2">
        <f t="shared" si="3"/>
        <v>698850.5747</v>
      </c>
    </row>
    <row r="50" spans="1:5" x14ac:dyDescent="0.2">
      <c r="A50" s="2">
        <v>72</v>
      </c>
      <c r="B50" s="2">
        <f t="shared" si="0"/>
        <v>600104.60250000004</v>
      </c>
      <c r="C50" s="2">
        <f t="shared" si="2"/>
        <v>750957.85439999995</v>
      </c>
      <c r="D50" s="2">
        <f t="shared" si="1"/>
        <v>594594.59459999995</v>
      </c>
      <c r="E50" s="2">
        <f t="shared" si="3"/>
        <v>698850.5747</v>
      </c>
    </row>
    <row r="51" spans="1:5" x14ac:dyDescent="0.2">
      <c r="A51" s="2">
        <v>73</v>
      </c>
      <c r="B51" s="2">
        <f t="shared" si="0"/>
        <v>600104.60250000004</v>
      </c>
      <c r="C51" s="2">
        <f t="shared" si="2"/>
        <v>750957.85439999995</v>
      </c>
      <c r="D51" s="2">
        <f t="shared" si="1"/>
        <v>594594.59459999995</v>
      </c>
      <c r="E51" s="2">
        <f t="shared" si="3"/>
        <v>698850.5747</v>
      </c>
    </row>
    <row r="52" spans="1:5" x14ac:dyDescent="0.2">
      <c r="A52" s="2">
        <v>74</v>
      </c>
      <c r="B52" s="2">
        <f t="shared" si="0"/>
        <v>600104.60250000004</v>
      </c>
      <c r="C52" s="2">
        <f t="shared" si="2"/>
        <v>750957.85439999995</v>
      </c>
      <c r="D52" s="2">
        <f t="shared" si="1"/>
        <v>594594.59459999995</v>
      </c>
      <c r="E52" s="2">
        <f t="shared" si="3"/>
        <v>698850.5747</v>
      </c>
    </row>
    <row r="53" spans="1:5" x14ac:dyDescent="0.2">
      <c r="A53" s="2">
        <v>75</v>
      </c>
      <c r="B53" s="2">
        <f t="shared" si="0"/>
        <v>600104.60250000004</v>
      </c>
      <c r="C53" s="2">
        <f t="shared" si="2"/>
        <v>750957.85439999995</v>
      </c>
      <c r="D53" s="2">
        <f t="shared" si="1"/>
        <v>594594.59459999995</v>
      </c>
      <c r="E53" s="2">
        <f t="shared" si="3"/>
        <v>698850.5747</v>
      </c>
    </row>
    <row r="54" spans="1:5" x14ac:dyDescent="0.2">
      <c r="A54" s="2">
        <v>76</v>
      </c>
      <c r="B54" s="2">
        <f t="shared" si="0"/>
        <v>600104.60250000004</v>
      </c>
      <c r="C54" s="2">
        <f t="shared" si="2"/>
        <v>750957.85439999995</v>
      </c>
      <c r="D54" s="2">
        <f t="shared" si="1"/>
        <v>594594.59459999995</v>
      </c>
      <c r="E54" s="2">
        <f t="shared" si="3"/>
        <v>698850.5747</v>
      </c>
    </row>
    <row r="55" spans="1:5" x14ac:dyDescent="0.2">
      <c r="A55" s="2">
        <v>77</v>
      </c>
      <c r="B55" s="2">
        <f t="shared" si="0"/>
        <v>600104.60250000004</v>
      </c>
      <c r="C55" s="2">
        <f t="shared" si="2"/>
        <v>750957.85439999995</v>
      </c>
      <c r="D55" s="2">
        <f t="shared" si="1"/>
        <v>594594.59459999995</v>
      </c>
      <c r="E55" s="2">
        <f t="shared" si="3"/>
        <v>698850.5747</v>
      </c>
    </row>
    <row r="56" spans="1:5" x14ac:dyDescent="0.2">
      <c r="A56" s="2">
        <v>78</v>
      </c>
      <c r="B56" s="2">
        <f t="shared" si="0"/>
        <v>600104.60250000004</v>
      </c>
      <c r="C56" s="2">
        <f t="shared" si="2"/>
        <v>750957.85439999995</v>
      </c>
      <c r="D56" s="2">
        <f t="shared" si="1"/>
        <v>594594.59459999995</v>
      </c>
      <c r="E56" s="2">
        <f t="shared" si="3"/>
        <v>698850.5747</v>
      </c>
    </row>
    <row r="57" spans="1:5" x14ac:dyDescent="0.2">
      <c r="A57" s="2">
        <v>79</v>
      </c>
      <c r="B57" s="2">
        <f t="shared" si="0"/>
        <v>600104.60250000004</v>
      </c>
      <c r="C57" s="2">
        <f t="shared" si="2"/>
        <v>750957.85439999995</v>
      </c>
      <c r="D57" s="2">
        <f t="shared" si="1"/>
        <v>594594.59459999995</v>
      </c>
      <c r="E57" s="2">
        <f t="shared" si="3"/>
        <v>698850.5747</v>
      </c>
    </row>
    <row r="58" spans="1:5" x14ac:dyDescent="0.2">
      <c r="A58" s="2">
        <v>80</v>
      </c>
      <c r="B58" s="2">
        <f t="shared" si="0"/>
        <v>600104.60250000004</v>
      </c>
      <c r="C58" s="2">
        <f t="shared" si="2"/>
        <v>750957.85439999995</v>
      </c>
      <c r="D58" s="2">
        <f t="shared" si="1"/>
        <v>594594.59459999995</v>
      </c>
      <c r="E58" s="2">
        <f t="shared" si="3"/>
        <v>698850.5747</v>
      </c>
    </row>
    <row r="59" spans="1:5" x14ac:dyDescent="0.2">
      <c r="A59" s="2">
        <v>81</v>
      </c>
      <c r="B59" s="2">
        <f t="shared" si="0"/>
        <v>600104.60250000004</v>
      </c>
      <c r="C59" s="2">
        <f t="shared" si="2"/>
        <v>750957.85439999995</v>
      </c>
      <c r="D59" s="2">
        <f t="shared" si="1"/>
        <v>594594.59459999995</v>
      </c>
      <c r="E59" s="2">
        <f t="shared" si="3"/>
        <v>698850.5747</v>
      </c>
    </row>
    <row r="60" spans="1:5" x14ac:dyDescent="0.2">
      <c r="A60" s="2">
        <v>82</v>
      </c>
      <c r="B60" s="2">
        <f t="shared" si="0"/>
        <v>600104.60250000004</v>
      </c>
      <c r="C60" s="2">
        <f t="shared" si="2"/>
        <v>750957.85439999995</v>
      </c>
      <c r="D60" s="2">
        <f t="shared" si="1"/>
        <v>594594.59459999995</v>
      </c>
      <c r="E60" s="2">
        <f t="shared" si="3"/>
        <v>698850.5747</v>
      </c>
    </row>
    <row r="61" spans="1:5" x14ac:dyDescent="0.2">
      <c r="A61" s="2">
        <v>83</v>
      </c>
      <c r="B61" s="2">
        <f t="shared" si="0"/>
        <v>600104.60250000004</v>
      </c>
      <c r="C61" s="2">
        <f t="shared" si="2"/>
        <v>750957.85439999995</v>
      </c>
      <c r="D61" s="2">
        <f t="shared" si="1"/>
        <v>594594.59459999995</v>
      </c>
      <c r="E61" s="2">
        <f t="shared" si="3"/>
        <v>698850.5747</v>
      </c>
    </row>
    <row r="62" spans="1:5" x14ac:dyDescent="0.2">
      <c r="A62" s="2">
        <v>84</v>
      </c>
      <c r="B62" s="2">
        <f t="shared" si="0"/>
        <v>600104.60250000004</v>
      </c>
      <c r="C62" s="2">
        <f t="shared" si="2"/>
        <v>750957.85439999995</v>
      </c>
      <c r="D62" s="2">
        <f t="shared" si="1"/>
        <v>594594.59459999995</v>
      </c>
      <c r="E62" s="2">
        <f t="shared" si="3"/>
        <v>698850.5747</v>
      </c>
    </row>
    <row r="63" spans="1:5" x14ac:dyDescent="0.2">
      <c r="A63" s="2">
        <v>85</v>
      </c>
      <c r="B63" s="2">
        <f t="shared" si="0"/>
        <v>600104.60250000004</v>
      </c>
      <c r="C63" s="2">
        <f t="shared" si="2"/>
        <v>750957.85439999995</v>
      </c>
      <c r="D63" s="2">
        <f t="shared" si="1"/>
        <v>594594.59459999995</v>
      </c>
      <c r="E63" s="2">
        <f t="shared" si="3"/>
        <v>698850.5747</v>
      </c>
    </row>
    <row r="64" spans="1:5" x14ac:dyDescent="0.2">
      <c r="A64" s="2">
        <v>86</v>
      </c>
      <c r="B64" s="2">
        <f t="shared" si="0"/>
        <v>600104.60250000004</v>
      </c>
      <c r="C64" s="2">
        <f t="shared" si="2"/>
        <v>750957.85439999995</v>
      </c>
      <c r="D64" s="2">
        <f t="shared" si="1"/>
        <v>594594.59459999995</v>
      </c>
      <c r="E64" s="2">
        <f t="shared" si="3"/>
        <v>698850.5747</v>
      </c>
    </row>
    <row r="65" spans="1:5" x14ac:dyDescent="0.2">
      <c r="A65" s="2">
        <v>87</v>
      </c>
      <c r="B65" s="2">
        <f t="shared" si="0"/>
        <v>600104.60250000004</v>
      </c>
      <c r="C65" s="2">
        <f t="shared" si="2"/>
        <v>750957.85439999995</v>
      </c>
      <c r="D65" s="2">
        <f t="shared" si="1"/>
        <v>594594.59459999995</v>
      </c>
      <c r="E65" s="2">
        <f t="shared" si="3"/>
        <v>698850.5747</v>
      </c>
    </row>
    <row r="66" spans="1:5" x14ac:dyDescent="0.2">
      <c r="A66" s="2">
        <v>88</v>
      </c>
      <c r="B66" s="2">
        <f t="shared" si="0"/>
        <v>600104.60250000004</v>
      </c>
      <c r="C66" s="2">
        <f t="shared" si="2"/>
        <v>750957.85439999995</v>
      </c>
      <c r="D66" s="2">
        <f t="shared" si="1"/>
        <v>594594.59459999995</v>
      </c>
      <c r="E66" s="2">
        <f t="shared" si="3"/>
        <v>698850.5747</v>
      </c>
    </row>
    <row r="67" spans="1:5" x14ac:dyDescent="0.2">
      <c r="A67" s="2">
        <v>89</v>
      </c>
      <c r="B67" s="2">
        <f t="shared" si="0"/>
        <v>600104.60250000004</v>
      </c>
      <c r="C67" s="2">
        <f t="shared" si="2"/>
        <v>750957.85439999995</v>
      </c>
      <c r="D67" s="2">
        <f t="shared" si="1"/>
        <v>594594.59459999995</v>
      </c>
      <c r="E67" s="2">
        <f t="shared" si="3"/>
        <v>698850.5747</v>
      </c>
    </row>
    <row r="68" spans="1:5" x14ac:dyDescent="0.2">
      <c r="A68" s="2">
        <v>90</v>
      </c>
      <c r="B68" s="2">
        <f t="shared" si="0"/>
        <v>600104.60250000004</v>
      </c>
      <c r="C68" s="2">
        <f t="shared" si="2"/>
        <v>750957.85439999995</v>
      </c>
      <c r="D68" s="2">
        <f t="shared" si="1"/>
        <v>594594.59459999995</v>
      </c>
      <c r="E68" s="2">
        <f t="shared" si="3"/>
        <v>698850.5747</v>
      </c>
    </row>
    <row r="69" spans="1:5" x14ac:dyDescent="0.2">
      <c r="A69" s="2">
        <v>91</v>
      </c>
      <c r="B69" s="2">
        <f t="shared" si="0"/>
        <v>600104.60250000004</v>
      </c>
      <c r="C69" s="2">
        <f t="shared" si="2"/>
        <v>750957.85439999995</v>
      </c>
      <c r="D69" s="2">
        <f t="shared" si="1"/>
        <v>594594.59459999995</v>
      </c>
      <c r="E69" s="2">
        <f t="shared" si="3"/>
        <v>698850.5747</v>
      </c>
    </row>
    <row r="70" spans="1:5" x14ac:dyDescent="0.2">
      <c r="A70" s="2">
        <v>92</v>
      </c>
      <c r="B70" s="2">
        <f t="shared" si="0"/>
        <v>600104.60250000004</v>
      </c>
      <c r="C70" s="2">
        <f t="shared" si="2"/>
        <v>750957.85439999995</v>
      </c>
      <c r="D70" s="2">
        <f t="shared" si="1"/>
        <v>594594.59459999995</v>
      </c>
      <c r="E70" s="2">
        <f t="shared" si="3"/>
        <v>698850.5747</v>
      </c>
    </row>
    <row r="71" spans="1:5" x14ac:dyDescent="0.2">
      <c r="A71" s="2">
        <v>93</v>
      </c>
      <c r="B71" s="2">
        <f t="shared" si="0"/>
        <v>600104.60250000004</v>
      </c>
      <c r="C71" s="2">
        <f t="shared" si="2"/>
        <v>750957.85439999995</v>
      </c>
      <c r="D71" s="2">
        <f t="shared" si="1"/>
        <v>594594.59459999995</v>
      </c>
      <c r="E71" s="2">
        <f t="shared" si="3"/>
        <v>698850.5747</v>
      </c>
    </row>
    <row r="72" spans="1:5" x14ac:dyDescent="0.2">
      <c r="A72" s="2">
        <v>94</v>
      </c>
      <c r="B72" s="2">
        <f t="shared" si="0"/>
        <v>600104.60250000004</v>
      </c>
      <c r="C72" s="2">
        <f t="shared" si="2"/>
        <v>750957.85439999995</v>
      </c>
      <c r="D72" s="2">
        <f t="shared" si="1"/>
        <v>594594.59459999995</v>
      </c>
      <c r="E72" s="2">
        <f t="shared" si="3"/>
        <v>698850.5747</v>
      </c>
    </row>
    <row r="73" spans="1:5" x14ac:dyDescent="0.2">
      <c r="A73" s="2">
        <v>95</v>
      </c>
      <c r="B73" s="2">
        <f t="shared" si="0"/>
        <v>600104.60250000004</v>
      </c>
      <c r="C73" s="2">
        <f t="shared" si="2"/>
        <v>750957.85439999995</v>
      </c>
      <c r="D73" s="2">
        <f t="shared" si="1"/>
        <v>594594.59459999995</v>
      </c>
      <c r="E73" s="2">
        <f t="shared" si="3"/>
        <v>698850.5747</v>
      </c>
    </row>
    <row r="74" spans="1:5" x14ac:dyDescent="0.2">
      <c r="A74" s="2">
        <v>96</v>
      </c>
      <c r="B74" s="2">
        <f t="shared" si="0"/>
        <v>600104.60250000004</v>
      </c>
      <c r="C74" s="2">
        <f t="shared" si="2"/>
        <v>750957.85439999995</v>
      </c>
      <c r="D74" s="2">
        <f t="shared" si="1"/>
        <v>594594.59459999995</v>
      </c>
      <c r="E74" s="2">
        <f t="shared" si="3"/>
        <v>698850.5747</v>
      </c>
    </row>
    <row r="75" spans="1:5" x14ac:dyDescent="0.2">
      <c r="A75" s="2">
        <v>97</v>
      </c>
      <c r="B75" s="2">
        <f t="shared" si="0"/>
        <v>600104.60250000004</v>
      </c>
      <c r="C75" s="2">
        <f t="shared" si="2"/>
        <v>750957.85439999995</v>
      </c>
      <c r="D75" s="2">
        <f t="shared" si="1"/>
        <v>594594.59459999995</v>
      </c>
      <c r="E75" s="2">
        <f t="shared" si="3"/>
        <v>698850.5747</v>
      </c>
    </row>
    <row r="76" spans="1:5" x14ac:dyDescent="0.2">
      <c r="A76" s="2">
        <v>98</v>
      </c>
      <c r="B76" s="2">
        <f t="shared" si="0"/>
        <v>600104.60250000004</v>
      </c>
      <c r="C76" s="2">
        <f t="shared" si="2"/>
        <v>750957.85439999995</v>
      </c>
      <c r="D76" s="2">
        <f t="shared" si="1"/>
        <v>594594.59459999995</v>
      </c>
      <c r="E76" s="2">
        <f t="shared" si="3"/>
        <v>698850.5747</v>
      </c>
    </row>
    <row r="77" spans="1:5" x14ac:dyDescent="0.2">
      <c r="A77" s="2">
        <v>99</v>
      </c>
      <c r="B77" s="2">
        <f t="shared" si="0"/>
        <v>600104.60250000004</v>
      </c>
      <c r="C77" s="2">
        <f t="shared" si="2"/>
        <v>750957.85439999995</v>
      </c>
      <c r="D77" s="2">
        <f t="shared" si="1"/>
        <v>594594.59459999995</v>
      </c>
      <c r="E77" s="2">
        <f t="shared" si="3"/>
        <v>698850.5747</v>
      </c>
    </row>
    <row r="78" spans="1:5" x14ac:dyDescent="0.2">
      <c r="A78" s="2">
        <v>100</v>
      </c>
      <c r="B78" s="2">
        <f t="shared" si="0"/>
        <v>600104.60250000004</v>
      </c>
      <c r="C78" s="2">
        <f t="shared" si="2"/>
        <v>750957.85439999995</v>
      </c>
      <c r="D78" s="2">
        <f t="shared" si="1"/>
        <v>594594.59459999995</v>
      </c>
      <c r="E78" s="2">
        <f t="shared" si="3"/>
        <v>698850.5747</v>
      </c>
    </row>
    <row r="79" spans="1:5" x14ac:dyDescent="0.2">
      <c r="A79" s="2">
        <v>101</v>
      </c>
      <c r="B79" s="2">
        <f t="shared" si="0"/>
        <v>600104.60250000004</v>
      </c>
      <c r="C79" s="2">
        <f t="shared" si="2"/>
        <v>750957.85439999995</v>
      </c>
      <c r="D79" s="2">
        <f t="shared" si="1"/>
        <v>594594.59459999995</v>
      </c>
      <c r="E79" s="2">
        <f t="shared" si="3"/>
        <v>698850.5747</v>
      </c>
    </row>
    <row r="80" spans="1:5" x14ac:dyDescent="0.2">
      <c r="A80" s="2">
        <v>102</v>
      </c>
      <c r="B80" s="2">
        <f t="shared" si="0"/>
        <v>600104.60250000004</v>
      </c>
      <c r="C80" s="2">
        <f t="shared" si="2"/>
        <v>750957.85439999995</v>
      </c>
      <c r="D80" s="2">
        <f t="shared" si="1"/>
        <v>594594.59459999995</v>
      </c>
      <c r="E80" s="2">
        <f t="shared" si="3"/>
        <v>698850.5747</v>
      </c>
    </row>
    <row r="81" spans="1:5" x14ac:dyDescent="0.2">
      <c r="A81" s="2">
        <v>103</v>
      </c>
      <c r="B81" s="2">
        <f t="shared" si="0"/>
        <v>600104.60250000004</v>
      </c>
      <c r="C81" s="2">
        <f t="shared" si="2"/>
        <v>750957.85439999995</v>
      </c>
      <c r="D81" s="2">
        <f t="shared" si="1"/>
        <v>594594.59459999995</v>
      </c>
      <c r="E81" s="2">
        <f t="shared" si="3"/>
        <v>698850.5747</v>
      </c>
    </row>
    <row r="82" spans="1:5" x14ac:dyDescent="0.2">
      <c r="A82" s="2">
        <v>104</v>
      </c>
      <c r="B82" s="2">
        <f t="shared" si="0"/>
        <v>600104.60250000004</v>
      </c>
      <c r="C82" s="2">
        <f t="shared" si="2"/>
        <v>750957.85439999995</v>
      </c>
      <c r="D82" s="2">
        <f t="shared" si="1"/>
        <v>594594.59459999995</v>
      </c>
      <c r="E82" s="2">
        <f t="shared" si="3"/>
        <v>698850.5747</v>
      </c>
    </row>
    <row r="83" spans="1:5" x14ac:dyDescent="0.2">
      <c r="A83" s="2">
        <v>105</v>
      </c>
      <c r="B83" s="2">
        <f t="shared" si="0"/>
        <v>600104.60250000004</v>
      </c>
      <c r="C83" s="2">
        <f t="shared" si="2"/>
        <v>750957.85439999995</v>
      </c>
      <c r="D83" s="2">
        <f t="shared" si="1"/>
        <v>594594.59459999995</v>
      </c>
      <c r="E83" s="2">
        <f t="shared" si="3"/>
        <v>698850.5747</v>
      </c>
    </row>
    <row r="84" spans="1:5" x14ac:dyDescent="0.2">
      <c r="A84" s="2">
        <v>106</v>
      </c>
      <c r="B84" s="2">
        <f t="shared" si="0"/>
        <v>600104.60250000004</v>
      </c>
      <c r="C84" s="2">
        <f t="shared" si="2"/>
        <v>750957.85439999995</v>
      </c>
      <c r="D84" s="2">
        <f t="shared" si="1"/>
        <v>594594.59459999995</v>
      </c>
      <c r="E84" s="2">
        <f t="shared" si="3"/>
        <v>698850.5747</v>
      </c>
    </row>
    <row r="85" spans="1:5" x14ac:dyDescent="0.2">
      <c r="A85" s="2">
        <v>107</v>
      </c>
      <c r="B85" s="2">
        <f t="shared" si="0"/>
        <v>600104.60250000004</v>
      </c>
      <c r="C85" s="2">
        <f t="shared" si="2"/>
        <v>750957.85439999995</v>
      </c>
      <c r="D85" s="2">
        <f t="shared" si="1"/>
        <v>594594.59459999995</v>
      </c>
      <c r="E85" s="2">
        <f t="shared" si="3"/>
        <v>698850.5747</v>
      </c>
    </row>
    <row r="86" spans="1:5" x14ac:dyDescent="0.2">
      <c r="A86" s="2">
        <v>108</v>
      </c>
      <c r="B86" s="2">
        <f t="shared" si="0"/>
        <v>600104.60250000004</v>
      </c>
      <c r="C86" s="2">
        <f t="shared" si="2"/>
        <v>750957.85439999995</v>
      </c>
      <c r="D86" s="2">
        <f t="shared" si="1"/>
        <v>594594.59459999995</v>
      </c>
      <c r="E86" s="2">
        <f t="shared" si="3"/>
        <v>698850.5747</v>
      </c>
    </row>
    <row r="87" spans="1:5" x14ac:dyDescent="0.2">
      <c r="A87" s="2">
        <v>109</v>
      </c>
      <c r="B87" s="2">
        <f t="shared" si="0"/>
        <v>600104.60250000004</v>
      </c>
      <c r="C87" s="2">
        <f t="shared" si="2"/>
        <v>750957.85439999995</v>
      </c>
      <c r="D87" s="2">
        <f t="shared" si="1"/>
        <v>594594.59459999995</v>
      </c>
      <c r="E87" s="2">
        <f t="shared" si="3"/>
        <v>698850.5747</v>
      </c>
    </row>
    <row r="88" spans="1:5" x14ac:dyDescent="0.2">
      <c r="A88" s="2">
        <v>110</v>
      </c>
      <c r="B88" s="2">
        <f t="shared" si="0"/>
        <v>600104.60250000004</v>
      </c>
      <c r="C88" s="2">
        <f t="shared" si="2"/>
        <v>750957.85439999995</v>
      </c>
      <c r="D88" s="2">
        <f t="shared" si="1"/>
        <v>594594.59459999995</v>
      </c>
      <c r="E88" s="2">
        <f t="shared" si="3"/>
        <v>698850.5747</v>
      </c>
    </row>
    <row r="89" spans="1:5" x14ac:dyDescent="0.2">
      <c r="A89" s="2">
        <v>111</v>
      </c>
      <c r="B89" s="2">
        <f t="shared" si="0"/>
        <v>600104.60250000004</v>
      </c>
      <c r="C89" s="2">
        <f t="shared" si="2"/>
        <v>750957.85439999995</v>
      </c>
      <c r="D89" s="2">
        <f t="shared" si="1"/>
        <v>594594.59459999995</v>
      </c>
      <c r="E89" s="2">
        <f t="shared" si="3"/>
        <v>698850.5747</v>
      </c>
    </row>
    <row r="90" spans="1:5" x14ac:dyDescent="0.2">
      <c r="A90" s="2">
        <v>112</v>
      </c>
      <c r="B90" s="2">
        <f t="shared" si="0"/>
        <v>600104.60250000004</v>
      </c>
      <c r="C90" s="2">
        <f t="shared" si="2"/>
        <v>750957.85439999995</v>
      </c>
      <c r="D90" s="2">
        <f t="shared" si="1"/>
        <v>594594.59459999995</v>
      </c>
      <c r="E90" s="2">
        <f t="shared" si="3"/>
        <v>698850.5747</v>
      </c>
    </row>
    <row r="91" spans="1:5" x14ac:dyDescent="0.2">
      <c r="A91" s="2">
        <v>113</v>
      </c>
      <c r="B91" s="2">
        <f t="shared" si="0"/>
        <v>600104.60250000004</v>
      </c>
      <c r="C91" s="2">
        <f t="shared" si="2"/>
        <v>750957.85439999995</v>
      </c>
      <c r="D91" s="2">
        <f t="shared" si="1"/>
        <v>594594.59459999995</v>
      </c>
      <c r="E91" s="2">
        <f t="shared" si="3"/>
        <v>698850.5747</v>
      </c>
    </row>
    <row r="92" spans="1:5" x14ac:dyDescent="0.2">
      <c r="A92" s="2">
        <v>114</v>
      </c>
      <c r="B92" s="2">
        <f t="shared" si="0"/>
        <v>600104.60250000004</v>
      </c>
      <c r="C92" s="2">
        <f t="shared" si="2"/>
        <v>750957.85439999995</v>
      </c>
      <c r="D92" s="2">
        <f t="shared" si="1"/>
        <v>594594.59459999995</v>
      </c>
      <c r="E92" s="2">
        <f t="shared" si="3"/>
        <v>698850.5747</v>
      </c>
    </row>
    <row r="93" spans="1:5" x14ac:dyDescent="0.2">
      <c r="A93" s="2">
        <v>115</v>
      </c>
      <c r="B93" s="2">
        <f t="shared" si="0"/>
        <v>600104.60250000004</v>
      </c>
      <c r="C93" s="2">
        <f t="shared" si="2"/>
        <v>750957.85439999995</v>
      </c>
      <c r="D93" s="2">
        <f t="shared" si="1"/>
        <v>594594.59459999995</v>
      </c>
      <c r="E93" s="2">
        <f t="shared" si="3"/>
        <v>698850.5747</v>
      </c>
    </row>
    <row r="94" spans="1:5" x14ac:dyDescent="0.2">
      <c r="A94" s="2">
        <v>116</v>
      </c>
      <c r="B94" s="2">
        <f t="shared" si="0"/>
        <v>600104.60250000004</v>
      </c>
      <c r="C94" s="2">
        <f t="shared" si="2"/>
        <v>750957.85439999995</v>
      </c>
      <c r="D94" s="2">
        <f t="shared" si="1"/>
        <v>594594.59459999995</v>
      </c>
      <c r="E94" s="2">
        <f t="shared" si="3"/>
        <v>698850.5747</v>
      </c>
    </row>
    <row r="95" spans="1:5" x14ac:dyDescent="0.2">
      <c r="A95" s="2">
        <v>117</v>
      </c>
      <c r="B95" s="2">
        <f t="shared" si="0"/>
        <v>600104.60250000004</v>
      </c>
      <c r="C95" s="2">
        <f t="shared" si="2"/>
        <v>750957.85439999995</v>
      </c>
      <c r="D95" s="2">
        <f t="shared" si="1"/>
        <v>594594.59459999995</v>
      </c>
      <c r="E95" s="2">
        <f t="shared" si="3"/>
        <v>698850.5747</v>
      </c>
    </row>
    <row r="96" spans="1:5" x14ac:dyDescent="0.2">
      <c r="A96" s="2">
        <v>118</v>
      </c>
      <c r="B96" s="2">
        <f t="shared" si="0"/>
        <v>600104.60250000004</v>
      </c>
      <c r="C96" s="2">
        <f t="shared" si="2"/>
        <v>750957.85439999995</v>
      </c>
      <c r="D96" s="2">
        <f t="shared" si="1"/>
        <v>594594.59459999995</v>
      </c>
      <c r="E96" s="2">
        <f t="shared" si="3"/>
        <v>698850.5747</v>
      </c>
    </row>
    <row r="97" spans="1:5" x14ac:dyDescent="0.2">
      <c r="A97" s="2">
        <v>119</v>
      </c>
      <c r="B97" s="2">
        <f t="shared" si="0"/>
        <v>600104.60250000004</v>
      </c>
      <c r="C97" s="2">
        <f t="shared" si="2"/>
        <v>750957.85439999995</v>
      </c>
      <c r="D97" s="2">
        <f t="shared" si="1"/>
        <v>594594.59459999995</v>
      </c>
      <c r="E97" s="2">
        <f t="shared" si="3"/>
        <v>698850.5747</v>
      </c>
    </row>
    <row r="98" spans="1:5" x14ac:dyDescent="0.2">
      <c r="A98" s="2">
        <v>120</v>
      </c>
      <c r="B98" s="2">
        <f t="shared" si="0"/>
        <v>600104.60250000004</v>
      </c>
      <c r="C98" s="2">
        <f t="shared" si="2"/>
        <v>750957.85439999995</v>
      </c>
      <c r="D98" s="2">
        <f t="shared" si="1"/>
        <v>594594.59459999995</v>
      </c>
      <c r="E98" s="2">
        <f t="shared" si="3"/>
        <v>698850.5747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8127E-2B2E-9F4B-ACF5-5B37181AEDAF}">
  <sheetPr codeName="Sheet4"/>
  <dimension ref="A1:J203"/>
  <sheetViews>
    <sheetView zoomScale="125" workbookViewId="0">
      <selection sqref="A1:J203"/>
    </sheetView>
  </sheetViews>
  <sheetFormatPr baseColWidth="10" defaultRowHeight="16" x14ac:dyDescent="0.2"/>
  <sheetData>
    <row r="1" spans="1:10" x14ac:dyDescent="0.2">
      <c r="A1" s="5" t="s">
        <v>19</v>
      </c>
      <c r="B1" s="5" t="s">
        <v>20</v>
      </c>
      <c r="C1" s="5" t="s">
        <v>21</v>
      </c>
      <c r="D1" s="5" t="s">
        <v>22</v>
      </c>
      <c r="E1" s="2"/>
      <c r="F1" s="5" t="s">
        <v>54</v>
      </c>
      <c r="G1" s="2"/>
      <c r="H1" s="2"/>
      <c r="I1" s="2"/>
      <c r="J1" s="2"/>
    </row>
    <row r="2" spans="1:10" x14ac:dyDescent="0.2">
      <c r="A2" s="4" t="s">
        <v>11</v>
      </c>
      <c r="B2" s="4" t="s">
        <v>23</v>
      </c>
      <c r="C2" s="4">
        <v>88</v>
      </c>
      <c r="D2" s="4">
        <v>30</v>
      </c>
      <c r="E2" s="2"/>
      <c r="F2" s="5" t="s">
        <v>0</v>
      </c>
      <c r="G2" s="5" t="s">
        <v>11</v>
      </c>
      <c r="H2" s="5" t="s">
        <v>11</v>
      </c>
      <c r="I2" s="5" t="s">
        <v>25</v>
      </c>
      <c r="J2" s="5" t="s">
        <v>25</v>
      </c>
    </row>
    <row r="3" spans="1:10" x14ac:dyDescent="0.2">
      <c r="A3" s="4" t="s">
        <v>11</v>
      </c>
      <c r="B3" s="4" t="s">
        <v>24</v>
      </c>
      <c r="C3" s="4">
        <v>88</v>
      </c>
      <c r="D3" s="4">
        <v>19</v>
      </c>
      <c r="E3" s="2"/>
      <c r="F3" s="5" t="s">
        <v>23</v>
      </c>
      <c r="G3" s="5" t="s">
        <v>24</v>
      </c>
      <c r="H3" s="5" t="s">
        <v>23</v>
      </c>
      <c r="I3" s="5" t="s">
        <v>24</v>
      </c>
    </row>
    <row r="4" spans="1:10" x14ac:dyDescent="0.2">
      <c r="A4" s="4" t="s">
        <v>11</v>
      </c>
      <c r="B4" s="4" t="s">
        <v>23</v>
      </c>
      <c r="C4" s="4">
        <v>87</v>
      </c>
      <c r="D4" s="4">
        <v>54</v>
      </c>
      <c r="E4" s="2"/>
      <c r="F4" s="5">
        <v>25</v>
      </c>
      <c r="G4" s="4">
        <v>0</v>
      </c>
      <c r="H4" s="4">
        <v>0</v>
      </c>
      <c r="I4" s="4">
        <v>0</v>
      </c>
      <c r="J4" s="4">
        <v>0</v>
      </c>
    </row>
    <row r="5" spans="1:10" x14ac:dyDescent="0.2">
      <c r="A5" s="4" t="s">
        <v>11</v>
      </c>
      <c r="B5" s="4" t="s">
        <v>24</v>
      </c>
      <c r="C5" s="4">
        <v>87</v>
      </c>
      <c r="D5" s="4">
        <v>52</v>
      </c>
      <c r="E5" s="2"/>
      <c r="F5" s="5">
        <v>26</v>
      </c>
      <c r="G5" s="4">
        <v>0</v>
      </c>
      <c r="H5" s="4">
        <v>0</v>
      </c>
      <c r="I5" s="4">
        <v>0</v>
      </c>
      <c r="J5" s="4">
        <v>0</v>
      </c>
    </row>
    <row r="6" spans="1:10" x14ac:dyDescent="0.2">
      <c r="A6" s="4" t="s">
        <v>11</v>
      </c>
      <c r="B6" s="4" t="s">
        <v>23</v>
      </c>
      <c r="C6" s="4">
        <v>86</v>
      </c>
      <c r="D6" s="4">
        <v>126</v>
      </c>
      <c r="E6" s="2"/>
      <c r="F6" s="5">
        <v>27</v>
      </c>
      <c r="G6" s="4">
        <v>0</v>
      </c>
      <c r="H6" s="4">
        <v>0</v>
      </c>
      <c r="I6" s="4">
        <v>501</v>
      </c>
      <c r="J6" s="4">
        <v>507</v>
      </c>
    </row>
    <row r="7" spans="1:10" x14ac:dyDescent="0.2">
      <c r="A7" s="4" t="s">
        <v>11</v>
      </c>
      <c r="B7" s="4" t="s">
        <v>24</v>
      </c>
      <c r="C7" s="4">
        <v>86</v>
      </c>
      <c r="D7" s="4">
        <v>79</v>
      </c>
      <c r="E7" s="2"/>
      <c r="F7" s="5">
        <v>28</v>
      </c>
      <c r="G7" s="4">
        <v>0</v>
      </c>
      <c r="H7" s="4">
        <v>0</v>
      </c>
      <c r="I7" s="4">
        <v>1035</v>
      </c>
      <c r="J7" s="4">
        <v>1023</v>
      </c>
    </row>
    <row r="8" spans="1:10" x14ac:dyDescent="0.2">
      <c r="A8" s="4" t="s">
        <v>11</v>
      </c>
      <c r="B8" s="4" t="s">
        <v>24</v>
      </c>
      <c r="C8" s="4">
        <v>85</v>
      </c>
      <c r="D8" s="4">
        <v>152</v>
      </c>
      <c r="E8" s="2"/>
      <c r="F8" s="5">
        <v>29</v>
      </c>
      <c r="G8" s="4">
        <v>0</v>
      </c>
      <c r="H8" s="4">
        <v>0</v>
      </c>
      <c r="I8" s="4">
        <v>1567</v>
      </c>
      <c r="J8" s="4">
        <v>1581</v>
      </c>
    </row>
    <row r="9" spans="1:10" x14ac:dyDescent="0.2">
      <c r="A9" s="4" t="s">
        <v>11</v>
      </c>
      <c r="B9" s="4" t="s">
        <v>23</v>
      </c>
      <c r="C9" s="4">
        <v>85</v>
      </c>
      <c r="D9" s="4">
        <v>240</v>
      </c>
      <c r="E9" s="2"/>
      <c r="F9" s="5">
        <v>30</v>
      </c>
      <c r="G9" s="4">
        <v>0</v>
      </c>
      <c r="H9" s="4">
        <v>0</v>
      </c>
      <c r="I9" s="4">
        <v>2188</v>
      </c>
      <c r="J9" s="4">
        <v>2080</v>
      </c>
    </row>
    <row r="10" spans="1:10" x14ac:dyDescent="0.2">
      <c r="A10" s="4" t="s">
        <v>11</v>
      </c>
      <c r="B10" s="4" t="s">
        <v>24</v>
      </c>
      <c r="C10" s="4">
        <v>84</v>
      </c>
      <c r="D10" s="4">
        <v>191</v>
      </c>
      <c r="E10" s="2"/>
      <c r="F10" s="5">
        <v>31</v>
      </c>
      <c r="G10" s="4">
        <v>0</v>
      </c>
      <c r="H10" s="4">
        <v>0</v>
      </c>
      <c r="I10" s="4">
        <v>2690</v>
      </c>
      <c r="J10" s="4">
        <v>2630</v>
      </c>
    </row>
    <row r="11" spans="1:10" x14ac:dyDescent="0.2">
      <c r="A11" s="4" t="s">
        <v>11</v>
      </c>
      <c r="B11" s="4" t="s">
        <v>23</v>
      </c>
      <c r="C11" s="4">
        <v>84</v>
      </c>
      <c r="D11" s="4">
        <v>290</v>
      </c>
      <c r="E11" s="2"/>
      <c r="F11" s="5">
        <v>32</v>
      </c>
      <c r="G11" s="4">
        <v>0</v>
      </c>
      <c r="H11" s="4">
        <v>0</v>
      </c>
      <c r="I11" s="4">
        <v>3109</v>
      </c>
      <c r="J11" s="4">
        <v>3115</v>
      </c>
    </row>
    <row r="12" spans="1:10" x14ac:dyDescent="0.2">
      <c r="A12" s="4" t="s">
        <v>11</v>
      </c>
      <c r="B12" s="4" t="s">
        <v>23</v>
      </c>
      <c r="C12" s="4">
        <v>83</v>
      </c>
      <c r="D12" s="4">
        <v>392</v>
      </c>
      <c r="E12" s="2"/>
      <c r="F12" s="5">
        <v>33</v>
      </c>
      <c r="G12" s="4">
        <v>0</v>
      </c>
      <c r="H12" s="4">
        <v>0</v>
      </c>
      <c r="I12" s="4">
        <v>3581</v>
      </c>
      <c r="J12" s="4">
        <v>3569</v>
      </c>
    </row>
    <row r="13" spans="1:10" x14ac:dyDescent="0.2">
      <c r="A13" s="4" t="s">
        <v>11</v>
      </c>
      <c r="B13" s="4" t="s">
        <v>24</v>
      </c>
      <c r="C13" s="4">
        <v>83</v>
      </c>
      <c r="D13" s="4">
        <v>297</v>
      </c>
      <c r="E13" s="2"/>
      <c r="F13" s="5">
        <v>34</v>
      </c>
      <c r="G13" s="4">
        <v>0</v>
      </c>
      <c r="H13" s="4">
        <v>0</v>
      </c>
      <c r="I13" s="4">
        <v>4208</v>
      </c>
      <c r="J13" s="4">
        <v>3856</v>
      </c>
    </row>
    <row r="14" spans="1:10" x14ac:dyDescent="0.2">
      <c r="A14" s="4" t="s">
        <v>11</v>
      </c>
      <c r="B14" s="4" t="s">
        <v>23</v>
      </c>
      <c r="C14" s="4">
        <v>82</v>
      </c>
      <c r="D14" s="4">
        <v>576</v>
      </c>
      <c r="E14" s="2"/>
      <c r="F14" s="5">
        <v>35</v>
      </c>
      <c r="G14" s="4">
        <v>0</v>
      </c>
      <c r="H14" s="4">
        <v>0</v>
      </c>
      <c r="I14" s="4">
        <v>4551</v>
      </c>
      <c r="J14" s="4">
        <v>4333</v>
      </c>
    </row>
    <row r="15" spans="1:10" x14ac:dyDescent="0.2">
      <c r="A15" s="4" t="s">
        <v>11</v>
      </c>
      <c r="B15" s="4" t="s">
        <v>24</v>
      </c>
      <c r="C15" s="4">
        <v>82</v>
      </c>
      <c r="D15" s="4">
        <v>375</v>
      </c>
      <c r="E15" s="2"/>
      <c r="F15" s="5">
        <v>36</v>
      </c>
      <c r="G15" s="4">
        <v>583</v>
      </c>
      <c r="H15" s="4">
        <v>449</v>
      </c>
      <c r="I15" s="4">
        <v>4934</v>
      </c>
      <c r="J15" s="4">
        <v>4693</v>
      </c>
    </row>
    <row r="16" spans="1:10" x14ac:dyDescent="0.2">
      <c r="A16" s="4" t="s">
        <v>11</v>
      </c>
      <c r="B16" s="4" t="s">
        <v>23</v>
      </c>
      <c r="C16" s="4">
        <v>81</v>
      </c>
      <c r="D16" s="4">
        <v>750</v>
      </c>
      <c r="E16" s="2"/>
      <c r="F16" s="5">
        <v>37</v>
      </c>
      <c r="G16" s="4">
        <v>1040</v>
      </c>
      <c r="H16" s="4">
        <v>870</v>
      </c>
      <c r="I16" s="4">
        <v>5514</v>
      </c>
      <c r="J16" s="4">
        <v>5031</v>
      </c>
    </row>
    <row r="17" spans="1:10" x14ac:dyDescent="0.2">
      <c r="A17" s="4" t="s">
        <v>11</v>
      </c>
      <c r="B17" s="4" t="s">
        <v>24</v>
      </c>
      <c r="C17" s="4">
        <v>81</v>
      </c>
      <c r="D17" s="4">
        <v>560</v>
      </c>
      <c r="E17" s="2"/>
      <c r="F17" s="5">
        <v>38</v>
      </c>
      <c r="G17" s="4">
        <v>1655</v>
      </c>
      <c r="H17" s="4">
        <v>1308</v>
      </c>
      <c r="I17" s="4">
        <v>5988</v>
      </c>
      <c r="J17" s="4">
        <v>5379</v>
      </c>
    </row>
    <row r="18" spans="1:10" x14ac:dyDescent="0.2">
      <c r="A18" s="4" t="s">
        <v>11</v>
      </c>
      <c r="B18" s="4" t="s">
        <v>23</v>
      </c>
      <c r="C18" s="4">
        <v>80</v>
      </c>
      <c r="D18" s="4">
        <v>894</v>
      </c>
      <c r="E18" s="2"/>
      <c r="F18" s="5">
        <v>39</v>
      </c>
      <c r="G18" s="4">
        <v>2118</v>
      </c>
      <c r="H18" s="4">
        <v>1709</v>
      </c>
      <c r="I18" s="4">
        <v>6351</v>
      </c>
      <c r="J18" s="4">
        <v>5885</v>
      </c>
    </row>
    <row r="19" spans="1:10" x14ac:dyDescent="0.2">
      <c r="A19" s="4" t="s">
        <v>11</v>
      </c>
      <c r="B19" s="4" t="s">
        <v>24</v>
      </c>
      <c r="C19" s="4">
        <v>80</v>
      </c>
      <c r="D19" s="4">
        <v>626</v>
      </c>
      <c r="E19" s="2"/>
      <c r="F19" s="5">
        <v>40</v>
      </c>
      <c r="G19" s="4">
        <v>2656</v>
      </c>
      <c r="H19" s="4">
        <v>2136</v>
      </c>
      <c r="I19" s="4">
        <v>6808</v>
      </c>
      <c r="J19" s="4">
        <v>6291</v>
      </c>
    </row>
    <row r="20" spans="1:10" x14ac:dyDescent="0.2">
      <c r="A20" s="4" t="s">
        <v>11</v>
      </c>
      <c r="B20" s="4" t="s">
        <v>23</v>
      </c>
      <c r="C20" s="4">
        <v>79</v>
      </c>
      <c r="D20" s="4">
        <v>1166</v>
      </c>
      <c r="E20" s="2"/>
      <c r="F20" s="5">
        <v>41</v>
      </c>
      <c r="G20" s="4">
        <v>3023</v>
      </c>
      <c r="H20" s="4">
        <v>2420</v>
      </c>
      <c r="I20" s="4">
        <v>7249</v>
      </c>
      <c r="J20" s="4">
        <v>6593</v>
      </c>
    </row>
    <row r="21" spans="1:10" x14ac:dyDescent="0.2">
      <c r="A21" s="4" t="s">
        <v>11</v>
      </c>
      <c r="B21" s="4" t="s">
        <v>24</v>
      </c>
      <c r="C21" s="4">
        <v>79</v>
      </c>
      <c r="D21" s="4">
        <v>769</v>
      </c>
      <c r="E21" s="2"/>
      <c r="F21" s="5">
        <v>42</v>
      </c>
      <c r="G21" s="4">
        <v>3529</v>
      </c>
      <c r="H21" s="4">
        <v>2654</v>
      </c>
      <c r="I21" s="4">
        <v>7605</v>
      </c>
      <c r="J21" s="4">
        <v>6743</v>
      </c>
    </row>
    <row r="22" spans="1:10" x14ac:dyDescent="0.2">
      <c r="A22" s="4" t="s">
        <v>11</v>
      </c>
      <c r="B22" s="4" t="s">
        <v>24</v>
      </c>
      <c r="C22" s="4">
        <v>78</v>
      </c>
      <c r="D22" s="4">
        <v>913</v>
      </c>
      <c r="E22" s="2"/>
      <c r="F22" s="5">
        <v>43</v>
      </c>
      <c r="G22" s="4">
        <v>3825</v>
      </c>
      <c r="H22" s="4">
        <v>2953</v>
      </c>
      <c r="I22" s="4">
        <v>7840</v>
      </c>
      <c r="J22" s="4">
        <v>7019</v>
      </c>
    </row>
    <row r="23" spans="1:10" x14ac:dyDescent="0.2">
      <c r="A23" s="4" t="s">
        <v>11</v>
      </c>
      <c r="B23" s="4" t="s">
        <v>23</v>
      </c>
      <c r="C23" s="4">
        <v>78</v>
      </c>
      <c r="D23" s="4">
        <v>1356</v>
      </c>
      <c r="E23" s="2"/>
      <c r="F23" s="5">
        <v>44</v>
      </c>
      <c r="G23" s="4">
        <v>4199</v>
      </c>
      <c r="H23" s="4">
        <v>3263</v>
      </c>
      <c r="I23" s="4">
        <v>8330</v>
      </c>
      <c r="J23" s="4">
        <v>7173</v>
      </c>
    </row>
    <row r="24" spans="1:10" x14ac:dyDescent="0.2">
      <c r="A24" s="4" t="s">
        <v>11</v>
      </c>
      <c r="B24" s="4" t="s">
        <v>23</v>
      </c>
      <c r="C24" s="4">
        <v>77</v>
      </c>
      <c r="D24" s="4">
        <v>1719</v>
      </c>
      <c r="E24" s="2"/>
      <c r="F24" s="5">
        <v>45</v>
      </c>
      <c r="G24" s="4">
        <v>4411</v>
      </c>
      <c r="H24" s="4">
        <v>3372</v>
      </c>
      <c r="I24" s="4">
        <v>8660</v>
      </c>
      <c r="J24" s="4">
        <v>7574</v>
      </c>
    </row>
    <row r="25" spans="1:10" x14ac:dyDescent="0.2">
      <c r="A25" s="4" t="s">
        <v>11</v>
      </c>
      <c r="B25" s="4" t="s">
        <v>24</v>
      </c>
      <c r="C25" s="4">
        <v>77</v>
      </c>
      <c r="D25" s="4">
        <v>1118</v>
      </c>
      <c r="E25" s="2"/>
      <c r="F25" s="5">
        <v>46</v>
      </c>
      <c r="G25" s="4">
        <v>4749</v>
      </c>
      <c r="H25" s="4">
        <v>3673</v>
      </c>
      <c r="I25" s="4">
        <v>8657</v>
      </c>
      <c r="J25" s="4">
        <v>7501</v>
      </c>
    </row>
    <row r="26" spans="1:10" x14ac:dyDescent="0.2">
      <c r="A26" s="4" t="s">
        <v>11</v>
      </c>
      <c r="B26" s="4" t="s">
        <v>24</v>
      </c>
      <c r="C26" s="4">
        <v>76</v>
      </c>
      <c r="D26" s="4">
        <v>1320</v>
      </c>
      <c r="E26" s="2"/>
      <c r="F26" s="5">
        <v>47</v>
      </c>
      <c r="G26" s="4">
        <v>5058</v>
      </c>
      <c r="H26" s="4">
        <v>3849</v>
      </c>
      <c r="I26" s="4">
        <v>8624</v>
      </c>
      <c r="J26" s="4">
        <v>7353</v>
      </c>
    </row>
    <row r="27" spans="1:10" x14ac:dyDescent="0.2">
      <c r="A27" s="4" t="s">
        <v>11</v>
      </c>
      <c r="B27" s="4" t="s">
        <v>23</v>
      </c>
      <c r="C27" s="4">
        <v>76</v>
      </c>
      <c r="D27" s="4">
        <v>1976</v>
      </c>
      <c r="E27" s="2"/>
      <c r="F27" s="5">
        <v>48</v>
      </c>
      <c r="G27" s="4">
        <v>5358</v>
      </c>
      <c r="H27" s="4">
        <v>3999</v>
      </c>
      <c r="I27" s="4">
        <v>8662</v>
      </c>
      <c r="J27" s="4">
        <v>7429</v>
      </c>
    </row>
    <row r="28" spans="1:10" x14ac:dyDescent="0.2">
      <c r="A28" s="4" t="s">
        <v>11</v>
      </c>
      <c r="B28" s="4" t="s">
        <v>23</v>
      </c>
      <c r="C28" s="4">
        <v>75</v>
      </c>
      <c r="D28" s="4">
        <v>2272</v>
      </c>
      <c r="E28" s="2"/>
      <c r="F28" s="5">
        <v>49</v>
      </c>
      <c r="G28" s="4">
        <v>5655</v>
      </c>
      <c r="H28" s="4">
        <v>4223</v>
      </c>
      <c r="I28" s="4">
        <v>8643</v>
      </c>
      <c r="J28" s="4">
        <v>7425</v>
      </c>
    </row>
    <row r="29" spans="1:10" x14ac:dyDescent="0.2">
      <c r="A29" s="4" t="s">
        <v>11</v>
      </c>
      <c r="B29" s="4" t="s">
        <v>24</v>
      </c>
      <c r="C29" s="4">
        <v>75</v>
      </c>
      <c r="D29" s="4">
        <v>1530</v>
      </c>
      <c r="E29" s="2"/>
      <c r="F29" s="5">
        <v>50</v>
      </c>
      <c r="G29" s="4">
        <v>5810</v>
      </c>
      <c r="H29" s="4">
        <v>4201</v>
      </c>
      <c r="I29" s="4">
        <v>8412</v>
      </c>
      <c r="J29" s="4">
        <v>7438</v>
      </c>
    </row>
    <row r="30" spans="1:10" x14ac:dyDescent="0.2">
      <c r="A30" s="4" t="s">
        <v>11</v>
      </c>
      <c r="B30" s="4" t="s">
        <v>24</v>
      </c>
      <c r="C30" s="4">
        <v>74</v>
      </c>
      <c r="D30" s="4">
        <v>1772</v>
      </c>
      <c r="E30" s="2"/>
      <c r="F30" s="5">
        <v>51</v>
      </c>
      <c r="G30" s="4">
        <v>5920</v>
      </c>
      <c r="H30" s="4">
        <v>4510</v>
      </c>
      <c r="I30" s="4">
        <v>8602</v>
      </c>
      <c r="J30" s="4">
        <v>7515</v>
      </c>
    </row>
    <row r="31" spans="1:10" x14ac:dyDescent="0.2">
      <c r="A31" s="4" t="s">
        <v>11</v>
      </c>
      <c r="B31" s="4" t="s">
        <v>23</v>
      </c>
      <c r="C31" s="4">
        <v>74</v>
      </c>
      <c r="D31" s="4">
        <v>2590</v>
      </c>
      <c r="E31" s="2"/>
      <c r="F31" s="5">
        <v>52</v>
      </c>
      <c r="G31" s="4">
        <v>6234</v>
      </c>
      <c r="H31" s="4">
        <v>4473</v>
      </c>
      <c r="I31" s="4">
        <v>8477</v>
      </c>
      <c r="J31" s="4">
        <v>7532</v>
      </c>
    </row>
    <row r="32" spans="1:10" x14ac:dyDescent="0.2">
      <c r="A32" s="4" t="s">
        <v>11</v>
      </c>
      <c r="B32" s="4" t="s">
        <v>23</v>
      </c>
      <c r="C32" s="4">
        <v>73</v>
      </c>
      <c r="D32" s="4">
        <v>2943</v>
      </c>
      <c r="E32" s="2"/>
      <c r="F32" s="5">
        <v>53</v>
      </c>
      <c r="G32" s="4">
        <v>6250</v>
      </c>
      <c r="H32" s="4">
        <v>4516</v>
      </c>
      <c r="I32" s="4">
        <v>8561</v>
      </c>
      <c r="J32" s="4">
        <v>7539</v>
      </c>
    </row>
    <row r="33" spans="1:10" x14ac:dyDescent="0.2">
      <c r="A33" s="4" t="s">
        <v>11</v>
      </c>
      <c r="B33" s="4" t="s">
        <v>24</v>
      </c>
      <c r="C33" s="4">
        <v>73</v>
      </c>
      <c r="D33" s="4">
        <v>2143</v>
      </c>
      <c r="E33" s="2"/>
      <c r="F33" s="5">
        <v>54</v>
      </c>
      <c r="G33" s="4">
        <v>6312</v>
      </c>
      <c r="H33" s="4">
        <v>4590</v>
      </c>
      <c r="I33" s="4">
        <v>8469</v>
      </c>
      <c r="J33" s="4">
        <v>7552</v>
      </c>
    </row>
    <row r="34" spans="1:10" x14ac:dyDescent="0.2">
      <c r="A34" s="4" t="s">
        <v>11</v>
      </c>
      <c r="B34" s="4" t="s">
        <v>24</v>
      </c>
      <c r="C34" s="4">
        <v>72</v>
      </c>
      <c r="D34" s="4">
        <v>2357</v>
      </c>
      <c r="E34" s="2"/>
      <c r="F34" s="5">
        <v>55</v>
      </c>
      <c r="G34" s="4">
        <v>6512</v>
      </c>
      <c r="H34" s="4">
        <v>4880</v>
      </c>
      <c r="I34" s="4">
        <v>8413</v>
      </c>
      <c r="J34" s="4">
        <v>7453</v>
      </c>
    </row>
    <row r="35" spans="1:10" x14ac:dyDescent="0.2">
      <c r="A35" s="4" t="s">
        <v>11</v>
      </c>
      <c r="B35" s="4" t="s">
        <v>23</v>
      </c>
      <c r="C35" s="4">
        <v>72</v>
      </c>
      <c r="D35" s="4">
        <v>3278</v>
      </c>
      <c r="E35" s="2"/>
      <c r="F35" s="5">
        <v>56</v>
      </c>
      <c r="G35" s="4">
        <v>6622</v>
      </c>
      <c r="H35" s="4">
        <v>4796</v>
      </c>
      <c r="I35" s="4">
        <v>8471</v>
      </c>
      <c r="J35" s="4">
        <v>7270</v>
      </c>
    </row>
    <row r="36" spans="1:10" x14ac:dyDescent="0.2">
      <c r="A36" s="4" t="s">
        <v>11</v>
      </c>
      <c r="B36" s="4" t="s">
        <v>24</v>
      </c>
      <c r="C36" s="4">
        <v>71</v>
      </c>
      <c r="D36" s="4">
        <v>2592</v>
      </c>
      <c r="E36" s="2"/>
      <c r="F36" s="5">
        <v>57</v>
      </c>
      <c r="G36" s="4">
        <v>6713</v>
      </c>
      <c r="H36" s="4">
        <v>4834</v>
      </c>
      <c r="I36" s="4">
        <v>7798</v>
      </c>
      <c r="J36" s="4">
        <v>6890</v>
      </c>
    </row>
    <row r="37" spans="1:10" x14ac:dyDescent="0.2">
      <c r="A37" s="4" t="s">
        <v>11</v>
      </c>
      <c r="B37" s="4" t="s">
        <v>23</v>
      </c>
      <c r="C37" s="4">
        <v>71</v>
      </c>
      <c r="D37" s="4">
        <v>3878</v>
      </c>
      <c r="E37" s="2"/>
      <c r="F37" s="5">
        <v>58</v>
      </c>
      <c r="G37" s="4">
        <v>6725</v>
      </c>
      <c r="H37" s="4">
        <v>4780</v>
      </c>
      <c r="I37" s="4">
        <v>7451</v>
      </c>
      <c r="J37" s="4">
        <v>6349</v>
      </c>
    </row>
    <row r="38" spans="1:10" x14ac:dyDescent="0.2">
      <c r="A38" s="4" t="s">
        <v>11</v>
      </c>
      <c r="B38" s="4" t="s">
        <v>23</v>
      </c>
      <c r="C38" s="4">
        <v>70</v>
      </c>
      <c r="D38" s="4">
        <v>4278</v>
      </c>
      <c r="E38" s="2"/>
      <c r="F38" s="5">
        <v>59</v>
      </c>
      <c r="G38" s="4">
        <v>6764</v>
      </c>
      <c r="H38" s="4">
        <v>4865</v>
      </c>
      <c r="I38" s="4">
        <v>6839</v>
      </c>
      <c r="J38" s="4">
        <v>5840</v>
      </c>
    </row>
    <row r="39" spans="1:10" x14ac:dyDescent="0.2">
      <c r="A39" s="4" t="s">
        <v>11</v>
      </c>
      <c r="B39" s="4" t="s">
        <v>24</v>
      </c>
      <c r="C39" s="4">
        <v>70</v>
      </c>
      <c r="D39" s="4">
        <v>3088</v>
      </c>
      <c r="E39" s="2"/>
      <c r="F39" s="5">
        <v>60</v>
      </c>
      <c r="G39" s="4">
        <v>6694</v>
      </c>
      <c r="H39" s="4">
        <v>4791</v>
      </c>
      <c r="I39" s="4">
        <v>6269</v>
      </c>
      <c r="J39" s="4">
        <v>5426</v>
      </c>
    </row>
    <row r="40" spans="1:10" x14ac:dyDescent="0.2">
      <c r="A40" s="4" t="s">
        <v>11</v>
      </c>
      <c r="B40" s="4" t="s">
        <v>24</v>
      </c>
      <c r="C40" s="4">
        <v>69</v>
      </c>
      <c r="D40" s="4">
        <v>3432</v>
      </c>
      <c r="E40" s="2"/>
      <c r="F40" s="5">
        <v>61</v>
      </c>
      <c r="G40" s="4">
        <v>6676</v>
      </c>
      <c r="H40" s="4">
        <v>4901</v>
      </c>
      <c r="I40" s="4">
        <v>5621</v>
      </c>
      <c r="J40" s="4">
        <v>4692</v>
      </c>
    </row>
    <row r="41" spans="1:10" x14ac:dyDescent="0.2">
      <c r="A41" s="4" t="s">
        <v>11</v>
      </c>
      <c r="B41" s="4" t="s">
        <v>23</v>
      </c>
      <c r="C41" s="4">
        <v>69</v>
      </c>
      <c r="D41" s="4">
        <v>4803</v>
      </c>
      <c r="E41" s="2"/>
      <c r="F41" s="5">
        <v>62</v>
      </c>
      <c r="G41" s="4">
        <v>6541</v>
      </c>
      <c r="H41" s="4">
        <v>4938</v>
      </c>
      <c r="I41" s="4">
        <v>5183</v>
      </c>
      <c r="J41" s="4">
        <v>4212</v>
      </c>
    </row>
    <row r="42" spans="1:10" x14ac:dyDescent="0.2">
      <c r="A42" s="4" t="s">
        <v>11</v>
      </c>
      <c r="B42" s="4" t="s">
        <v>24</v>
      </c>
      <c r="C42" s="4">
        <v>68</v>
      </c>
      <c r="D42" s="4">
        <v>3853</v>
      </c>
      <c r="E42" s="2"/>
      <c r="F42" s="5">
        <v>63</v>
      </c>
      <c r="G42" s="4">
        <v>6536</v>
      </c>
      <c r="H42" s="4">
        <v>4847</v>
      </c>
      <c r="I42" s="4">
        <v>4698</v>
      </c>
      <c r="J42" s="4">
        <v>3891</v>
      </c>
    </row>
    <row r="43" spans="1:10" x14ac:dyDescent="0.2">
      <c r="A43" s="4" t="s">
        <v>11</v>
      </c>
      <c r="B43" s="4" t="s">
        <v>23</v>
      </c>
      <c r="C43" s="4">
        <v>68</v>
      </c>
      <c r="D43" s="4">
        <v>5139</v>
      </c>
      <c r="E43" s="2"/>
      <c r="F43" s="5">
        <v>64</v>
      </c>
      <c r="G43" s="4">
        <v>6531</v>
      </c>
      <c r="H43" s="4">
        <v>4799</v>
      </c>
      <c r="I43" s="4">
        <v>4291</v>
      </c>
      <c r="J43" s="4">
        <v>3442</v>
      </c>
    </row>
    <row r="44" spans="1:10" x14ac:dyDescent="0.2">
      <c r="A44" s="4" t="s">
        <v>11</v>
      </c>
      <c r="B44" s="4" t="s">
        <v>23</v>
      </c>
      <c r="C44" s="4">
        <v>67</v>
      </c>
      <c r="D44" s="4">
        <v>5922</v>
      </c>
      <c r="E44" s="2"/>
      <c r="F44" s="5">
        <v>65</v>
      </c>
      <c r="G44" s="4">
        <v>6454</v>
      </c>
      <c r="H44" s="4">
        <v>4914</v>
      </c>
      <c r="I44" s="4">
        <v>3799</v>
      </c>
      <c r="J44" s="4">
        <v>2937</v>
      </c>
    </row>
    <row r="45" spans="1:10" x14ac:dyDescent="0.2">
      <c r="A45" s="4" t="s">
        <v>11</v>
      </c>
      <c r="B45" s="4" t="s">
        <v>24</v>
      </c>
      <c r="C45" s="4">
        <v>67</v>
      </c>
      <c r="D45" s="4">
        <v>4374</v>
      </c>
      <c r="E45" s="2"/>
      <c r="F45" s="5">
        <v>66</v>
      </c>
      <c r="G45" s="4">
        <v>6469</v>
      </c>
      <c r="H45" s="4">
        <v>4708</v>
      </c>
      <c r="I45" s="4">
        <v>3208</v>
      </c>
      <c r="J45" s="4">
        <v>2630</v>
      </c>
    </row>
    <row r="46" spans="1:10" x14ac:dyDescent="0.2">
      <c r="A46" s="4" t="s">
        <v>11</v>
      </c>
      <c r="B46" s="4" t="s">
        <v>23</v>
      </c>
      <c r="C46" s="4">
        <v>66</v>
      </c>
      <c r="D46" s="4">
        <v>6469</v>
      </c>
      <c r="E46" s="2"/>
      <c r="F46" s="5">
        <v>67</v>
      </c>
      <c r="G46" s="4">
        <v>5922</v>
      </c>
      <c r="H46" s="4">
        <v>4374</v>
      </c>
      <c r="I46" s="4">
        <v>2903</v>
      </c>
      <c r="J46" s="4">
        <v>2299</v>
      </c>
    </row>
    <row r="47" spans="1:10" x14ac:dyDescent="0.2">
      <c r="A47" s="4" t="s">
        <v>11</v>
      </c>
      <c r="B47" s="4" t="s">
        <v>24</v>
      </c>
      <c r="C47" s="4">
        <v>66</v>
      </c>
      <c r="D47" s="4">
        <v>4708</v>
      </c>
      <c r="E47" s="2"/>
      <c r="F47" s="5">
        <v>68</v>
      </c>
      <c r="G47" s="4">
        <v>5139</v>
      </c>
      <c r="H47" s="4">
        <v>3853</v>
      </c>
      <c r="I47" s="4">
        <v>2379</v>
      </c>
      <c r="J47" s="4">
        <v>1900</v>
      </c>
    </row>
    <row r="48" spans="1:10" x14ac:dyDescent="0.2">
      <c r="A48" s="4" t="s">
        <v>11</v>
      </c>
      <c r="B48" s="4" t="s">
        <v>24</v>
      </c>
      <c r="C48" s="4">
        <v>65</v>
      </c>
      <c r="D48" s="4">
        <v>4914</v>
      </c>
      <c r="E48" s="2"/>
      <c r="F48" s="5">
        <v>69</v>
      </c>
      <c r="G48" s="4">
        <v>4803</v>
      </c>
      <c r="H48" s="4">
        <v>3432</v>
      </c>
      <c r="I48" s="4">
        <v>1931</v>
      </c>
      <c r="J48" s="4">
        <v>1579</v>
      </c>
    </row>
    <row r="49" spans="1:10" x14ac:dyDescent="0.2">
      <c r="A49" s="4" t="s">
        <v>11</v>
      </c>
      <c r="B49" s="4" t="s">
        <v>23</v>
      </c>
      <c r="C49" s="4">
        <v>65</v>
      </c>
      <c r="D49" s="4">
        <v>6454</v>
      </c>
      <c r="E49" s="2"/>
      <c r="F49" s="5">
        <v>70</v>
      </c>
      <c r="G49" s="4">
        <v>4278</v>
      </c>
      <c r="H49" s="4">
        <v>3088</v>
      </c>
      <c r="I49" s="4">
        <v>1525</v>
      </c>
      <c r="J49" s="4">
        <v>1298</v>
      </c>
    </row>
    <row r="50" spans="1:10" x14ac:dyDescent="0.2">
      <c r="A50" s="4" t="s">
        <v>11</v>
      </c>
      <c r="B50" s="4" t="s">
        <v>24</v>
      </c>
      <c r="C50" s="4">
        <v>64</v>
      </c>
      <c r="D50" s="4">
        <v>4799</v>
      </c>
      <c r="E50" s="2"/>
      <c r="F50" s="5">
        <v>71</v>
      </c>
      <c r="G50" s="4">
        <v>3878</v>
      </c>
      <c r="H50" s="4">
        <v>2592</v>
      </c>
      <c r="I50" s="4">
        <v>1252</v>
      </c>
      <c r="J50" s="4">
        <v>953</v>
      </c>
    </row>
    <row r="51" spans="1:10" x14ac:dyDescent="0.2">
      <c r="A51" s="4" t="s">
        <v>11</v>
      </c>
      <c r="B51" s="4" t="s">
        <v>23</v>
      </c>
      <c r="C51" s="4">
        <v>64</v>
      </c>
      <c r="D51" s="4">
        <v>6531</v>
      </c>
      <c r="E51" s="2"/>
      <c r="F51" s="5">
        <v>72</v>
      </c>
      <c r="G51" s="4">
        <v>3278</v>
      </c>
      <c r="H51" s="4">
        <v>2357</v>
      </c>
      <c r="I51" s="4">
        <v>880</v>
      </c>
      <c r="J51" s="4">
        <v>674</v>
      </c>
    </row>
    <row r="52" spans="1:10" x14ac:dyDescent="0.2">
      <c r="A52" s="4" t="s">
        <v>11</v>
      </c>
      <c r="B52" s="4" t="s">
        <v>23</v>
      </c>
      <c r="C52" s="4">
        <v>63</v>
      </c>
      <c r="D52" s="4">
        <v>6536</v>
      </c>
      <c r="E52" s="2"/>
      <c r="F52" s="5">
        <v>73</v>
      </c>
      <c r="G52" s="4">
        <v>2943</v>
      </c>
      <c r="H52" s="4">
        <v>2143</v>
      </c>
      <c r="I52" s="4">
        <v>558</v>
      </c>
      <c r="J52" s="4">
        <v>408</v>
      </c>
    </row>
    <row r="53" spans="1:10" x14ac:dyDescent="0.2">
      <c r="A53" s="4" t="s">
        <v>11</v>
      </c>
      <c r="B53" s="4" t="s">
        <v>24</v>
      </c>
      <c r="C53" s="4">
        <v>63</v>
      </c>
      <c r="D53" s="4">
        <v>4847</v>
      </c>
      <c r="E53" s="2"/>
      <c r="F53" s="5">
        <v>74</v>
      </c>
      <c r="G53" s="4">
        <v>2590</v>
      </c>
      <c r="H53" s="4">
        <v>1772</v>
      </c>
      <c r="I53" s="4">
        <v>233</v>
      </c>
      <c r="J53" s="4">
        <v>170</v>
      </c>
    </row>
    <row r="54" spans="1:10" x14ac:dyDescent="0.2">
      <c r="A54" s="4" t="s">
        <v>11</v>
      </c>
      <c r="B54" s="4" t="s">
        <v>24</v>
      </c>
      <c r="C54" s="4">
        <v>62</v>
      </c>
      <c r="D54" s="4">
        <v>4938</v>
      </c>
      <c r="E54" s="2"/>
      <c r="F54" s="5">
        <v>75</v>
      </c>
      <c r="G54" s="4">
        <v>2272</v>
      </c>
      <c r="H54" s="4">
        <v>1530</v>
      </c>
      <c r="I54" s="4">
        <v>0</v>
      </c>
      <c r="J54" s="4">
        <v>0</v>
      </c>
    </row>
    <row r="55" spans="1:10" x14ac:dyDescent="0.2">
      <c r="A55" s="4" t="s">
        <v>11</v>
      </c>
      <c r="B55" s="4" t="s">
        <v>23</v>
      </c>
      <c r="C55" s="4">
        <v>62</v>
      </c>
      <c r="D55" s="4">
        <v>6541</v>
      </c>
      <c r="E55" s="2"/>
      <c r="F55" s="5">
        <v>76</v>
      </c>
      <c r="G55" s="4">
        <v>1976</v>
      </c>
      <c r="H55" s="4">
        <v>1320</v>
      </c>
      <c r="I55" s="4">
        <v>0</v>
      </c>
      <c r="J55" s="4">
        <v>0</v>
      </c>
    </row>
    <row r="56" spans="1:10" x14ac:dyDescent="0.2">
      <c r="A56" s="4" t="s">
        <v>11</v>
      </c>
      <c r="B56" s="4" t="s">
        <v>24</v>
      </c>
      <c r="C56" s="4">
        <v>61</v>
      </c>
      <c r="D56" s="4">
        <v>4901</v>
      </c>
      <c r="E56" s="2"/>
      <c r="F56" s="5">
        <v>77</v>
      </c>
      <c r="G56" s="4">
        <v>1719</v>
      </c>
      <c r="H56" s="4">
        <v>1118</v>
      </c>
      <c r="I56" s="4">
        <v>0</v>
      </c>
      <c r="J56" s="4">
        <v>0</v>
      </c>
    </row>
    <row r="57" spans="1:10" x14ac:dyDescent="0.2">
      <c r="A57" s="4" t="s">
        <v>11</v>
      </c>
      <c r="B57" s="4" t="s">
        <v>23</v>
      </c>
      <c r="C57" s="4">
        <v>61</v>
      </c>
      <c r="D57" s="4">
        <v>6676</v>
      </c>
      <c r="E57" s="2"/>
      <c r="F57" s="5">
        <v>78</v>
      </c>
      <c r="G57" s="4">
        <v>1356</v>
      </c>
      <c r="H57" s="4">
        <v>913</v>
      </c>
      <c r="I57" s="4">
        <v>0</v>
      </c>
      <c r="J57" s="4">
        <v>0</v>
      </c>
    </row>
    <row r="58" spans="1:10" x14ac:dyDescent="0.2">
      <c r="A58" s="4" t="s">
        <v>11</v>
      </c>
      <c r="B58" s="4" t="s">
        <v>23</v>
      </c>
      <c r="C58" s="4">
        <v>60</v>
      </c>
      <c r="D58" s="4">
        <v>6694</v>
      </c>
      <c r="E58" s="2"/>
      <c r="F58" s="5">
        <v>79</v>
      </c>
      <c r="G58" s="4">
        <v>1166</v>
      </c>
      <c r="H58" s="4">
        <v>769</v>
      </c>
      <c r="I58" s="4">
        <v>0</v>
      </c>
      <c r="J58" s="4">
        <v>0</v>
      </c>
    </row>
    <row r="59" spans="1:10" x14ac:dyDescent="0.2">
      <c r="A59" s="4" t="s">
        <v>11</v>
      </c>
      <c r="B59" s="4" t="s">
        <v>24</v>
      </c>
      <c r="C59" s="4">
        <v>60</v>
      </c>
      <c r="D59" s="4">
        <v>4791</v>
      </c>
      <c r="E59" s="2"/>
      <c r="F59" s="5">
        <v>80</v>
      </c>
      <c r="G59" s="4">
        <v>894</v>
      </c>
      <c r="H59" s="4">
        <v>626</v>
      </c>
      <c r="I59" s="4">
        <v>0</v>
      </c>
      <c r="J59" s="4">
        <v>0</v>
      </c>
    </row>
    <row r="60" spans="1:10" x14ac:dyDescent="0.2">
      <c r="A60" s="4" t="s">
        <v>11</v>
      </c>
      <c r="B60" s="4" t="s">
        <v>23</v>
      </c>
      <c r="C60" s="4">
        <v>59</v>
      </c>
      <c r="D60" s="4">
        <v>6764</v>
      </c>
      <c r="E60" s="2"/>
      <c r="F60" s="5">
        <v>81</v>
      </c>
      <c r="G60" s="4">
        <v>750</v>
      </c>
      <c r="H60" s="4">
        <v>560</v>
      </c>
      <c r="I60" s="4">
        <v>0</v>
      </c>
      <c r="J60" s="4">
        <v>0</v>
      </c>
    </row>
    <row r="61" spans="1:10" x14ac:dyDescent="0.2">
      <c r="A61" s="4" t="s">
        <v>11</v>
      </c>
      <c r="B61" s="4" t="s">
        <v>24</v>
      </c>
      <c r="C61" s="4">
        <v>59</v>
      </c>
      <c r="D61" s="4">
        <v>4865</v>
      </c>
      <c r="E61" s="2"/>
      <c r="F61" s="5">
        <v>82</v>
      </c>
      <c r="G61" s="4">
        <v>576</v>
      </c>
      <c r="H61" s="4">
        <v>375</v>
      </c>
      <c r="I61" s="4">
        <v>0</v>
      </c>
      <c r="J61" s="4">
        <v>0</v>
      </c>
    </row>
    <row r="62" spans="1:10" x14ac:dyDescent="0.2">
      <c r="A62" s="4" t="s">
        <v>11</v>
      </c>
      <c r="B62" s="4" t="s">
        <v>23</v>
      </c>
      <c r="C62" s="4">
        <v>58</v>
      </c>
      <c r="D62" s="4">
        <v>6725</v>
      </c>
      <c r="E62" s="2"/>
      <c r="F62" s="5">
        <v>83</v>
      </c>
      <c r="G62" s="4">
        <v>392</v>
      </c>
      <c r="H62" s="4">
        <v>297</v>
      </c>
      <c r="I62" s="4">
        <v>0</v>
      </c>
      <c r="J62" s="4">
        <v>0</v>
      </c>
    </row>
    <row r="63" spans="1:10" x14ac:dyDescent="0.2">
      <c r="A63" s="4" t="s">
        <v>11</v>
      </c>
      <c r="B63" s="4" t="s">
        <v>24</v>
      </c>
      <c r="C63" s="4">
        <v>58</v>
      </c>
      <c r="D63" s="4">
        <v>4780</v>
      </c>
      <c r="E63" s="2"/>
      <c r="F63" s="5">
        <v>84</v>
      </c>
      <c r="G63" s="4">
        <v>290</v>
      </c>
      <c r="H63" s="4">
        <v>191</v>
      </c>
      <c r="I63" s="4">
        <v>0</v>
      </c>
      <c r="J63" s="4">
        <v>0</v>
      </c>
    </row>
    <row r="64" spans="1:10" x14ac:dyDescent="0.2">
      <c r="A64" s="4" t="s">
        <v>11</v>
      </c>
      <c r="B64" s="4" t="s">
        <v>24</v>
      </c>
      <c r="C64" s="4">
        <v>57</v>
      </c>
      <c r="D64" s="4">
        <v>4834</v>
      </c>
      <c r="E64" s="2"/>
      <c r="F64" s="5">
        <v>85</v>
      </c>
      <c r="G64" s="4">
        <v>240</v>
      </c>
      <c r="H64" s="4">
        <v>152</v>
      </c>
      <c r="I64" s="4">
        <v>0</v>
      </c>
      <c r="J64" s="4">
        <v>0</v>
      </c>
    </row>
    <row r="65" spans="1:10" x14ac:dyDescent="0.2">
      <c r="A65" s="4" t="s">
        <v>11</v>
      </c>
      <c r="B65" s="4" t="s">
        <v>23</v>
      </c>
      <c r="C65" s="4">
        <v>57</v>
      </c>
      <c r="D65" s="4">
        <v>6713</v>
      </c>
      <c r="E65" s="2"/>
      <c r="F65" s="5">
        <v>86</v>
      </c>
      <c r="G65" s="4">
        <v>126</v>
      </c>
      <c r="H65" s="4">
        <v>79</v>
      </c>
      <c r="I65" s="4">
        <v>0</v>
      </c>
      <c r="J65" s="4">
        <v>0</v>
      </c>
    </row>
    <row r="66" spans="1:10" x14ac:dyDescent="0.2">
      <c r="A66" s="4" t="s">
        <v>25</v>
      </c>
      <c r="B66" s="4" t="s">
        <v>24</v>
      </c>
      <c r="C66" s="4">
        <v>74</v>
      </c>
      <c r="D66" s="4">
        <v>170</v>
      </c>
      <c r="E66" s="2"/>
      <c r="F66" s="5">
        <v>87</v>
      </c>
      <c r="G66" s="4">
        <v>54</v>
      </c>
      <c r="H66" s="4">
        <v>52</v>
      </c>
      <c r="I66" s="4">
        <v>0</v>
      </c>
      <c r="J66" s="4">
        <v>0</v>
      </c>
    </row>
    <row r="67" spans="1:10" x14ac:dyDescent="0.2">
      <c r="A67" s="4" t="s">
        <v>25</v>
      </c>
      <c r="B67" s="4" t="s">
        <v>23</v>
      </c>
      <c r="C67" s="4">
        <v>74</v>
      </c>
      <c r="D67" s="4">
        <v>233</v>
      </c>
      <c r="E67" s="2"/>
      <c r="F67" s="5">
        <v>88</v>
      </c>
      <c r="G67" s="4">
        <v>30</v>
      </c>
      <c r="H67" s="4">
        <v>19</v>
      </c>
      <c r="I67" s="4">
        <v>0</v>
      </c>
      <c r="J67" s="4">
        <v>0</v>
      </c>
    </row>
    <row r="68" spans="1:10" x14ac:dyDescent="0.2">
      <c r="A68" s="4" t="s">
        <v>25</v>
      </c>
      <c r="B68" s="4" t="s">
        <v>23</v>
      </c>
      <c r="C68" s="4">
        <v>73</v>
      </c>
      <c r="D68" s="4">
        <v>558</v>
      </c>
      <c r="E68" s="2"/>
      <c r="F68" s="5">
        <v>89</v>
      </c>
      <c r="G68" s="4">
        <v>0</v>
      </c>
      <c r="H68" s="4">
        <v>0</v>
      </c>
      <c r="I68" s="4">
        <v>0</v>
      </c>
      <c r="J68" s="4">
        <v>0</v>
      </c>
    </row>
    <row r="69" spans="1:10" x14ac:dyDescent="0.2">
      <c r="A69" s="4" t="s">
        <v>25</v>
      </c>
      <c r="B69" s="4" t="s">
        <v>24</v>
      </c>
      <c r="C69" s="4">
        <v>73</v>
      </c>
      <c r="D69" s="4">
        <v>408</v>
      </c>
      <c r="E69" s="2"/>
      <c r="F69" s="5">
        <v>90</v>
      </c>
      <c r="G69" s="4">
        <v>0</v>
      </c>
      <c r="H69" s="4">
        <v>0</v>
      </c>
      <c r="I69" s="4">
        <v>0</v>
      </c>
      <c r="J69" s="4">
        <v>0</v>
      </c>
    </row>
    <row r="70" spans="1:10" x14ac:dyDescent="0.2">
      <c r="A70" s="4" t="s">
        <v>25</v>
      </c>
      <c r="B70" s="4" t="s">
        <v>24</v>
      </c>
      <c r="C70" s="4">
        <v>72</v>
      </c>
      <c r="D70" s="4">
        <v>674</v>
      </c>
      <c r="E70" s="2"/>
      <c r="F70" s="5">
        <v>91</v>
      </c>
      <c r="G70" s="4">
        <v>0</v>
      </c>
      <c r="H70" s="4">
        <v>0</v>
      </c>
      <c r="I70" s="4">
        <v>0</v>
      </c>
      <c r="J70" s="4">
        <v>0</v>
      </c>
    </row>
    <row r="71" spans="1:10" x14ac:dyDescent="0.2">
      <c r="A71" s="4" t="s">
        <v>25</v>
      </c>
      <c r="B71" s="4" t="s">
        <v>23</v>
      </c>
      <c r="C71" s="4">
        <v>72</v>
      </c>
      <c r="D71" s="4">
        <v>880</v>
      </c>
      <c r="E71" s="2"/>
      <c r="F71" s="5">
        <v>92</v>
      </c>
      <c r="G71" s="4">
        <v>0</v>
      </c>
      <c r="H71" s="4">
        <v>0</v>
      </c>
      <c r="I71" s="4">
        <v>0</v>
      </c>
      <c r="J71" s="4">
        <v>0</v>
      </c>
    </row>
    <row r="72" spans="1:10" x14ac:dyDescent="0.2">
      <c r="A72" s="4" t="s">
        <v>25</v>
      </c>
      <c r="B72" s="4" t="s">
        <v>24</v>
      </c>
      <c r="C72" s="4">
        <v>71</v>
      </c>
      <c r="D72" s="4">
        <v>953</v>
      </c>
      <c r="E72" s="2"/>
      <c r="F72" s="5">
        <v>93</v>
      </c>
      <c r="G72" s="4">
        <v>0</v>
      </c>
      <c r="H72" s="4">
        <v>0</v>
      </c>
      <c r="I72" s="4">
        <v>0</v>
      </c>
      <c r="J72" s="4">
        <v>0</v>
      </c>
    </row>
    <row r="73" spans="1:10" x14ac:dyDescent="0.2">
      <c r="A73" s="4" t="s">
        <v>25</v>
      </c>
      <c r="B73" s="4" t="s">
        <v>23</v>
      </c>
      <c r="C73" s="4">
        <v>71</v>
      </c>
      <c r="D73" s="4">
        <v>1252</v>
      </c>
      <c r="E73" s="2"/>
      <c r="F73" s="5">
        <v>94</v>
      </c>
      <c r="G73" s="4">
        <v>0</v>
      </c>
      <c r="H73" s="4">
        <v>0</v>
      </c>
      <c r="I73" s="4">
        <v>0</v>
      </c>
      <c r="J73" s="4">
        <v>0</v>
      </c>
    </row>
    <row r="74" spans="1:10" x14ac:dyDescent="0.2">
      <c r="A74" s="4" t="s">
        <v>25</v>
      </c>
      <c r="B74" s="4" t="s">
        <v>23</v>
      </c>
      <c r="C74" s="4">
        <v>70</v>
      </c>
      <c r="D74" s="4">
        <v>1525</v>
      </c>
      <c r="E74" s="2"/>
      <c r="F74" s="5">
        <v>95</v>
      </c>
      <c r="G74" s="4">
        <v>0</v>
      </c>
      <c r="H74" s="4">
        <v>0</v>
      </c>
      <c r="I74" s="4">
        <v>0</v>
      </c>
      <c r="J74" s="4">
        <v>0</v>
      </c>
    </row>
    <row r="75" spans="1:10" x14ac:dyDescent="0.2">
      <c r="A75" s="4" t="s">
        <v>25</v>
      </c>
      <c r="B75" s="4" t="s">
        <v>24</v>
      </c>
      <c r="C75" s="4">
        <v>70</v>
      </c>
      <c r="D75" s="4">
        <v>1298</v>
      </c>
      <c r="E75" s="2"/>
      <c r="F75" s="2"/>
      <c r="G75" s="2"/>
      <c r="H75" s="2"/>
      <c r="I75" s="2"/>
      <c r="J75" s="2"/>
    </row>
    <row r="76" spans="1:10" x14ac:dyDescent="0.2">
      <c r="A76" s="4" t="s">
        <v>25</v>
      </c>
      <c r="B76" s="4" t="s">
        <v>23</v>
      </c>
      <c r="C76" s="4">
        <v>69</v>
      </c>
      <c r="D76" s="4">
        <v>1931</v>
      </c>
      <c r="E76" s="2"/>
      <c r="F76" s="2"/>
      <c r="G76" s="2"/>
      <c r="H76" s="2"/>
      <c r="I76" s="2"/>
      <c r="J76" s="2"/>
    </row>
    <row r="77" spans="1:10" x14ac:dyDescent="0.2">
      <c r="A77" s="4" t="s">
        <v>25</v>
      </c>
      <c r="B77" s="4" t="s">
        <v>24</v>
      </c>
      <c r="C77" s="4">
        <v>69</v>
      </c>
      <c r="D77" s="4">
        <v>1579</v>
      </c>
      <c r="E77" s="2"/>
      <c r="F77" s="2"/>
      <c r="G77" s="2"/>
      <c r="H77" s="2"/>
      <c r="I77" s="2"/>
      <c r="J77" s="2"/>
    </row>
    <row r="78" spans="1:10" x14ac:dyDescent="0.2">
      <c r="A78" s="4" t="s">
        <v>25</v>
      </c>
      <c r="B78" s="4" t="s">
        <v>23</v>
      </c>
      <c r="C78" s="4">
        <v>68</v>
      </c>
      <c r="D78" s="4">
        <v>2379</v>
      </c>
      <c r="E78" s="2"/>
      <c r="F78" s="2"/>
      <c r="G78" s="2"/>
      <c r="H78" s="2"/>
      <c r="I78" s="2"/>
      <c r="J78" s="2"/>
    </row>
    <row r="79" spans="1:10" x14ac:dyDescent="0.2">
      <c r="A79" s="4" t="s">
        <v>25</v>
      </c>
      <c r="B79" s="4" t="s">
        <v>24</v>
      </c>
      <c r="C79" s="4">
        <v>68</v>
      </c>
      <c r="D79" s="4">
        <v>1900</v>
      </c>
      <c r="E79" s="2"/>
      <c r="F79" s="2"/>
      <c r="G79" s="2"/>
      <c r="H79" s="2"/>
      <c r="I79" s="2"/>
      <c r="J79" s="2"/>
    </row>
    <row r="80" spans="1:10" x14ac:dyDescent="0.2">
      <c r="A80" s="4" t="s">
        <v>25</v>
      </c>
      <c r="B80" s="4" t="s">
        <v>23</v>
      </c>
      <c r="C80" s="4">
        <v>67</v>
      </c>
      <c r="D80" s="4">
        <v>2903</v>
      </c>
      <c r="E80" s="2"/>
      <c r="F80" s="2"/>
      <c r="G80" s="2"/>
      <c r="H80" s="2"/>
      <c r="I80" s="2"/>
      <c r="J80" s="2"/>
    </row>
    <row r="81" spans="1:10" x14ac:dyDescent="0.2">
      <c r="A81" s="4" t="s">
        <v>25</v>
      </c>
      <c r="B81" s="4" t="s">
        <v>24</v>
      </c>
      <c r="C81" s="4">
        <v>67</v>
      </c>
      <c r="D81" s="4">
        <v>2299</v>
      </c>
      <c r="E81" s="2"/>
      <c r="F81" s="2"/>
      <c r="G81" s="2"/>
      <c r="H81" s="2"/>
      <c r="I81" s="2"/>
      <c r="J81" s="2"/>
    </row>
    <row r="82" spans="1:10" x14ac:dyDescent="0.2">
      <c r="A82" s="4" t="s">
        <v>25</v>
      </c>
      <c r="B82" s="4" t="s">
        <v>23</v>
      </c>
      <c r="C82" s="4">
        <v>66</v>
      </c>
      <c r="D82" s="4">
        <v>3208</v>
      </c>
      <c r="E82" s="2"/>
      <c r="F82" s="2"/>
      <c r="G82" s="2"/>
      <c r="H82" s="2"/>
      <c r="I82" s="2"/>
      <c r="J82" s="2"/>
    </row>
    <row r="83" spans="1:10" x14ac:dyDescent="0.2">
      <c r="A83" s="4" t="s">
        <v>25</v>
      </c>
      <c r="B83" s="4" t="s">
        <v>24</v>
      </c>
      <c r="C83" s="4">
        <v>66</v>
      </c>
      <c r="D83" s="4">
        <v>2630</v>
      </c>
      <c r="E83" s="2"/>
      <c r="F83" s="2"/>
      <c r="G83" s="2"/>
      <c r="H83" s="2"/>
      <c r="I83" s="2"/>
      <c r="J83" s="2"/>
    </row>
    <row r="84" spans="1:10" x14ac:dyDescent="0.2">
      <c r="A84" s="4" t="s">
        <v>25</v>
      </c>
      <c r="B84" s="4" t="s">
        <v>23</v>
      </c>
      <c r="C84" s="4">
        <v>65</v>
      </c>
      <c r="D84" s="4">
        <v>3799</v>
      </c>
      <c r="E84" s="2"/>
      <c r="F84" s="2"/>
      <c r="G84" s="2"/>
      <c r="H84" s="2"/>
      <c r="I84" s="2"/>
      <c r="J84" s="2"/>
    </row>
    <row r="85" spans="1:10" x14ac:dyDescent="0.2">
      <c r="A85" s="4" t="s">
        <v>25</v>
      </c>
      <c r="B85" s="4" t="s">
        <v>24</v>
      </c>
      <c r="C85" s="4">
        <v>65</v>
      </c>
      <c r="D85" s="4">
        <v>2937</v>
      </c>
      <c r="E85" s="2"/>
      <c r="F85" s="2"/>
      <c r="G85" s="2"/>
      <c r="H85" s="2"/>
      <c r="I85" s="2"/>
      <c r="J85" s="2"/>
    </row>
    <row r="86" spans="1:10" x14ac:dyDescent="0.2">
      <c r="A86" s="4" t="s">
        <v>25</v>
      </c>
      <c r="B86" s="4" t="s">
        <v>24</v>
      </c>
      <c r="C86" s="4">
        <v>64</v>
      </c>
      <c r="D86" s="4">
        <v>3442</v>
      </c>
      <c r="E86" s="2"/>
      <c r="F86" s="2"/>
      <c r="G86" s="2"/>
      <c r="H86" s="2"/>
      <c r="I86" s="2"/>
      <c r="J86" s="2"/>
    </row>
    <row r="87" spans="1:10" x14ac:dyDescent="0.2">
      <c r="A87" s="4" t="s">
        <v>25</v>
      </c>
      <c r="B87" s="4" t="s">
        <v>23</v>
      </c>
      <c r="C87" s="4">
        <v>64</v>
      </c>
      <c r="D87" s="4">
        <v>4291</v>
      </c>
      <c r="E87" s="2"/>
      <c r="F87" s="2"/>
      <c r="G87" s="2"/>
      <c r="H87" s="2"/>
      <c r="I87" s="2"/>
      <c r="J87" s="2"/>
    </row>
    <row r="88" spans="1:10" x14ac:dyDescent="0.2">
      <c r="A88" s="4" t="s">
        <v>25</v>
      </c>
      <c r="B88" s="4" t="s">
        <v>24</v>
      </c>
      <c r="C88" s="4">
        <v>63</v>
      </c>
      <c r="D88" s="4">
        <v>3891</v>
      </c>
      <c r="E88" s="2"/>
      <c r="F88" s="2"/>
      <c r="G88" s="2"/>
      <c r="H88" s="2"/>
      <c r="I88" s="2"/>
      <c r="J88" s="2"/>
    </row>
    <row r="89" spans="1:10" x14ac:dyDescent="0.2">
      <c r="A89" s="4" t="s">
        <v>25</v>
      </c>
      <c r="B89" s="4" t="s">
        <v>23</v>
      </c>
      <c r="C89" s="4">
        <v>63</v>
      </c>
      <c r="D89" s="4">
        <v>4698</v>
      </c>
      <c r="E89" s="2"/>
      <c r="F89" s="2"/>
      <c r="G89" s="2"/>
      <c r="H89" s="2"/>
      <c r="I89" s="2"/>
      <c r="J89" s="2"/>
    </row>
    <row r="90" spans="1:10" x14ac:dyDescent="0.2">
      <c r="A90" s="4" t="s">
        <v>25</v>
      </c>
      <c r="B90" s="4" t="s">
        <v>23</v>
      </c>
      <c r="C90" s="4">
        <v>62</v>
      </c>
      <c r="D90" s="4">
        <v>5183</v>
      </c>
      <c r="E90" s="2"/>
      <c r="F90" s="2"/>
      <c r="G90" s="2"/>
      <c r="H90" s="2"/>
      <c r="I90" s="2"/>
      <c r="J90" s="2"/>
    </row>
    <row r="91" spans="1:10" x14ac:dyDescent="0.2">
      <c r="A91" s="4" t="s">
        <v>25</v>
      </c>
      <c r="B91" s="4" t="s">
        <v>24</v>
      </c>
      <c r="C91" s="4">
        <v>62</v>
      </c>
      <c r="D91" s="4">
        <v>4212</v>
      </c>
      <c r="E91" s="2"/>
      <c r="F91" s="2"/>
      <c r="G91" s="2"/>
      <c r="H91" s="2"/>
      <c r="I91" s="2"/>
      <c r="J91" s="2"/>
    </row>
    <row r="92" spans="1:10" x14ac:dyDescent="0.2">
      <c r="A92" s="4" t="s">
        <v>25</v>
      </c>
      <c r="B92" s="4" t="s">
        <v>23</v>
      </c>
      <c r="C92" s="4">
        <v>61</v>
      </c>
      <c r="D92" s="4">
        <v>5621</v>
      </c>
      <c r="E92" s="2"/>
      <c r="F92" s="2"/>
      <c r="G92" s="2"/>
      <c r="H92" s="2"/>
      <c r="I92" s="2"/>
      <c r="J92" s="2"/>
    </row>
    <row r="93" spans="1:10" x14ac:dyDescent="0.2">
      <c r="A93" s="4" t="s">
        <v>25</v>
      </c>
      <c r="B93" s="4" t="s">
        <v>24</v>
      </c>
      <c r="C93" s="4">
        <v>61</v>
      </c>
      <c r="D93" s="4">
        <v>4692</v>
      </c>
      <c r="E93" s="2"/>
      <c r="F93" s="2"/>
      <c r="G93" s="2"/>
      <c r="H93" s="2"/>
      <c r="I93" s="2"/>
      <c r="J93" s="2"/>
    </row>
    <row r="94" spans="1:10" x14ac:dyDescent="0.2">
      <c r="A94" s="4" t="s">
        <v>25</v>
      </c>
      <c r="B94" s="4" t="s">
        <v>24</v>
      </c>
      <c r="C94" s="4">
        <v>60</v>
      </c>
      <c r="D94" s="4">
        <v>5426</v>
      </c>
      <c r="E94" s="2"/>
      <c r="F94" s="2"/>
      <c r="G94" s="2"/>
      <c r="H94" s="2"/>
      <c r="I94" s="2"/>
      <c r="J94" s="2"/>
    </row>
    <row r="95" spans="1:10" x14ac:dyDescent="0.2">
      <c r="A95" s="4" t="s">
        <v>25</v>
      </c>
      <c r="B95" s="4" t="s">
        <v>23</v>
      </c>
      <c r="C95" s="4">
        <v>60</v>
      </c>
      <c r="D95" s="4">
        <v>6269</v>
      </c>
      <c r="E95" s="2"/>
      <c r="F95" s="2"/>
      <c r="G95" s="2"/>
      <c r="H95" s="2"/>
      <c r="I95" s="2"/>
      <c r="J95" s="2"/>
    </row>
    <row r="96" spans="1:10" x14ac:dyDescent="0.2">
      <c r="A96" s="4" t="s">
        <v>25</v>
      </c>
      <c r="B96" s="4" t="s">
        <v>24</v>
      </c>
      <c r="C96" s="4">
        <v>59</v>
      </c>
      <c r="D96" s="4">
        <v>5840</v>
      </c>
      <c r="E96" s="2"/>
      <c r="F96" s="2"/>
      <c r="G96" s="2"/>
      <c r="H96" s="2"/>
      <c r="I96" s="2"/>
      <c r="J96" s="2"/>
    </row>
    <row r="97" spans="1:10" x14ac:dyDescent="0.2">
      <c r="A97" s="4" t="s">
        <v>25</v>
      </c>
      <c r="B97" s="4" t="s">
        <v>23</v>
      </c>
      <c r="C97" s="4">
        <v>59</v>
      </c>
      <c r="D97" s="4">
        <v>6839</v>
      </c>
      <c r="E97" s="2"/>
      <c r="F97" s="2"/>
      <c r="G97" s="2"/>
      <c r="H97" s="2"/>
      <c r="I97" s="2"/>
      <c r="J97" s="2"/>
    </row>
    <row r="98" spans="1:10" x14ac:dyDescent="0.2">
      <c r="A98" s="4" t="s">
        <v>25</v>
      </c>
      <c r="B98" s="4" t="s">
        <v>24</v>
      </c>
      <c r="C98" s="4">
        <v>58</v>
      </c>
      <c r="D98" s="4">
        <v>6349</v>
      </c>
      <c r="E98" s="2"/>
      <c r="F98" s="2"/>
      <c r="G98" s="2"/>
      <c r="H98" s="2"/>
      <c r="I98" s="2"/>
      <c r="J98" s="2"/>
    </row>
    <row r="99" spans="1:10" x14ac:dyDescent="0.2">
      <c r="A99" s="4" t="s">
        <v>25</v>
      </c>
      <c r="B99" s="4" t="s">
        <v>23</v>
      </c>
      <c r="C99" s="4">
        <v>58</v>
      </c>
      <c r="D99" s="4">
        <v>7451</v>
      </c>
      <c r="E99" s="2"/>
      <c r="F99" s="2"/>
      <c r="G99" s="2"/>
      <c r="H99" s="2"/>
      <c r="I99" s="2"/>
      <c r="J99" s="2"/>
    </row>
    <row r="100" spans="1:10" x14ac:dyDescent="0.2">
      <c r="A100" s="4" t="s">
        <v>25</v>
      </c>
      <c r="B100" s="4" t="s">
        <v>23</v>
      </c>
      <c r="C100" s="4">
        <v>57</v>
      </c>
      <c r="D100" s="4">
        <v>7798</v>
      </c>
      <c r="E100" s="2"/>
      <c r="F100" s="2"/>
      <c r="G100" s="2"/>
      <c r="H100" s="2"/>
      <c r="I100" s="2"/>
      <c r="J100" s="2"/>
    </row>
    <row r="101" spans="1:10" x14ac:dyDescent="0.2">
      <c r="A101" s="4" t="s">
        <v>25</v>
      </c>
      <c r="B101" s="4" t="s">
        <v>24</v>
      </c>
      <c r="C101" s="4">
        <v>57</v>
      </c>
      <c r="D101" s="4">
        <v>6890</v>
      </c>
      <c r="E101" s="2"/>
      <c r="F101" s="2"/>
      <c r="G101" s="2"/>
      <c r="H101" s="2"/>
      <c r="I101" s="2"/>
      <c r="J101" s="2"/>
    </row>
    <row r="102" spans="1:10" x14ac:dyDescent="0.2">
      <c r="A102" s="4" t="s">
        <v>25</v>
      </c>
      <c r="B102" s="4" t="s">
        <v>24</v>
      </c>
      <c r="C102" s="4">
        <v>56</v>
      </c>
      <c r="D102" s="4">
        <v>7270</v>
      </c>
      <c r="E102" s="2"/>
      <c r="F102" s="2"/>
      <c r="G102" s="2"/>
      <c r="H102" s="2"/>
      <c r="I102" s="2"/>
      <c r="J102" s="2"/>
    </row>
    <row r="103" spans="1:10" x14ac:dyDescent="0.2">
      <c r="A103" s="4" t="s">
        <v>11</v>
      </c>
      <c r="B103" s="4" t="s">
        <v>23</v>
      </c>
      <c r="C103" s="4">
        <v>56</v>
      </c>
      <c r="D103" s="4">
        <v>6622</v>
      </c>
      <c r="E103" s="2"/>
      <c r="F103" s="2"/>
      <c r="G103" s="2"/>
      <c r="H103" s="2"/>
      <c r="I103" s="2"/>
      <c r="J103" s="2"/>
    </row>
    <row r="104" spans="1:10" x14ac:dyDescent="0.2">
      <c r="A104" s="4" t="s">
        <v>25</v>
      </c>
      <c r="B104" s="4" t="s">
        <v>23</v>
      </c>
      <c r="C104" s="4">
        <v>56</v>
      </c>
      <c r="D104" s="4">
        <v>8471</v>
      </c>
      <c r="E104" s="2"/>
      <c r="F104" s="2"/>
      <c r="G104" s="2"/>
      <c r="H104" s="2"/>
      <c r="I104" s="2"/>
      <c r="J104" s="2"/>
    </row>
    <row r="105" spans="1:10" x14ac:dyDescent="0.2">
      <c r="A105" s="4" t="s">
        <v>11</v>
      </c>
      <c r="B105" s="4" t="s">
        <v>24</v>
      </c>
      <c r="C105" s="4">
        <v>56</v>
      </c>
      <c r="D105" s="4">
        <v>4796</v>
      </c>
      <c r="E105" s="2"/>
      <c r="F105" s="2"/>
      <c r="G105" s="2"/>
      <c r="H105" s="2"/>
      <c r="I105" s="2"/>
      <c r="J105" s="2"/>
    </row>
    <row r="106" spans="1:10" x14ac:dyDescent="0.2">
      <c r="A106" s="4" t="s">
        <v>25</v>
      </c>
      <c r="B106" s="4" t="s">
        <v>24</v>
      </c>
      <c r="C106" s="4">
        <v>55</v>
      </c>
      <c r="D106" s="4">
        <v>7453</v>
      </c>
      <c r="E106" s="2"/>
      <c r="F106" s="2"/>
      <c r="G106" s="2"/>
      <c r="H106" s="2"/>
      <c r="I106" s="2"/>
      <c r="J106" s="2"/>
    </row>
    <row r="107" spans="1:10" x14ac:dyDescent="0.2">
      <c r="A107" s="4" t="s">
        <v>11</v>
      </c>
      <c r="B107" s="4" t="s">
        <v>23</v>
      </c>
      <c r="C107" s="4">
        <v>55</v>
      </c>
      <c r="D107" s="4">
        <v>6512</v>
      </c>
      <c r="E107" s="2"/>
      <c r="F107" s="2"/>
      <c r="G107" s="2"/>
      <c r="H107" s="2"/>
      <c r="I107" s="2"/>
      <c r="J107" s="2"/>
    </row>
    <row r="108" spans="1:10" x14ac:dyDescent="0.2">
      <c r="A108" s="4" t="s">
        <v>25</v>
      </c>
      <c r="B108" s="4" t="s">
        <v>23</v>
      </c>
      <c r="C108" s="4">
        <v>55</v>
      </c>
      <c r="D108" s="4">
        <v>8413</v>
      </c>
      <c r="E108" s="2"/>
      <c r="F108" s="2"/>
      <c r="G108" s="2"/>
      <c r="H108" s="2"/>
      <c r="I108" s="2"/>
      <c r="J108" s="2"/>
    </row>
    <row r="109" spans="1:10" x14ac:dyDescent="0.2">
      <c r="A109" s="4" t="s">
        <v>11</v>
      </c>
      <c r="B109" s="4" t="s">
        <v>24</v>
      </c>
      <c r="C109" s="4">
        <v>55</v>
      </c>
      <c r="D109" s="4">
        <v>4880</v>
      </c>
      <c r="E109" s="2"/>
      <c r="F109" s="2"/>
      <c r="G109" s="2"/>
      <c r="H109" s="2"/>
      <c r="I109" s="2"/>
      <c r="J109" s="2"/>
    </row>
    <row r="110" spans="1:10" x14ac:dyDescent="0.2">
      <c r="A110" s="4" t="s">
        <v>11</v>
      </c>
      <c r="B110" s="4" t="s">
        <v>23</v>
      </c>
      <c r="C110" s="4">
        <v>54</v>
      </c>
      <c r="D110" s="4">
        <v>6312</v>
      </c>
      <c r="E110" s="2"/>
      <c r="F110" s="2"/>
      <c r="G110" s="2"/>
      <c r="H110" s="2"/>
      <c r="I110" s="2"/>
      <c r="J110" s="2"/>
    </row>
    <row r="111" spans="1:10" x14ac:dyDescent="0.2">
      <c r="A111" s="4" t="s">
        <v>25</v>
      </c>
      <c r="B111" s="4" t="s">
        <v>24</v>
      </c>
      <c r="C111" s="4">
        <v>54</v>
      </c>
      <c r="D111" s="4">
        <v>7552</v>
      </c>
      <c r="E111" s="2"/>
      <c r="F111" s="2"/>
      <c r="G111" s="2"/>
      <c r="H111" s="2"/>
      <c r="I111" s="2"/>
      <c r="J111" s="2"/>
    </row>
    <row r="112" spans="1:10" x14ac:dyDescent="0.2">
      <c r="A112" s="4" t="s">
        <v>25</v>
      </c>
      <c r="B112" s="4" t="s">
        <v>23</v>
      </c>
      <c r="C112" s="4">
        <v>54</v>
      </c>
      <c r="D112" s="4">
        <v>8469</v>
      </c>
      <c r="E112" s="2"/>
      <c r="F112" s="2"/>
      <c r="G112" s="2"/>
      <c r="H112" s="2"/>
      <c r="I112" s="2"/>
      <c r="J112" s="2"/>
    </row>
    <row r="113" spans="1:10" x14ac:dyDescent="0.2">
      <c r="A113" s="4" t="s">
        <v>11</v>
      </c>
      <c r="B113" s="4" t="s">
        <v>24</v>
      </c>
      <c r="C113" s="4">
        <v>54</v>
      </c>
      <c r="D113" s="4">
        <v>4590</v>
      </c>
      <c r="E113" s="2"/>
      <c r="F113" s="2"/>
      <c r="G113" s="2"/>
      <c r="H113" s="2"/>
      <c r="I113" s="2"/>
      <c r="J113" s="2"/>
    </row>
    <row r="114" spans="1:10" x14ac:dyDescent="0.2">
      <c r="A114" s="4" t="s">
        <v>11</v>
      </c>
      <c r="B114" s="4" t="s">
        <v>24</v>
      </c>
      <c r="C114" s="4">
        <v>53</v>
      </c>
      <c r="D114" s="4">
        <v>4516</v>
      </c>
      <c r="E114" s="2"/>
      <c r="F114" s="2"/>
      <c r="G114" s="2"/>
      <c r="H114" s="2"/>
      <c r="I114" s="2"/>
      <c r="J114" s="2"/>
    </row>
    <row r="115" spans="1:10" x14ac:dyDescent="0.2">
      <c r="A115" s="4" t="s">
        <v>25</v>
      </c>
      <c r="B115" s="4" t="s">
        <v>23</v>
      </c>
      <c r="C115" s="4">
        <v>53</v>
      </c>
      <c r="D115" s="4">
        <v>8561</v>
      </c>
      <c r="E115" s="2"/>
      <c r="F115" s="2"/>
      <c r="G115" s="2"/>
      <c r="H115" s="2"/>
      <c r="I115" s="2"/>
      <c r="J115" s="2"/>
    </row>
    <row r="116" spans="1:10" x14ac:dyDescent="0.2">
      <c r="A116" s="4" t="s">
        <v>25</v>
      </c>
      <c r="B116" s="4" t="s">
        <v>24</v>
      </c>
      <c r="C116" s="4">
        <v>53</v>
      </c>
      <c r="D116" s="4">
        <v>7539</v>
      </c>
      <c r="E116" s="2"/>
      <c r="F116" s="2"/>
      <c r="G116" s="2"/>
      <c r="H116" s="2"/>
      <c r="I116" s="2"/>
      <c r="J116" s="2"/>
    </row>
    <row r="117" spans="1:10" x14ac:dyDescent="0.2">
      <c r="A117" s="4" t="s">
        <v>11</v>
      </c>
      <c r="B117" s="4" t="s">
        <v>23</v>
      </c>
      <c r="C117" s="4">
        <v>53</v>
      </c>
      <c r="D117" s="4">
        <v>6250</v>
      </c>
      <c r="E117" s="2"/>
      <c r="F117" s="2"/>
      <c r="G117" s="2"/>
      <c r="H117" s="2"/>
      <c r="I117" s="2"/>
      <c r="J117" s="2"/>
    </row>
    <row r="118" spans="1:10" x14ac:dyDescent="0.2">
      <c r="A118" s="4" t="s">
        <v>25</v>
      </c>
      <c r="B118" s="4" t="s">
        <v>23</v>
      </c>
      <c r="C118" s="4">
        <v>52</v>
      </c>
      <c r="D118" s="4">
        <v>8477</v>
      </c>
      <c r="E118" s="2"/>
      <c r="F118" s="2"/>
      <c r="G118" s="2"/>
      <c r="H118" s="2"/>
      <c r="I118" s="2"/>
      <c r="J118" s="2"/>
    </row>
    <row r="119" spans="1:10" x14ac:dyDescent="0.2">
      <c r="A119" s="4" t="s">
        <v>11</v>
      </c>
      <c r="B119" s="4" t="s">
        <v>24</v>
      </c>
      <c r="C119" s="4">
        <v>52</v>
      </c>
      <c r="D119" s="4">
        <v>4473</v>
      </c>
      <c r="E119" s="2"/>
      <c r="F119" s="2"/>
      <c r="G119" s="2"/>
      <c r="H119" s="2"/>
      <c r="I119" s="2"/>
      <c r="J119" s="2"/>
    </row>
    <row r="120" spans="1:10" x14ac:dyDescent="0.2">
      <c r="A120" s="4" t="s">
        <v>25</v>
      </c>
      <c r="B120" s="4" t="s">
        <v>24</v>
      </c>
      <c r="C120" s="4">
        <v>52</v>
      </c>
      <c r="D120" s="4">
        <v>7532</v>
      </c>
      <c r="E120" s="2"/>
      <c r="F120" s="2"/>
      <c r="G120" s="2"/>
      <c r="H120" s="2"/>
      <c r="I120" s="2"/>
      <c r="J120" s="2"/>
    </row>
    <row r="121" spans="1:10" x14ac:dyDescent="0.2">
      <c r="A121" s="4" t="s">
        <v>11</v>
      </c>
      <c r="B121" s="4" t="s">
        <v>23</v>
      </c>
      <c r="C121" s="4">
        <v>52</v>
      </c>
      <c r="D121" s="4">
        <v>6234</v>
      </c>
      <c r="E121" s="2"/>
      <c r="F121" s="2"/>
      <c r="G121" s="2"/>
      <c r="H121" s="2"/>
      <c r="I121" s="2"/>
      <c r="J121" s="2"/>
    </row>
    <row r="122" spans="1:10" x14ac:dyDescent="0.2">
      <c r="A122" s="4" t="s">
        <v>11</v>
      </c>
      <c r="B122" s="4" t="s">
        <v>24</v>
      </c>
      <c r="C122" s="4">
        <v>51</v>
      </c>
      <c r="D122" s="4">
        <v>4510</v>
      </c>
      <c r="E122" s="2"/>
      <c r="F122" s="2"/>
      <c r="G122" s="2"/>
      <c r="H122" s="2"/>
      <c r="I122" s="2"/>
      <c r="J122" s="2"/>
    </row>
    <row r="123" spans="1:10" x14ac:dyDescent="0.2">
      <c r="A123" s="4" t="s">
        <v>11</v>
      </c>
      <c r="B123" s="4" t="s">
        <v>23</v>
      </c>
      <c r="C123" s="4">
        <v>51</v>
      </c>
      <c r="D123" s="4">
        <v>5920</v>
      </c>
      <c r="E123" s="2"/>
      <c r="F123" s="2"/>
      <c r="G123" s="2"/>
      <c r="H123" s="2"/>
      <c r="I123" s="2"/>
      <c r="J123" s="2"/>
    </row>
    <row r="124" spans="1:10" x14ac:dyDescent="0.2">
      <c r="A124" s="4" t="s">
        <v>25</v>
      </c>
      <c r="B124" s="4" t="s">
        <v>24</v>
      </c>
      <c r="C124" s="4">
        <v>51</v>
      </c>
      <c r="D124" s="4">
        <v>7515</v>
      </c>
      <c r="E124" s="2"/>
      <c r="F124" s="2"/>
      <c r="G124" s="2"/>
      <c r="H124" s="2"/>
      <c r="I124" s="2"/>
      <c r="J124" s="2"/>
    </row>
    <row r="125" spans="1:10" x14ac:dyDescent="0.2">
      <c r="A125" s="4" t="s">
        <v>25</v>
      </c>
      <c r="B125" s="4" t="s">
        <v>23</v>
      </c>
      <c r="C125" s="4">
        <v>51</v>
      </c>
      <c r="D125" s="4">
        <v>8602</v>
      </c>
      <c r="E125" s="2"/>
      <c r="F125" s="2"/>
      <c r="G125" s="2"/>
      <c r="H125" s="2"/>
      <c r="I125" s="2"/>
      <c r="J125" s="2"/>
    </row>
    <row r="126" spans="1:10" x14ac:dyDescent="0.2">
      <c r="A126" s="4" t="s">
        <v>25</v>
      </c>
      <c r="B126" s="4" t="s">
        <v>24</v>
      </c>
      <c r="C126" s="4">
        <v>50</v>
      </c>
      <c r="D126" s="4">
        <v>7438</v>
      </c>
      <c r="E126" s="2"/>
      <c r="F126" s="2"/>
      <c r="G126" s="2"/>
      <c r="H126" s="2"/>
      <c r="I126" s="2"/>
      <c r="J126" s="2"/>
    </row>
    <row r="127" spans="1:10" x14ac:dyDescent="0.2">
      <c r="A127" s="4" t="s">
        <v>11</v>
      </c>
      <c r="B127" s="4" t="s">
        <v>23</v>
      </c>
      <c r="C127" s="4">
        <v>50</v>
      </c>
      <c r="D127" s="4">
        <v>5810</v>
      </c>
      <c r="E127" s="2"/>
      <c r="F127" s="2"/>
      <c r="G127" s="2"/>
      <c r="H127" s="2"/>
      <c r="I127" s="2"/>
      <c r="J127" s="2"/>
    </row>
    <row r="128" spans="1:10" x14ac:dyDescent="0.2">
      <c r="A128" s="4" t="s">
        <v>11</v>
      </c>
      <c r="B128" s="4" t="s">
        <v>24</v>
      </c>
      <c r="C128" s="4">
        <v>50</v>
      </c>
      <c r="D128" s="4">
        <v>4201</v>
      </c>
      <c r="E128" s="2"/>
      <c r="F128" s="2"/>
      <c r="G128" s="2"/>
      <c r="H128" s="2"/>
      <c r="I128" s="2"/>
      <c r="J128" s="2"/>
    </row>
    <row r="129" spans="1:10" x14ac:dyDescent="0.2">
      <c r="A129" s="4" t="s">
        <v>25</v>
      </c>
      <c r="B129" s="4" t="s">
        <v>23</v>
      </c>
      <c r="C129" s="4">
        <v>50</v>
      </c>
      <c r="D129" s="4">
        <v>8412</v>
      </c>
      <c r="E129" s="2"/>
      <c r="F129" s="2"/>
      <c r="G129" s="2"/>
      <c r="H129" s="2"/>
      <c r="I129" s="2"/>
      <c r="J129" s="2"/>
    </row>
    <row r="130" spans="1:10" x14ac:dyDescent="0.2">
      <c r="A130" s="4" t="s">
        <v>25</v>
      </c>
      <c r="B130" s="4" t="s">
        <v>23</v>
      </c>
      <c r="C130" s="4">
        <v>49</v>
      </c>
      <c r="D130" s="4">
        <v>8643</v>
      </c>
      <c r="E130" s="2"/>
      <c r="F130" s="2"/>
      <c r="G130" s="2"/>
      <c r="H130" s="2"/>
      <c r="I130" s="2"/>
      <c r="J130" s="2"/>
    </row>
    <row r="131" spans="1:10" x14ac:dyDescent="0.2">
      <c r="A131" s="4" t="s">
        <v>11</v>
      </c>
      <c r="B131" s="4" t="s">
        <v>23</v>
      </c>
      <c r="C131" s="4">
        <v>49</v>
      </c>
      <c r="D131" s="4">
        <v>5655</v>
      </c>
      <c r="E131" s="2"/>
      <c r="F131" s="2"/>
      <c r="G131" s="2"/>
      <c r="H131" s="2"/>
      <c r="I131" s="2"/>
      <c r="J131" s="2"/>
    </row>
    <row r="132" spans="1:10" x14ac:dyDescent="0.2">
      <c r="A132" s="4" t="s">
        <v>25</v>
      </c>
      <c r="B132" s="4" t="s">
        <v>24</v>
      </c>
      <c r="C132" s="4">
        <v>49</v>
      </c>
      <c r="D132" s="4">
        <v>7425</v>
      </c>
      <c r="E132" s="2"/>
      <c r="F132" s="2"/>
      <c r="G132" s="2"/>
      <c r="H132" s="2"/>
      <c r="I132" s="2"/>
      <c r="J132" s="2"/>
    </row>
    <row r="133" spans="1:10" x14ac:dyDescent="0.2">
      <c r="A133" s="4" t="s">
        <v>11</v>
      </c>
      <c r="B133" s="4" t="s">
        <v>24</v>
      </c>
      <c r="C133" s="4">
        <v>49</v>
      </c>
      <c r="D133" s="4">
        <v>4223</v>
      </c>
      <c r="E133" s="2"/>
      <c r="F133" s="2"/>
      <c r="G133" s="2"/>
      <c r="H133" s="2"/>
      <c r="I133" s="2"/>
      <c r="J133" s="2"/>
    </row>
    <row r="134" spans="1:10" x14ac:dyDescent="0.2">
      <c r="A134" s="4" t="s">
        <v>25</v>
      </c>
      <c r="B134" s="4" t="s">
        <v>23</v>
      </c>
      <c r="C134" s="4">
        <v>48</v>
      </c>
      <c r="D134" s="4">
        <v>8662</v>
      </c>
      <c r="E134" s="2"/>
      <c r="F134" s="2"/>
      <c r="G134" s="2"/>
      <c r="H134" s="2"/>
      <c r="I134" s="2"/>
      <c r="J134" s="2"/>
    </row>
    <row r="135" spans="1:10" x14ac:dyDescent="0.2">
      <c r="A135" s="4" t="s">
        <v>11</v>
      </c>
      <c r="B135" s="4" t="s">
        <v>23</v>
      </c>
      <c r="C135" s="4">
        <v>48</v>
      </c>
      <c r="D135" s="4">
        <v>5358</v>
      </c>
      <c r="E135" s="2"/>
      <c r="F135" s="2"/>
      <c r="G135" s="2"/>
      <c r="H135" s="2"/>
      <c r="I135" s="2"/>
      <c r="J135" s="2"/>
    </row>
    <row r="136" spans="1:10" x14ac:dyDescent="0.2">
      <c r="A136" s="4" t="s">
        <v>25</v>
      </c>
      <c r="B136" s="4" t="s">
        <v>24</v>
      </c>
      <c r="C136" s="4">
        <v>48</v>
      </c>
      <c r="D136" s="4">
        <v>7429</v>
      </c>
      <c r="E136" s="2"/>
      <c r="F136" s="2"/>
      <c r="G136" s="2"/>
      <c r="H136" s="2"/>
      <c r="I136" s="2"/>
      <c r="J136" s="2"/>
    </row>
    <row r="137" spans="1:10" x14ac:dyDescent="0.2">
      <c r="A137" s="4" t="s">
        <v>11</v>
      </c>
      <c r="B137" s="4" t="s">
        <v>24</v>
      </c>
      <c r="C137" s="4">
        <v>48</v>
      </c>
      <c r="D137" s="4">
        <v>3999</v>
      </c>
      <c r="E137" s="2"/>
      <c r="F137" s="2"/>
      <c r="G137" s="2"/>
      <c r="H137" s="2"/>
      <c r="I137" s="2"/>
      <c r="J137" s="2"/>
    </row>
    <row r="138" spans="1:10" x14ac:dyDescent="0.2">
      <c r="A138" s="4" t="s">
        <v>11</v>
      </c>
      <c r="B138" s="4" t="s">
        <v>23</v>
      </c>
      <c r="C138" s="4">
        <v>47</v>
      </c>
      <c r="D138" s="4">
        <v>5058</v>
      </c>
      <c r="E138" s="2"/>
      <c r="F138" s="2"/>
      <c r="G138" s="2"/>
      <c r="H138" s="2"/>
      <c r="I138" s="2"/>
      <c r="J138" s="2"/>
    </row>
    <row r="139" spans="1:10" x14ac:dyDescent="0.2">
      <c r="A139" s="4" t="s">
        <v>25</v>
      </c>
      <c r="B139" s="4" t="s">
        <v>23</v>
      </c>
      <c r="C139" s="4">
        <v>47</v>
      </c>
      <c r="D139" s="4">
        <v>8624</v>
      </c>
      <c r="E139" s="2"/>
      <c r="F139" s="2"/>
      <c r="G139" s="2"/>
      <c r="H139" s="2"/>
      <c r="I139" s="2"/>
      <c r="J139" s="2"/>
    </row>
    <row r="140" spans="1:10" x14ac:dyDescent="0.2">
      <c r="A140" s="4" t="s">
        <v>11</v>
      </c>
      <c r="B140" s="4" t="s">
        <v>24</v>
      </c>
      <c r="C140" s="4">
        <v>47</v>
      </c>
      <c r="D140" s="4">
        <v>3849</v>
      </c>
      <c r="E140" s="2"/>
      <c r="F140" s="2"/>
      <c r="G140" s="2"/>
      <c r="H140" s="2"/>
      <c r="I140" s="2"/>
      <c r="J140" s="2"/>
    </row>
    <row r="141" spans="1:10" x14ac:dyDescent="0.2">
      <c r="A141" s="4" t="s">
        <v>25</v>
      </c>
      <c r="B141" s="4" t="s">
        <v>24</v>
      </c>
      <c r="C141" s="4">
        <v>47</v>
      </c>
      <c r="D141" s="4">
        <v>7353</v>
      </c>
      <c r="E141" s="2"/>
      <c r="F141" s="2"/>
      <c r="G141" s="2"/>
      <c r="H141" s="2"/>
      <c r="I141" s="2"/>
      <c r="J141" s="2"/>
    </row>
    <row r="142" spans="1:10" x14ac:dyDescent="0.2">
      <c r="A142" s="4" t="s">
        <v>25</v>
      </c>
      <c r="B142" s="4" t="s">
        <v>23</v>
      </c>
      <c r="C142" s="4">
        <v>46</v>
      </c>
      <c r="D142" s="4">
        <v>8657</v>
      </c>
      <c r="E142" s="2"/>
      <c r="F142" s="2"/>
      <c r="G142" s="2"/>
      <c r="H142" s="2"/>
      <c r="I142" s="2"/>
      <c r="J142" s="2"/>
    </row>
    <row r="143" spans="1:10" x14ac:dyDescent="0.2">
      <c r="A143" s="4" t="s">
        <v>11</v>
      </c>
      <c r="B143" s="4" t="s">
        <v>24</v>
      </c>
      <c r="C143" s="4">
        <v>46</v>
      </c>
      <c r="D143" s="4">
        <v>3673</v>
      </c>
      <c r="E143" s="2"/>
      <c r="F143" s="2"/>
      <c r="G143" s="2"/>
      <c r="H143" s="2"/>
      <c r="I143" s="2"/>
      <c r="J143" s="2"/>
    </row>
    <row r="144" spans="1:10" x14ac:dyDescent="0.2">
      <c r="A144" s="4" t="s">
        <v>11</v>
      </c>
      <c r="B144" s="4" t="s">
        <v>23</v>
      </c>
      <c r="C144" s="4">
        <v>46</v>
      </c>
      <c r="D144" s="4">
        <v>4749</v>
      </c>
      <c r="E144" s="2"/>
      <c r="F144" s="2"/>
      <c r="G144" s="2"/>
      <c r="H144" s="2"/>
      <c r="I144" s="2"/>
      <c r="J144" s="2"/>
    </row>
    <row r="145" spans="1:10" x14ac:dyDescent="0.2">
      <c r="A145" s="4" t="s">
        <v>25</v>
      </c>
      <c r="B145" s="4" t="s">
        <v>24</v>
      </c>
      <c r="C145" s="4">
        <v>46</v>
      </c>
      <c r="D145" s="4">
        <v>7501</v>
      </c>
      <c r="E145" s="2"/>
      <c r="F145" s="2"/>
      <c r="G145" s="2"/>
      <c r="H145" s="2"/>
      <c r="I145" s="2"/>
      <c r="J145" s="2"/>
    </row>
    <row r="146" spans="1:10" x14ac:dyDescent="0.2">
      <c r="A146" s="4" t="s">
        <v>11</v>
      </c>
      <c r="B146" s="4" t="s">
        <v>23</v>
      </c>
      <c r="C146" s="4">
        <v>45</v>
      </c>
      <c r="D146" s="4">
        <v>4411</v>
      </c>
      <c r="E146" s="2"/>
      <c r="F146" s="2"/>
      <c r="G146" s="2"/>
      <c r="H146" s="2"/>
      <c r="I146" s="2"/>
      <c r="J146" s="2"/>
    </row>
    <row r="147" spans="1:10" x14ac:dyDescent="0.2">
      <c r="A147" s="4" t="s">
        <v>25</v>
      </c>
      <c r="B147" s="4" t="s">
        <v>23</v>
      </c>
      <c r="C147" s="4">
        <v>45</v>
      </c>
      <c r="D147" s="4">
        <v>8660</v>
      </c>
      <c r="E147" s="2"/>
      <c r="F147" s="2"/>
      <c r="G147" s="2"/>
      <c r="H147" s="2"/>
      <c r="I147" s="2"/>
      <c r="J147" s="2"/>
    </row>
    <row r="148" spans="1:10" x14ac:dyDescent="0.2">
      <c r="A148" s="4" t="s">
        <v>11</v>
      </c>
      <c r="B148" s="4" t="s">
        <v>24</v>
      </c>
      <c r="C148" s="4">
        <v>45</v>
      </c>
      <c r="D148" s="4">
        <v>3372</v>
      </c>
      <c r="E148" s="2"/>
      <c r="F148" s="2"/>
      <c r="G148" s="2"/>
      <c r="H148" s="2"/>
      <c r="I148" s="2"/>
      <c r="J148" s="2"/>
    </row>
    <row r="149" spans="1:10" x14ac:dyDescent="0.2">
      <c r="A149" s="4" t="s">
        <v>25</v>
      </c>
      <c r="B149" s="4" t="s">
        <v>24</v>
      </c>
      <c r="C149" s="4">
        <v>45</v>
      </c>
      <c r="D149" s="4">
        <v>7574</v>
      </c>
      <c r="E149" s="2"/>
      <c r="F149" s="2"/>
      <c r="G149" s="2"/>
      <c r="H149" s="2"/>
      <c r="I149" s="2"/>
      <c r="J149" s="2"/>
    </row>
    <row r="150" spans="1:10" x14ac:dyDescent="0.2">
      <c r="A150" s="4" t="s">
        <v>25</v>
      </c>
      <c r="B150" s="4" t="s">
        <v>23</v>
      </c>
      <c r="C150" s="4">
        <v>44</v>
      </c>
      <c r="D150" s="4">
        <v>8330</v>
      </c>
      <c r="E150" s="2"/>
      <c r="F150" s="2"/>
      <c r="G150" s="2"/>
      <c r="H150" s="2"/>
      <c r="I150" s="2"/>
      <c r="J150" s="2"/>
    </row>
    <row r="151" spans="1:10" x14ac:dyDescent="0.2">
      <c r="A151" s="4" t="s">
        <v>11</v>
      </c>
      <c r="B151" s="4" t="s">
        <v>24</v>
      </c>
      <c r="C151" s="4">
        <v>44</v>
      </c>
      <c r="D151" s="4">
        <v>3263</v>
      </c>
      <c r="E151" s="2"/>
      <c r="F151" s="2"/>
      <c r="G151" s="2"/>
      <c r="H151" s="2"/>
      <c r="I151" s="2"/>
      <c r="J151" s="2"/>
    </row>
    <row r="152" spans="1:10" x14ac:dyDescent="0.2">
      <c r="A152" s="4" t="s">
        <v>11</v>
      </c>
      <c r="B152" s="4" t="s">
        <v>23</v>
      </c>
      <c r="C152" s="4">
        <v>44</v>
      </c>
      <c r="D152" s="4">
        <v>4199</v>
      </c>
      <c r="E152" s="2"/>
      <c r="F152" s="2"/>
      <c r="G152" s="2"/>
      <c r="H152" s="2"/>
      <c r="I152" s="2"/>
      <c r="J152" s="2"/>
    </row>
    <row r="153" spans="1:10" x14ac:dyDescent="0.2">
      <c r="A153" s="4" t="s">
        <v>25</v>
      </c>
      <c r="B153" s="4" t="s">
        <v>24</v>
      </c>
      <c r="C153" s="4">
        <v>44</v>
      </c>
      <c r="D153" s="4">
        <v>7173</v>
      </c>
      <c r="E153" s="2"/>
      <c r="F153" s="2"/>
      <c r="G153" s="2"/>
      <c r="H153" s="2"/>
      <c r="I153" s="2"/>
      <c r="J153" s="2"/>
    </row>
    <row r="154" spans="1:10" x14ac:dyDescent="0.2">
      <c r="A154" s="4" t="s">
        <v>25</v>
      </c>
      <c r="B154" s="4" t="s">
        <v>24</v>
      </c>
      <c r="C154" s="4">
        <v>43</v>
      </c>
      <c r="D154" s="4">
        <v>7019</v>
      </c>
      <c r="E154" s="2"/>
      <c r="F154" s="2"/>
      <c r="G154" s="2"/>
      <c r="H154" s="2"/>
      <c r="I154" s="2"/>
      <c r="J154" s="2"/>
    </row>
    <row r="155" spans="1:10" x14ac:dyDescent="0.2">
      <c r="A155" s="4" t="s">
        <v>11</v>
      </c>
      <c r="B155" s="4" t="s">
        <v>24</v>
      </c>
      <c r="C155" s="4">
        <v>43</v>
      </c>
      <c r="D155" s="4">
        <v>2953</v>
      </c>
      <c r="E155" s="2"/>
      <c r="F155" s="2"/>
      <c r="G155" s="2"/>
      <c r="H155" s="2"/>
      <c r="I155" s="2"/>
      <c r="J155" s="2"/>
    </row>
    <row r="156" spans="1:10" x14ac:dyDescent="0.2">
      <c r="A156" s="4" t="s">
        <v>11</v>
      </c>
      <c r="B156" s="4" t="s">
        <v>23</v>
      </c>
      <c r="C156" s="4">
        <v>43</v>
      </c>
      <c r="D156" s="4">
        <v>3825</v>
      </c>
      <c r="E156" s="2"/>
      <c r="F156" s="2"/>
      <c r="G156" s="2"/>
      <c r="H156" s="2"/>
      <c r="I156" s="2"/>
      <c r="J156" s="2"/>
    </row>
    <row r="157" spans="1:10" x14ac:dyDescent="0.2">
      <c r="A157" s="4" t="s">
        <v>25</v>
      </c>
      <c r="B157" s="4" t="s">
        <v>23</v>
      </c>
      <c r="C157" s="4">
        <v>43</v>
      </c>
      <c r="D157" s="4">
        <v>7840</v>
      </c>
      <c r="E157" s="2"/>
      <c r="F157" s="2"/>
      <c r="G157" s="2"/>
      <c r="H157" s="2"/>
      <c r="I157" s="2"/>
      <c r="J157" s="2"/>
    </row>
    <row r="158" spans="1:10" x14ac:dyDescent="0.2">
      <c r="A158" s="4" t="s">
        <v>11</v>
      </c>
      <c r="B158" s="4" t="s">
        <v>24</v>
      </c>
      <c r="C158" s="4">
        <v>42</v>
      </c>
      <c r="D158" s="4">
        <v>2654</v>
      </c>
      <c r="E158" s="2"/>
      <c r="F158" s="2"/>
      <c r="G158" s="2"/>
      <c r="H158" s="2"/>
      <c r="I158" s="2"/>
      <c r="J158" s="2"/>
    </row>
    <row r="159" spans="1:10" x14ac:dyDescent="0.2">
      <c r="A159" s="4" t="s">
        <v>25</v>
      </c>
      <c r="B159" s="4" t="s">
        <v>24</v>
      </c>
      <c r="C159" s="4">
        <v>42</v>
      </c>
      <c r="D159" s="4">
        <v>6743</v>
      </c>
      <c r="E159" s="2"/>
      <c r="F159" s="2"/>
      <c r="G159" s="2"/>
      <c r="H159" s="2"/>
      <c r="I159" s="2"/>
      <c r="J159" s="2"/>
    </row>
    <row r="160" spans="1:10" x14ac:dyDescent="0.2">
      <c r="A160" s="4" t="s">
        <v>25</v>
      </c>
      <c r="B160" s="4" t="s">
        <v>23</v>
      </c>
      <c r="C160" s="4">
        <v>42</v>
      </c>
      <c r="D160" s="4">
        <v>7605</v>
      </c>
      <c r="E160" s="2"/>
      <c r="F160" s="2"/>
      <c r="G160" s="2"/>
      <c r="H160" s="2"/>
      <c r="I160" s="2"/>
      <c r="J160" s="2"/>
    </row>
    <row r="161" spans="1:10" x14ac:dyDescent="0.2">
      <c r="A161" s="4" t="s">
        <v>11</v>
      </c>
      <c r="B161" s="4" t="s">
        <v>23</v>
      </c>
      <c r="C161" s="4">
        <v>42</v>
      </c>
      <c r="D161" s="4">
        <v>3529</v>
      </c>
      <c r="E161" s="2"/>
      <c r="F161" s="2"/>
      <c r="G161" s="2"/>
      <c r="H161" s="2"/>
      <c r="I161" s="2"/>
      <c r="J161" s="2"/>
    </row>
    <row r="162" spans="1:10" x14ac:dyDescent="0.2">
      <c r="A162" s="4" t="s">
        <v>11</v>
      </c>
      <c r="B162" s="4" t="s">
        <v>23</v>
      </c>
      <c r="C162" s="4">
        <v>41</v>
      </c>
      <c r="D162" s="4">
        <v>3023</v>
      </c>
      <c r="E162" s="2"/>
      <c r="F162" s="2"/>
      <c r="G162" s="2"/>
      <c r="H162" s="2"/>
      <c r="I162" s="2"/>
      <c r="J162" s="2"/>
    </row>
    <row r="163" spans="1:10" x14ac:dyDescent="0.2">
      <c r="A163" s="4" t="s">
        <v>25</v>
      </c>
      <c r="B163" s="4" t="s">
        <v>24</v>
      </c>
      <c r="C163" s="4">
        <v>41</v>
      </c>
      <c r="D163" s="4">
        <v>6593</v>
      </c>
      <c r="E163" s="2"/>
      <c r="F163" s="2"/>
      <c r="G163" s="2"/>
      <c r="H163" s="2"/>
      <c r="I163" s="2"/>
      <c r="J163" s="2"/>
    </row>
    <row r="164" spans="1:10" x14ac:dyDescent="0.2">
      <c r="A164" s="4" t="s">
        <v>25</v>
      </c>
      <c r="B164" s="4" t="s">
        <v>23</v>
      </c>
      <c r="C164" s="4">
        <v>41</v>
      </c>
      <c r="D164" s="4">
        <v>7249</v>
      </c>
      <c r="E164" s="2"/>
      <c r="F164" s="2"/>
      <c r="G164" s="2"/>
      <c r="H164" s="2"/>
      <c r="I164" s="2"/>
      <c r="J164" s="2"/>
    </row>
    <row r="165" spans="1:10" x14ac:dyDescent="0.2">
      <c r="A165" s="4" t="s">
        <v>11</v>
      </c>
      <c r="B165" s="4" t="s">
        <v>24</v>
      </c>
      <c r="C165" s="4">
        <v>41</v>
      </c>
      <c r="D165" s="4">
        <v>2420</v>
      </c>
      <c r="E165" s="2"/>
      <c r="F165" s="2"/>
      <c r="G165" s="2"/>
      <c r="H165" s="2"/>
      <c r="I165" s="2"/>
      <c r="J165" s="2"/>
    </row>
    <row r="166" spans="1:10" x14ac:dyDescent="0.2">
      <c r="A166" s="4" t="s">
        <v>25</v>
      </c>
      <c r="B166" s="4" t="s">
        <v>23</v>
      </c>
      <c r="C166" s="4">
        <v>40</v>
      </c>
      <c r="D166" s="4">
        <v>6808</v>
      </c>
      <c r="E166" s="2"/>
      <c r="F166" s="2"/>
      <c r="G166" s="2"/>
      <c r="H166" s="2"/>
      <c r="I166" s="2"/>
      <c r="J166" s="2"/>
    </row>
    <row r="167" spans="1:10" x14ac:dyDescent="0.2">
      <c r="A167" s="4" t="s">
        <v>11</v>
      </c>
      <c r="B167" s="4" t="s">
        <v>24</v>
      </c>
      <c r="C167" s="4">
        <v>40</v>
      </c>
      <c r="D167" s="4">
        <v>2136</v>
      </c>
      <c r="E167" s="2"/>
      <c r="F167" s="2"/>
      <c r="G167" s="2"/>
      <c r="H167" s="2"/>
      <c r="I167" s="2"/>
      <c r="J167" s="2"/>
    </row>
    <row r="168" spans="1:10" x14ac:dyDescent="0.2">
      <c r="A168" s="4" t="s">
        <v>25</v>
      </c>
      <c r="B168" s="4" t="s">
        <v>24</v>
      </c>
      <c r="C168" s="4">
        <v>40</v>
      </c>
      <c r="D168" s="4">
        <v>6291</v>
      </c>
      <c r="E168" s="2"/>
      <c r="F168" s="2"/>
      <c r="G168" s="2"/>
      <c r="H168" s="2"/>
      <c r="I168" s="2"/>
      <c r="J168" s="2"/>
    </row>
    <row r="169" spans="1:10" x14ac:dyDescent="0.2">
      <c r="A169" s="4" t="s">
        <v>11</v>
      </c>
      <c r="B169" s="4" t="s">
        <v>23</v>
      </c>
      <c r="C169" s="4">
        <v>40</v>
      </c>
      <c r="D169" s="4">
        <v>2656</v>
      </c>
      <c r="E169" s="2"/>
      <c r="F169" s="2"/>
      <c r="G169" s="2"/>
      <c r="H169" s="2"/>
      <c r="I169" s="2"/>
      <c r="J169" s="2"/>
    </row>
    <row r="170" spans="1:10" x14ac:dyDescent="0.2">
      <c r="A170" s="4" t="s">
        <v>11</v>
      </c>
      <c r="B170" s="4" t="s">
        <v>23</v>
      </c>
      <c r="C170" s="4">
        <v>39</v>
      </c>
      <c r="D170" s="4">
        <v>2118</v>
      </c>
      <c r="E170" s="2"/>
      <c r="F170" s="2"/>
      <c r="G170" s="2"/>
      <c r="H170" s="2"/>
      <c r="I170" s="2"/>
      <c r="J170" s="2"/>
    </row>
    <row r="171" spans="1:10" x14ac:dyDescent="0.2">
      <c r="A171" s="4" t="s">
        <v>25</v>
      </c>
      <c r="B171" s="4" t="s">
        <v>23</v>
      </c>
      <c r="C171" s="4">
        <v>39</v>
      </c>
      <c r="D171" s="4">
        <v>6351</v>
      </c>
      <c r="E171" s="2"/>
      <c r="F171" s="2"/>
      <c r="G171" s="2"/>
      <c r="H171" s="2"/>
      <c r="I171" s="2"/>
      <c r="J171" s="2"/>
    </row>
    <row r="172" spans="1:10" x14ac:dyDescent="0.2">
      <c r="A172" s="4" t="s">
        <v>25</v>
      </c>
      <c r="B172" s="4" t="s">
        <v>24</v>
      </c>
      <c r="C172" s="4">
        <v>39</v>
      </c>
      <c r="D172" s="4">
        <v>5885</v>
      </c>
      <c r="E172" s="2"/>
      <c r="F172" s="2"/>
      <c r="G172" s="2"/>
      <c r="H172" s="2"/>
      <c r="I172" s="2"/>
      <c r="J172" s="2"/>
    </row>
    <row r="173" spans="1:10" x14ac:dyDescent="0.2">
      <c r="A173" s="4" t="s">
        <v>11</v>
      </c>
      <c r="B173" s="4" t="s">
        <v>24</v>
      </c>
      <c r="C173" s="4">
        <v>39</v>
      </c>
      <c r="D173" s="4">
        <v>1709</v>
      </c>
      <c r="E173" s="2"/>
      <c r="F173" s="2"/>
      <c r="G173" s="2"/>
      <c r="H173" s="2"/>
      <c r="I173" s="2"/>
      <c r="J173" s="2"/>
    </row>
    <row r="174" spans="1:10" x14ac:dyDescent="0.2">
      <c r="A174" s="4" t="s">
        <v>11</v>
      </c>
      <c r="B174" s="4" t="s">
        <v>24</v>
      </c>
      <c r="C174" s="4">
        <v>38</v>
      </c>
      <c r="D174" s="4">
        <v>1308</v>
      </c>
      <c r="E174" s="2"/>
      <c r="F174" s="2"/>
      <c r="G174" s="2"/>
      <c r="H174" s="2"/>
      <c r="I174" s="2"/>
      <c r="J174" s="2"/>
    </row>
    <row r="175" spans="1:10" x14ac:dyDescent="0.2">
      <c r="A175" s="4" t="s">
        <v>11</v>
      </c>
      <c r="B175" s="4" t="s">
        <v>23</v>
      </c>
      <c r="C175" s="4">
        <v>38</v>
      </c>
      <c r="D175" s="4">
        <v>1655</v>
      </c>
      <c r="E175" s="2"/>
      <c r="F175" s="2"/>
      <c r="G175" s="2"/>
      <c r="H175" s="2"/>
      <c r="I175" s="2"/>
      <c r="J175" s="2"/>
    </row>
    <row r="176" spans="1:10" x14ac:dyDescent="0.2">
      <c r="A176" s="4" t="s">
        <v>25</v>
      </c>
      <c r="B176" s="4" t="s">
        <v>23</v>
      </c>
      <c r="C176" s="4">
        <v>38</v>
      </c>
      <c r="D176" s="4">
        <v>5988</v>
      </c>
      <c r="E176" s="2"/>
      <c r="F176" s="2"/>
      <c r="G176" s="2"/>
      <c r="H176" s="2"/>
      <c r="I176" s="2"/>
      <c r="J176" s="2"/>
    </row>
    <row r="177" spans="1:10" x14ac:dyDescent="0.2">
      <c r="A177" s="4" t="s">
        <v>25</v>
      </c>
      <c r="B177" s="4" t="s">
        <v>24</v>
      </c>
      <c r="C177" s="4">
        <v>38</v>
      </c>
      <c r="D177" s="4">
        <v>5379</v>
      </c>
      <c r="E177" s="2"/>
      <c r="F177" s="2"/>
      <c r="G177" s="2"/>
      <c r="H177" s="2"/>
      <c r="I177" s="2"/>
      <c r="J177" s="2"/>
    </row>
    <row r="178" spans="1:10" x14ac:dyDescent="0.2">
      <c r="A178" s="4" t="s">
        <v>25</v>
      </c>
      <c r="B178" s="4" t="s">
        <v>23</v>
      </c>
      <c r="C178" s="4">
        <v>37</v>
      </c>
      <c r="D178" s="4">
        <v>5514</v>
      </c>
      <c r="E178" s="2"/>
      <c r="F178" s="2"/>
      <c r="G178" s="2"/>
      <c r="H178" s="2"/>
      <c r="I178" s="2"/>
      <c r="J178" s="2"/>
    </row>
    <row r="179" spans="1:10" x14ac:dyDescent="0.2">
      <c r="A179" s="4" t="s">
        <v>11</v>
      </c>
      <c r="B179" s="4" t="s">
        <v>23</v>
      </c>
      <c r="C179" s="4">
        <v>37</v>
      </c>
      <c r="D179" s="4">
        <v>1040</v>
      </c>
      <c r="E179" s="2"/>
      <c r="F179" s="2"/>
      <c r="G179" s="2"/>
      <c r="H179" s="2"/>
      <c r="I179" s="2"/>
      <c r="J179" s="2"/>
    </row>
    <row r="180" spans="1:10" x14ac:dyDescent="0.2">
      <c r="A180" s="4" t="s">
        <v>11</v>
      </c>
      <c r="B180" s="4" t="s">
        <v>24</v>
      </c>
      <c r="C180" s="4">
        <v>37</v>
      </c>
      <c r="D180" s="4">
        <v>870</v>
      </c>
      <c r="E180" s="2"/>
      <c r="F180" s="2"/>
      <c r="G180" s="2"/>
      <c r="H180" s="2"/>
      <c r="I180" s="2"/>
      <c r="J180" s="2"/>
    </row>
    <row r="181" spans="1:10" x14ac:dyDescent="0.2">
      <c r="A181" s="4" t="s">
        <v>25</v>
      </c>
      <c r="B181" s="4" t="s">
        <v>24</v>
      </c>
      <c r="C181" s="4">
        <v>37</v>
      </c>
      <c r="D181" s="4">
        <v>5031</v>
      </c>
      <c r="E181" s="2"/>
      <c r="F181" s="2"/>
      <c r="G181" s="2"/>
      <c r="H181" s="2"/>
      <c r="I181" s="2"/>
      <c r="J181" s="2"/>
    </row>
    <row r="182" spans="1:10" x14ac:dyDescent="0.2">
      <c r="A182" s="4" t="s">
        <v>25</v>
      </c>
      <c r="B182" s="4" t="s">
        <v>24</v>
      </c>
      <c r="C182" s="4">
        <v>36</v>
      </c>
      <c r="D182" s="4">
        <v>4693</v>
      </c>
      <c r="E182" s="2"/>
      <c r="F182" s="2"/>
      <c r="G182" s="2"/>
      <c r="H182" s="2"/>
      <c r="I182" s="2"/>
      <c r="J182" s="2"/>
    </row>
    <row r="183" spans="1:10" x14ac:dyDescent="0.2">
      <c r="A183" s="4" t="s">
        <v>25</v>
      </c>
      <c r="B183" s="4" t="s">
        <v>23</v>
      </c>
      <c r="C183" s="4">
        <v>36</v>
      </c>
      <c r="D183" s="4">
        <v>4934</v>
      </c>
      <c r="E183" s="2"/>
      <c r="F183" s="2"/>
      <c r="G183" s="2"/>
      <c r="H183" s="2"/>
      <c r="I183" s="2"/>
      <c r="J183" s="2"/>
    </row>
    <row r="184" spans="1:10" x14ac:dyDescent="0.2">
      <c r="A184" s="4" t="s">
        <v>11</v>
      </c>
      <c r="B184" s="4" t="s">
        <v>23</v>
      </c>
      <c r="C184" s="4">
        <v>36</v>
      </c>
      <c r="D184" s="4">
        <v>583</v>
      </c>
      <c r="E184" s="2"/>
      <c r="F184" s="2"/>
      <c r="G184" s="2"/>
      <c r="H184" s="2"/>
      <c r="I184" s="2"/>
      <c r="J184" s="2"/>
    </row>
    <row r="185" spans="1:10" x14ac:dyDescent="0.2">
      <c r="A185" s="4" t="s">
        <v>11</v>
      </c>
      <c r="B185" s="4" t="s">
        <v>24</v>
      </c>
      <c r="C185" s="4">
        <v>36</v>
      </c>
      <c r="D185" s="4">
        <v>449</v>
      </c>
      <c r="E185" s="2"/>
      <c r="F185" s="2"/>
      <c r="G185" s="2"/>
      <c r="H185" s="2"/>
      <c r="I185" s="2"/>
      <c r="J185" s="2"/>
    </row>
    <row r="186" spans="1:10" x14ac:dyDescent="0.2">
      <c r="A186" s="4" t="s">
        <v>25</v>
      </c>
      <c r="B186" s="4" t="s">
        <v>24</v>
      </c>
      <c r="C186" s="4">
        <v>35</v>
      </c>
      <c r="D186" s="4">
        <v>4333</v>
      </c>
      <c r="E186" s="2"/>
      <c r="F186" s="2"/>
      <c r="G186" s="2"/>
      <c r="H186" s="2"/>
      <c r="I186" s="2"/>
      <c r="J186" s="2"/>
    </row>
    <row r="187" spans="1:10" x14ac:dyDescent="0.2">
      <c r="A187" s="4" t="s">
        <v>25</v>
      </c>
      <c r="B187" s="4" t="s">
        <v>23</v>
      </c>
      <c r="C187" s="4">
        <v>35</v>
      </c>
      <c r="D187" s="4">
        <v>4551</v>
      </c>
      <c r="E187" s="2"/>
      <c r="F187" s="2"/>
      <c r="G187" s="2"/>
      <c r="H187" s="2"/>
      <c r="I187" s="2"/>
      <c r="J187" s="2"/>
    </row>
    <row r="188" spans="1:10" x14ac:dyDescent="0.2">
      <c r="A188" s="4" t="s">
        <v>25</v>
      </c>
      <c r="B188" s="4" t="s">
        <v>24</v>
      </c>
      <c r="C188" s="4">
        <v>34</v>
      </c>
      <c r="D188" s="4">
        <v>3856</v>
      </c>
      <c r="E188" s="2"/>
      <c r="F188" s="2"/>
      <c r="G188" s="2"/>
      <c r="H188" s="2"/>
      <c r="I188" s="2"/>
      <c r="J188" s="2"/>
    </row>
    <row r="189" spans="1:10" x14ac:dyDescent="0.2">
      <c r="A189" s="4" t="s">
        <v>25</v>
      </c>
      <c r="B189" s="4" t="s">
        <v>23</v>
      </c>
      <c r="C189" s="4">
        <v>34</v>
      </c>
      <c r="D189" s="4">
        <v>4208</v>
      </c>
      <c r="E189" s="2"/>
      <c r="F189" s="2"/>
      <c r="G189" s="2"/>
      <c r="H189" s="2"/>
      <c r="I189" s="2"/>
      <c r="J189" s="2"/>
    </row>
    <row r="190" spans="1:10" x14ac:dyDescent="0.2">
      <c r="A190" s="4" t="s">
        <v>25</v>
      </c>
      <c r="B190" s="4" t="s">
        <v>23</v>
      </c>
      <c r="C190" s="4">
        <v>33</v>
      </c>
      <c r="D190" s="4">
        <v>3581</v>
      </c>
      <c r="E190" s="2"/>
      <c r="F190" s="2"/>
      <c r="G190" s="2"/>
      <c r="H190" s="2"/>
      <c r="I190" s="2"/>
      <c r="J190" s="2"/>
    </row>
    <row r="191" spans="1:10" x14ac:dyDescent="0.2">
      <c r="A191" s="4" t="s">
        <v>25</v>
      </c>
      <c r="B191" s="4" t="s">
        <v>24</v>
      </c>
      <c r="C191" s="4">
        <v>33</v>
      </c>
      <c r="D191" s="4">
        <v>3569</v>
      </c>
      <c r="E191" s="2"/>
      <c r="F191" s="2"/>
      <c r="G191" s="2"/>
      <c r="H191" s="2"/>
      <c r="I191" s="2"/>
      <c r="J191" s="2"/>
    </row>
    <row r="192" spans="1:10" x14ac:dyDescent="0.2">
      <c r="A192" s="4" t="s">
        <v>25</v>
      </c>
      <c r="B192" s="4" t="s">
        <v>23</v>
      </c>
      <c r="C192" s="4">
        <v>32</v>
      </c>
      <c r="D192" s="4">
        <v>3109</v>
      </c>
      <c r="E192" s="2"/>
      <c r="F192" s="2"/>
      <c r="G192" s="2"/>
      <c r="H192" s="2"/>
      <c r="I192" s="2"/>
      <c r="J192" s="2"/>
    </row>
    <row r="193" spans="1:10" x14ac:dyDescent="0.2">
      <c r="A193" s="4" t="s">
        <v>25</v>
      </c>
      <c r="B193" s="4" t="s">
        <v>24</v>
      </c>
      <c r="C193" s="4">
        <v>32</v>
      </c>
      <c r="D193" s="4">
        <v>3115</v>
      </c>
      <c r="E193" s="2"/>
      <c r="F193" s="2"/>
      <c r="G193" s="2"/>
      <c r="H193" s="2"/>
      <c r="I193" s="2"/>
      <c r="J193" s="2"/>
    </row>
    <row r="194" spans="1:10" x14ac:dyDescent="0.2">
      <c r="A194" s="4" t="s">
        <v>25</v>
      </c>
      <c r="B194" s="4" t="s">
        <v>24</v>
      </c>
      <c r="C194" s="4">
        <v>31</v>
      </c>
      <c r="D194" s="4">
        <v>2630</v>
      </c>
      <c r="E194" s="2"/>
      <c r="F194" s="2"/>
      <c r="G194" s="2"/>
      <c r="H194" s="2"/>
      <c r="I194" s="2"/>
      <c r="J194" s="2"/>
    </row>
    <row r="195" spans="1:10" x14ac:dyDescent="0.2">
      <c r="A195" s="4" t="s">
        <v>25</v>
      </c>
      <c r="B195" s="4" t="s">
        <v>23</v>
      </c>
      <c r="C195" s="4">
        <v>31</v>
      </c>
      <c r="D195" s="4">
        <v>2690</v>
      </c>
      <c r="E195" s="2"/>
      <c r="F195" s="2"/>
      <c r="G195" s="2"/>
      <c r="H195" s="2"/>
      <c r="I195" s="2"/>
      <c r="J195" s="2"/>
    </row>
    <row r="196" spans="1:10" x14ac:dyDescent="0.2">
      <c r="A196" s="4" t="s">
        <v>25</v>
      </c>
      <c r="B196" s="4" t="s">
        <v>24</v>
      </c>
      <c r="C196" s="4">
        <v>30</v>
      </c>
      <c r="D196" s="4">
        <v>2080</v>
      </c>
      <c r="E196" s="2"/>
      <c r="F196" s="2"/>
      <c r="G196" s="2"/>
      <c r="H196" s="2"/>
      <c r="I196" s="2"/>
      <c r="J196" s="2"/>
    </row>
    <row r="197" spans="1:10" x14ac:dyDescent="0.2">
      <c r="A197" s="4" t="s">
        <v>25</v>
      </c>
      <c r="B197" s="4" t="s">
        <v>23</v>
      </c>
      <c r="C197" s="4">
        <v>30</v>
      </c>
      <c r="D197" s="4">
        <v>2188</v>
      </c>
      <c r="E197" s="2"/>
      <c r="F197" s="2"/>
      <c r="G197" s="2"/>
      <c r="H197" s="2"/>
      <c r="I197" s="2"/>
      <c r="J197" s="2"/>
    </row>
    <row r="198" spans="1:10" x14ac:dyDescent="0.2">
      <c r="A198" s="4" t="s">
        <v>25</v>
      </c>
      <c r="B198" s="4" t="s">
        <v>24</v>
      </c>
      <c r="C198" s="4">
        <v>29</v>
      </c>
      <c r="D198" s="4">
        <v>1581</v>
      </c>
      <c r="E198" s="2"/>
      <c r="F198" s="2"/>
      <c r="G198" s="2"/>
      <c r="H198" s="2"/>
      <c r="I198" s="2"/>
      <c r="J198" s="2"/>
    </row>
    <row r="199" spans="1:10" x14ac:dyDescent="0.2">
      <c r="A199" s="4" t="s">
        <v>25</v>
      </c>
      <c r="B199" s="4" t="s">
        <v>23</v>
      </c>
      <c r="C199" s="4">
        <v>29</v>
      </c>
      <c r="D199" s="4">
        <v>1567</v>
      </c>
      <c r="E199" s="2"/>
      <c r="F199" s="2"/>
      <c r="G199" s="2"/>
      <c r="H199" s="2"/>
      <c r="I199" s="2"/>
      <c r="J199" s="2"/>
    </row>
    <row r="200" spans="1:10" x14ac:dyDescent="0.2">
      <c r="A200" s="4" t="s">
        <v>25</v>
      </c>
      <c r="B200" s="4" t="s">
        <v>23</v>
      </c>
      <c r="C200" s="4">
        <v>28</v>
      </c>
      <c r="D200" s="4">
        <v>1035</v>
      </c>
      <c r="E200" s="2"/>
      <c r="F200" s="2"/>
      <c r="G200" s="2"/>
      <c r="H200" s="2"/>
      <c r="I200" s="2"/>
      <c r="J200" s="2"/>
    </row>
    <row r="201" spans="1:10" x14ac:dyDescent="0.2">
      <c r="A201" s="4" t="s">
        <v>25</v>
      </c>
      <c r="B201" s="4" t="s">
        <v>24</v>
      </c>
      <c r="C201" s="4">
        <v>28</v>
      </c>
      <c r="D201" s="4">
        <v>1023</v>
      </c>
      <c r="E201" s="2"/>
      <c r="F201" s="2"/>
      <c r="G201" s="2"/>
      <c r="H201" s="2"/>
      <c r="I201" s="2"/>
      <c r="J201" s="2"/>
    </row>
    <row r="202" spans="1:10" x14ac:dyDescent="0.2">
      <c r="A202" s="4" t="s">
        <v>25</v>
      </c>
      <c r="B202" s="4" t="s">
        <v>23</v>
      </c>
      <c r="C202" s="4">
        <v>27</v>
      </c>
      <c r="D202" s="4">
        <v>501</v>
      </c>
      <c r="E202" s="2"/>
      <c r="F202" s="2"/>
      <c r="G202" s="2"/>
      <c r="H202" s="2"/>
      <c r="I202" s="2"/>
      <c r="J202" s="2"/>
    </row>
    <row r="203" spans="1:10" x14ac:dyDescent="0.2">
      <c r="A203" s="4" t="s">
        <v>25</v>
      </c>
      <c r="B203" s="4" t="s">
        <v>24</v>
      </c>
      <c r="C203" s="4">
        <v>27</v>
      </c>
      <c r="D203" s="4">
        <v>507</v>
      </c>
      <c r="E203" s="2"/>
      <c r="F203" s="2"/>
      <c r="G203" s="2"/>
      <c r="H203" s="2"/>
      <c r="I203" s="2"/>
      <c r="J203" s="2"/>
    </row>
  </sheetData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CAED8-022F-BD49-9558-D711C00680ED}">
  <sheetPr codeName="Sheet5"/>
  <dimension ref="A1:B95"/>
  <sheetViews>
    <sheetView workbookViewId="0">
      <selection activeCell="F23" sqref="F23"/>
    </sheetView>
  </sheetViews>
  <sheetFormatPr baseColWidth="10" defaultRowHeight="16" x14ac:dyDescent="0.2"/>
  <cols>
    <col min="1" max="1" width="11" customWidth="1"/>
    <col min="10" max="95" width="11.83203125" customWidth="1"/>
  </cols>
  <sheetData>
    <row r="1" spans="1:2" x14ac:dyDescent="0.2">
      <c r="A1" s="17" t="s">
        <v>48</v>
      </c>
      <c r="B1" s="18" t="s">
        <v>40</v>
      </c>
    </row>
    <row r="2" spans="1:2" x14ac:dyDescent="0.2">
      <c r="A2" s="19">
        <v>1</v>
      </c>
      <c r="B2" s="38">
        <v>9.8600000000000007E-3</v>
      </c>
    </row>
    <row r="3" spans="1:2" x14ac:dyDescent="0.2">
      <c r="A3" s="19">
        <v>2</v>
      </c>
      <c r="B3" s="38">
        <v>9.92E-3</v>
      </c>
    </row>
    <row r="4" spans="1:2" x14ac:dyDescent="0.2">
      <c r="A4" s="19">
        <v>3</v>
      </c>
      <c r="B4" s="38">
        <v>9.9399999999999992E-3</v>
      </c>
    </row>
    <row r="5" spans="1:2" x14ac:dyDescent="0.2">
      <c r="A5" s="19">
        <v>4</v>
      </c>
      <c r="B5" s="38">
        <v>1.0019999999999999E-2</v>
      </c>
    </row>
    <row r="6" spans="1:2" x14ac:dyDescent="0.2">
      <c r="A6" s="19">
        <v>5</v>
      </c>
      <c r="B6" s="38">
        <v>9.8499999999999994E-3</v>
      </c>
    </row>
    <row r="7" spans="1:2" x14ac:dyDescent="0.2">
      <c r="A7" s="19">
        <v>6</v>
      </c>
      <c r="B7" s="38">
        <v>9.7599999999999996E-3</v>
      </c>
    </row>
    <row r="8" spans="1:2" x14ac:dyDescent="0.2">
      <c r="A8" s="19">
        <v>7</v>
      </c>
      <c r="B8" s="38">
        <v>1.026E-2</v>
      </c>
    </row>
    <row r="9" spans="1:2" x14ac:dyDescent="0.2">
      <c r="A9" s="19">
        <v>8</v>
      </c>
      <c r="B9" s="38">
        <v>9.9500000000000005E-3</v>
      </c>
    </row>
    <row r="10" spans="1:2" x14ac:dyDescent="0.2">
      <c r="A10" s="19">
        <v>9</v>
      </c>
      <c r="B10" s="38">
        <v>0.01</v>
      </c>
    </row>
    <row r="11" spans="1:2" x14ac:dyDescent="0.2">
      <c r="A11" s="19">
        <v>10</v>
      </c>
      <c r="B11" s="38">
        <v>1.021E-2</v>
      </c>
    </row>
    <row r="12" spans="1:2" x14ac:dyDescent="0.2">
      <c r="A12" s="19">
        <v>11</v>
      </c>
      <c r="B12" s="38">
        <v>9.9500000000000005E-3</v>
      </c>
    </row>
    <row r="13" spans="1:2" x14ac:dyDescent="0.2">
      <c r="A13" s="19">
        <v>12</v>
      </c>
      <c r="B13" s="38">
        <v>0.01</v>
      </c>
    </row>
    <row r="14" spans="1:2" x14ac:dyDescent="0.2">
      <c r="A14" s="19">
        <v>13</v>
      </c>
      <c r="B14" s="38">
        <v>9.8799999999999999E-3</v>
      </c>
    </row>
    <row r="15" spans="1:2" x14ac:dyDescent="0.2">
      <c r="A15" s="19">
        <v>14</v>
      </c>
      <c r="B15" s="38">
        <v>9.9699999999999997E-3</v>
      </c>
    </row>
    <row r="16" spans="1:2" x14ac:dyDescent="0.2">
      <c r="A16" s="19">
        <v>15</v>
      </c>
      <c r="B16" s="38">
        <v>1.0149999999999999E-2</v>
      </c>
    </row>
    <row r="17" spans="1:2" x14ac:dyDescent="0.2">
      <c r="A17" s="19">
        <v>16</v>
      </c>
      <c r="B17" s="38">
        <v>9.9600000000000001E-3</v>
      </c>
    </row>
    <row r="18" spans="1:2" x14ac:dyDescent="0.2">
      <c r="A18" s="19">
        <v>17</v>
      </c>
      <c r="B18" s="38">
        <v>9.9399999999999992E-3</v>
      </c>
    </row>
    <row r="19" spans="1:2" x14ac:dyDescent="0.2">
      <c r="A19" s="19">
        <v>18</v>
      </c>
      <c r="B19" s="38">
        <v>9.8499999999999994E-3</v>
      </c>
    </row>
    <row r="20" spans="1:2" x14ac:dyDescent="0.2">
      <c r="A20" s="19">
        <v>19</v>
      </c>
      <c r="B20" s="38">
        <v>9.8399999999999998E-3</v>
      </c>
    </row>
    <row r="21" spans="1:2" x14ac:dyDescent="0.2">
      <c r="A21" s="19">
        <v>20</v>
      </c>
      <c r="B21" s="38">
        <v>0</v>
      </c>
    </row>
    <row r="22" spans="1:2" x14ac:dyDescent="0.2">
      <c r="A22" s="19">
        <v>21</v>
      </c>
      <c r="B22" s="20">
        <v>0</v>
      </c>
    </row>
    <row r="23" spans="1:2" x14ac:dyDescent="0.2">
      <c r="A23" s="19">
        <v>22</v>
      </c>
      <c r="B23" s="20">
        <v>0</v>
      </c>
    </row>
    <row r="24" spans="1:2" x14ac:dyDescent="0.2">
      <c r="A24" s="19">
        <v>23</v>
      </c>
      <c r="B24" s="20">
        <v>0</v>
      </c>
    </row>
    <row r="25" spans="1:2" x14ac:dyDescent="0.2">
      <c r="A25" s="19">
        <v>24</v>
      </c>
      <c r="B25" s="20">
        <v>0</v>
      </c>
    </row>
    <row r="26" spans="1:2" x14ac:dyDescent="0.2">
      <c r="A26" s="19">
        <v>25</v>
      </c>
      <c r="B26" s="20">
        <v>0</v>
      </c>
    </row>
    <row r="27" spans="1:2" x14ac:dyDescent="0.2">
      <c r="A27" s="19">
        <v>26</v>
      </c>
      <c r="B27" s="20">
        <v>0</v>
      </c>
    </row>
    <row r="28" spans="1:2" x14ac:dyDescent="0.2">
      <c r="A28" s="19">
        <v>27</v>
      </c>
      <c r="B28" s="20">
        <v>0</v>
      </c>
    </row>
    <row r="29" spans="1:2" x14ac:dyDescent="0.2">
      <c r="A29" s="19">
        <v>28</v>
      </c>
      <c r="B29" s="20">
        <v>0</v>
      </c>
    </row>
    <row r="30" spans="1:2" x14ac:dyDescent="0.2">
      <c r="A30" s="19">
        <v>29</v>
      </c>
      <c r="B30" s="20">
        <v>0</v>
      </c>
    </row>
    <row r="31" spans="1:2" x14ac:dyDescent="0.2">
      <c r="A31" s="19">
        <v>30</v>
      </c>
      <c r="B31" s="20">
        <v>0</v>
      </c>
    </row>
    <row r="32" spans="1:2" x14ac:dyDescent="0.2">
      <c r="A32" s="19">
        <v>31</v>
      </c>
      <c r="B32" s="20">
        <v>0</v>
      </c>
    </row>
    <row r="33" spans="1:2" x14ac:dyDescent="0.2">
      <c r="A33" s="19">
        <v>32</v>
      </c>
      <c r="B33" s="20">
        <v>0</v>
      </c>
    </row>
    <row r="34" spans="1:2" x14ac:dyDescent="0.2">
      <c r="A34" s="19">
        <v>33</v>
      </c>
      <c r="B34" s="20">
        <v>0</v>
      </c>
    </row>
    <row r="35" spans="1:2" x14ac:dyDescent="0.2">
      <c r="A35" s="19">
        <v>34</v>
      </c>
      <c r="B35" s="20">
        <v>0</v>
      </c>
    </row>
    <row r="36" spans="1:2" x14ac:dyDescent="0.2">
      <c r="A36" s="19">
        <v>35</v>
      </c>
      <c r="B36" s="20">
        <v>0</v>
      </c>
    </row>
    <row r="37" spans="1:2" x14ac:dyDescent="0.2">
      <c r="A37" s="19">
        <v>36</v>
      </c>
      <c r="B37" s="20">
        <v>0</v>
      </c>
    </row>
    <row r="38" spans="1:2" x14ac:dyDescent="0.2">
      <c r="A38" s="19">
        <v>37</v>
      </c>
      <c r="B38" s="20">
        <v>0</v>
      </c>
    </row>
    <row r="39" spans="1:2" x14ac:dyDescent="0.2">
      <c r="A39" s="19">
        <v>38</v>
      </c>
      <c r="B39" s="20">
        <v>0</v>
      </c>
    </row>
    <row r="40" spans="1:2" x14ac:dyDescent="0.2">
      <c r="A40" s="19">
        <v>39</v>
      </c>
      <c r="B40" s="20">
        <v>0</v>
      </c>
    </row>
    <row r="41" spans="1:2" x14ac:dyDescent="0.2">
      <c r="A41" s="19">
        <v>40</v>
      </c>
      <c r="B41" s="20">
        <v>0</v>
      </c>
    </row>
    <row r="42" spans="1:2" x14ac:dyDescent="0.2">
      <c r="A42" s="19">
        <v>41</v>
      </c>
      <c r="B42" s="20">
        <v>0</v>
      </c>
    </row>
    <row r="43" spans="1:2" x14ac:dyDescent="0.2">
      <c r="A43" s="19">
        <v>42</v>
      </c>
      <c r="B43" s="20">
        <v>0</v>
      </c>
    </row>
    <row r="44" spans="1:2" x14ac:dyDescent="0.2">
      <c r="A44" s="19">
        <v>43</v>
      </c>
      <c r="B44" s="20">
        <v>0</v>
      </c>
    </row>
    <row r="45" spans="1:2" x14ac:dyDescent="0.2">
      <c r="A45" s="19">
        <v>44</v>
      </c>
      <c r="B45" s="20">
        <v>0</v>
      </c>
    </row>
    <row r="46" spans="1:2" x14ac:dyDescent="0.2">
      <c r="A46" s="19">
        <v>45</v>
      </c>
      <c r="B46" s="20">
        <v>0</v>
      </c>
    </row>
    <row r="47" spans="1:2" x14ac:dyDescent="0.2">
      <c r="A47" s="19">
        <v>46</v>
      </c>
      <c r="B47" s="20">
        <v>0</v>
      </c>
    </row>
    <row r="48" spans="1:2" x14ac:dyDescent="0.2">
      <c r="A48" s="19">
        <v>47</v>
      </c>
      <c r="B48" s="20">
        <v>0</v>
      </c>
    </row>
    <row r="49" spans="1:2" x14ac:dyDescent="0.2">
      <c r="A49" s="19">
        <v>48</v>
      </c>
      <c r="B49" s="20">
        <v>0</v>
      </c>
    </row>
    <row r="50" spans="1:2" x14ac:dyDescent="0.2">
      <c r="A50" s="19">
        <v>49</v>
      </c>
      <c r="B50" s="20">
        <v>0</v>
      </c>
    </row>
    <row r="51" spans="1:2" x14ac:dyDescent="0.2">
      <c r="A51" s="19">
        <v>50</v>
      </c>
      <c r="B51" s="20">
        <v>0</v>
      </c>
    </row>
    <row r="52" spans="1:2" x14ac:dyDescent="0.2">
      <c r="A52" s="19">
        <v>51</v>
      </c>
      <c r="B52" s="20">
        <v>0</v>
      </c>
    </row>
    <row r="53" spans="1:2" x14ac:dyDescent="0.2">
      <c r="A53" s="19">
        <v>52</v>
      </c>
      <c r="B53" s="20">
        <v>0</v>
      </c>
    </row>
    <row r="54" spans="1:2" x14ac:dyDescent="0.2">
      <c r="A54" s="19">
        <v>53</v>
      </c>
      <c r="B54" s="20">
        <v>0</v>
      </c>
    </row>
    <row r="55" spans="1:2" x14ac:dyDescent="0.2">
      <c r="A55" s="19">
        <v>54</v>
      </c>
      <c r="B55" s="20">
        <v>0</v>
      </c>
    </row>
    <row r="56" spans="1:2" x14ac:dyDescent="0.2">
      <c r="A56" s="19">
        <v>55</v>
      </c>
      <c r="B56" s="20">
        <v>0</v>
      </c>
    </row>
    <row r="57" spans="1:2" x14ac:dyDescent="0.2">
      <c r="A57" s="19">
        <v>56</v>
      </c>
      <c r="B57" s="20">
        <v>0</v>
      </c>
    </row>
    <row r="58" spans="1:2" x14ac:dyDescent="0.2">
      <c r="A58" s="19">
        <v>57</v>
      </c>
      <c r="B58" s="20">
        <v>0</v>
      </c>
    </row>
    <row r="59" spans="1:2" x14ac:dyDescent="0.2">
      <c r="A59" s="19">
        <v>58</v>
      </c>
      <c r="B59" s="20">
        <v>0</v>
      </c>
    </row>
    <row r="60" spans="1:2" x14ac:dyDescent="0.2">
      <c r="A60" s="19">
        <v>59</v>
      </c>
      <c r="B60" s="20">
        <v>0</v>
      </c>
    </row>
    <row r="61" spans="1:2" x14ac:dyDescent="0.2">
      <c r="A61" s="19">
        <v>60</v>
      </c>
      <c r="B61" s="20">
        <v>0</v>
      </c>
    </row>
    <row r="62" spans="1:2" x14ac:dyDescent="0.2">
      <c r="A62" s="19">
        <v>61</v>
      </c>
      <c r="B62" s="20">
        <v>0</v>
      </c>
    </row>
    <row r="63" spans="1:2" x14ac:dyDescent="0.2">
      <c r="A63" s="19">
        <v>62</v>
      </c>
      <c r="B63" s="20">
        <v>0</v>
      </c>
    </row>
    <row r="64" spans="1:2" x14ac:dyDescent="0.2">
      <c r="A64" s="19">
        <v>63</v>
      </c>
      <c r="B64" s="20">
        <v>0</v>
      </c>
    </row>
    <row r="65" spans="1:2" x14ac:dyDescent="0.2">
      <c r="A65" s="19">
        <v>64</v>
      </c>
      <c r="B65" s="20">
        <v>0</v>
      </c>
    </row>
    <row r="66" spans="1:2" x14ac:dyDescent="0.2">
      <c r="A66" s="19">
        <v>65</v>
      </c>
      <c r="B66" s="20">
        <v>0</v>
      </c>
    </row>
    <row r="67" spans="1:2" x14ac:dyDescent="0.2">
      <c r="A67" s="19">
        <v>66</v>
      </c>
      <c r="B67" s="20">
        <v>0</v>
      </c>
    </row>
    <row r="68" spans="1:2" x14ac:dyDescent="0.2">
      <c r="A68" s="19">
        <v>67</v>
      </c>
      <c r="B68" s="20">
        <v>0</v>
      </c>
    </row>
    <row r="69" spans="1:2" x14ac:dyDescent="0.2">
      <c r="A69" s="19">
        <v>68</v>
      </c>
      <c r="B69" s="20">
        <v>0</v>
      </c>
    </row>
    <row r="70" spans="1:2" x14ac:dyDescent="0.2">
      <c r="A70" s="19">
        <v>69</v>
      </c>
      <c r="B70" s="20">
        <v>0</v>
      </c>
    </row>
    <row r="71" spans="1:2" x14ac:dyDescent="0.2">
      <c r="A71" s="19">
        <v>70</v>
      </c>
      <c r="B71" s="20">
        <v>0</v>
      </c>
    </row>
    <row r="72" spans="1:2" x14ac:dyDescent="0.2">
      <c r="A72" s="19">
        <v>71</v>
      </c>
      <c r="B72" s="20">
        <v>0</v>
      </c>
    </row>
    <row r="73" spans="1:2" x14ac:dyDescent="0.2">
      <c r="A73" s="19">
        <v>72</v>
      </c>
      <c r="B73" s="20">
        <v>0</v>
      </c>
    </row>
    <row r="74" spans="1:2" x14ac:dyDescent="0.2">
      <c r="A74" s="19">
        <v>73</v>
      </c>
      <c r="B74" s="20">
        <v>0</v>
      </c>
    </row>
    <row r="75" spans="1:2" x14ac:dyDescent="0.2">
      <c r="A75" s="19">
        <v>74</v>
      </c>
      <c r="B75" s="20">
        <v>0</v>
      </c>
    </row>
    <row r="76" spans="1:2" x14ac:dyDescent="0.2">
      <c r="A76" s="19">
        <v>75</v>
      </c>
      <c r="B76" s="20">
        <v>0</v>
      </c>
    </row>
    <row r="77" spans="1:2" x14ac:dyDescent="0.2">
      <c r="A77" s="19">
        <v>76</v>
      </c>
      <c r="B77" s="20">
        <v>0</v>
      </c>
    </row>
    <row r="78" spans="1:2" x14ac:dyDescent="0.2">
      <c r="A78" s="19">
        <v>77</v>
      </c>
      <c r="B78" s="20">
        <v>0</v>
      </c>
    </row>
    <row r="79" spans="1:2" x14ac:dyDescent="0.2">
      <c r="A79" s="19">
        <v>78</v>
      </c>
      <c r="B79" s="20">
        <v>0</v>
      </c>
    </row>
    <row r="80" spans="1:2" x14ac:dyDescent="0.2">
      <c r="A80" s="19">
        <v>79</v>
      </c>
      <c r="B80" s="20">
        <v>0</v>
      </c>
    </row>
    <row r="81" spans="1:2" x14ac:dyDescent="0.2">
      <c r="A81" s="19">
        <v>80</v>
      </c>
      <c r="B81" s="20">
        <v>0</v>
      </c>
    </row>
    <row r="82" spans="1:2" x14ac:dyDescent="0.2">
      <c r="A82" s="19">
        <v>81</v>
      </c>
      <c r="B82" s="20">
        <v>0</v>
      </c>
    </row>
    <row r="83" spans="1:2" x14ac:dyDescent="0.2">
      <c r="A83" s="19">
        <v>82</v>
      </c>
      <c r="B83" s="20">
        <v>0</v>
      </c>
    </row>
    <row r="84" spans="1:2" x14ac:dyDescent="0.2">
      <c r="A84" s="19">
        <v>83</v>
      </c>
      <c r="B84" s="20">
        <v>0</v>
      </c>
    </row>
    <row r="85" spans="1:2" x14ac:dyDescent="0.2">
      <c r="A85" s="19">
        <v>84</v>
      </c>
      <c r="B85" s="20">
        <v>0</v>
      </c>
    </row>
    <row r="86" spans="1:2" x14ac:dyDescent="0.2">
      <c r="A86" s="19">
        <v>85</v>
      </c>
      <c r="B86" s="20">
        <v>0</v>
      </c>
    </row>
    <row r="87" spans="1:2" x14ac:dyDescent="0.2">
      <c r="A87" s="19">
        <v>86</v>
      </c>
      <c r="B87" s="20">
        <v>0</v>
      </c>
    </row>
    <row r="88" spans="1:2" x14ac:dyDescent="0.2">
      <c r="A88" s="19">
        <v>87</v>
      </c>
      <c r="B88" s="20">
        <v>0</v>
      </c>
    </row>
    <row r="89" spans="1:2" x14ac:dyDescent="0.2">
      <c r="A89" s="19">
        <v>88</v>
      </c>
      <c r="B89" s="20">
        <v>0</v>
      </c>
    </row>
    <row r="90" spans="1:2" x14ac:dyDescent="0.2">
      <c r="A90" s="19">
        <v>89</v>
      </c>
      <c r="B90" s="20">
        <v>0</v>
      </c>
    </row>
    <row r="91" spans="1:2" x14ac:dyDescent="0.2">
      <c r="A91" s="19">
        <v>90</v>
      </c>
      <c r="B91" s="20">
        <v>0</v>
      </c>
    </row>
    <row r="92" spans="1:2" x14ac:dyDescent="0.2">
      <c r="A92" s="19">
        <v>91</v>
      </c>
      <c r="B92" s="20">
        <v>0</v>
      </c>
    </row>
    <row r="93" spans="1:2" x14ac:dyDescent="0.2">
      <c r="A93" s="19">
        <v>92</v>
      </c>
      <c r="B93" s="20">
        <v>0</v>
      </c>
    </row>
    <row r="94" spans="1:2" x14ac:dyDescent="0.2">
      <c r="A94" s="19">
        <v>93</v>
      </c>
      <c r="B94" s="20">
        <v>0</v>
      </c>
    </row>
    <row r="95" spans="1:2" x14ac:dyDescent="0.2">
      <c r="A95" s="21">
        <v>94</v>
      </c>
      <c r="B95" s="2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9ECD0-28FE-5C4E-9F2A-35DB55EF077E}">
  <sheetPr codeName="Sheet6"/>
  <dimension ref="A1:AD96"/>
  <sheetViews>
    <sheetView workbookViewId="0">
      <selection activeCell="J19" sqref="J19"/>
    </sheetView>
  </sheetViews>
  <sheetFormatPr baseColWidth="10" defaultRowHeight="18" x14ac:dyDescent="0.2"/>
  <cols>
    <col min="1" max="1" width="10.83203125" style="7"/>
    <col min="2" max="2" width="14.83203125" style="7" customWidth="1"/>
    <col min="3" max="3" width="17.5" style="7" customWidth="1"/>
    <col min="4" max="7" width="10.83203125" style="7"/>
  </cols>
  <sheetData>
    <row r="1" spans="1:30" x14ac:dyDescent="0.2">
      <c r="A1" s="7" t="s">
        <v>0</v>
      </c>
      <c r="B1" s="7" t="s">
        <v>1</v>
      </c>
      <c r="C1" s="7" t="s">
        <v>62</v>
      </c>
      <c r="D1" s="7" t="s">
        <v>136</v>
      </c>
    </row>
    <row r="2" spans="1:30" ht="22" x14ac:dyDescent="0.3">
      <c r="A2" s="7">
        <v>26</v>
      </c>
      <c r="B2" s="25">
        <v>1.413902889E-3</v>
      </c>
      <c r="C2" s="7">
        <f>Table21[[#This Row],[q_x]]*(1-'Cardio App'!B2)*(1-'Cancer prevention'!B2)</f>
        <v>1.0571108575238505E-3</v>
      </c>
      <c r="D2" s="7">
        <f>(Table21[[#This Row],[q_x]]-Table21[[#This Row],[Reduced q_x]])/Table21[[#This Row],[q_x]]</f>
        <v>0.2523455</v>
      </c>
    </row>
    <row r="3" spans="1:30" ht="22" x14ac:dyDescent="0.3">
      <c r="A3" s="7">
        <v>27</v>
      </c>
      <c r="B3" s="25">
        <v>1.651304522E-3</v>
      </c>
      <c r="C3" s="7">
        <f>Table21[[#This Row],[q_x]]*(1-'Cardio App'!B3)*(1-'Cancer prevention'!B3)</f>
        <v>1.2346052567436491E-3</v>
      </c>
      <c r="D3" s="7">
        <f>(Table21[[#This Row],[q_x]]-Table21[[#This Row],[Reduced q_x]])/Table21[[#This Row],[q_x]]</f>
        <v>0.25234549999999994</v>
      </c>
    </row>
    <row r="4" spans="1:30" ht="22" x14ac:dyDescent="0.3">
      <c r="A4" s="7">
        <v>28</v>
      </c>
      <c r="B4" s="25">
        <v>1.805110852E-3</v>
      </c>
      <c r="C4" s="7">
        <f>Table21[[#This Row],[q_x]]*(1-'Cardio App'!B4)*(1-'Cancer prevention'!B4)</f>
        <v>1.3495992514966342E-3</v>
      </c>
      <c r="D4" s="7">
        <f>(Table21[[#This Row],[q_x]]-Table21[[#This Row],[Reduced q_x]])/Table21[[#This Row],[q_x]]</f>
        <v>0.25234549999999989</v>
      </c>
    </row>
    <row r="5" spans="1:30" ht="22" x14ac:dyDescent="0.3">
      <c r="A5" s="7">
        <v>29</v>
      </c>
      <c r="B5" s="25">
        <v>1.8864930700000001E-3</v>
      </c>
      <c r="C5" s="7">
        <f>Table21[[#This Row],[q_x]]*(1-'Cardio App'!B5)*(1-'Cancer prevention'!B5)</f>
        <v>1.4104450330043152E-3</v>
      </c>
      <c r="D5" s="7">
        <f>(Table21[[#This Row],[q_x]]-Table21[[#This Row],[Reduced q_x]])/Table21[[#This Row],[q_x]]</f>
        <v>0.25234549999999994</v>
      </c>
    </row>
    <row r="6" spans="1:30" ht="22" x14ac:dyDescent="0.3">
      <c r="A6" s="7">
        <v>30</v>
      </c>
      <c r="B6" s="25">
        <v>1.906622363E-3</v>
      </c>
      <c r="C6" s="7">
        <f>Table21[[#This Row],[q_x]]*(1-'Cardio App'!B6)*(1-'Cancer prevention'!B6)</f>
        <v>1.2059012747991853E-3</v>
      </c>
      <c r="D6" s="7">
        <f>(Table21[[#This Row],[q_x]]-Table21[[#This Row],[Reduced q_x]])/Table21[[#This Row],[q_x]]</f>
        <v>0.3675196</v>
      </c>
    </row>
    <row r="7" spans="1:30" ht="22" x14ac:dyDescent="0.3">
      <c r="A7" s="7">
        <v>31</v>
      </c>
      <c r="B7" s="25">
        <v>1.8766699190000001E-3</v>
      </c>
      <c r="C7" s="7">
        <f>Table21[[#This Row],[q_x]]*(1-'Cardio App'!B7)*(1-'Cancer prevention'!B7)</f>
        <v>1.1869569410370875E-3</v>
      </c>
      <c r="D7" s="7">
        <f>(Table21[[#This Row],[q_x]]-Table21[[#This Row],[Reduced q_x]])/Table21[[#This Row],[q_x]]</f>
        <v>0.36751960000000006</v>
      </c>
    </row>
    <row r="8" spans="1:30" ht="22" x14ac:dyDescent="0.3">
      <c r="A8" s="7">
        <v>32</v>
      </c>
      <c r="B8" s="25">
        <v>1.8078069269999999E-3</v>
      </c>
      <c r="C8" s="7">
        <f>Table21[[#This Row],[q_x]]*(1-'Cardio App'!B8)*(1-'Cancer prevention'!B8)</f>
        <v>1.1434024483117308E-3</v>
      </c>
      <c r="D8" s="7">
        <f>(Table21[[#This Row],[q_x]]-Table21[[#This Row],[Reduced q_x]])/Table21[[#This Row],[q_x]]</f>
        <v>0.36751959999999995</v>
      </c>
    </row>
    <row r="9" spans="1:30" ht="22" x14ac:dyDescent="0.3">
      <c r="A9" s="7">
        <v>33</v>
      </c>
      <c r="B9" s="25">
        <v>1.7112045749999999E-3</v>
      </c>
      <c r="C9" s="7">
        <f>Table21[[#This Row],[q_x]]*(1-'Cardio App'!B9)*(1-'Cancer prevention'!B9)</f>
        <v>1.0823033540778299E-3</v>
      </c>
      <c r="D9" s="7">
        <f>(Table21[[#This Row],[q_x]]-Table21[[#This Row],[Reduced q_x]])/Table21[[#This Row],[q_x]]</f>
        <v>0.3675196</v>
      </c>
    </row>
    <row r="10" spans="1:30" ht="22" x14ac:dyDescent="0.3">
      <c r="A10" s="7">
        <v>34</v>
      </c>
      <c r="B10" s="25">
        <v>1.5980340519999999E-3</v>
      </c>
      <c r="C10" s="7">
        <f>Table21[[#This Row],[q_x]]*(1-'Cardio App'!B10)*(1-'Cancer prevention'!B10)</f>
        <v>1.0107252164225809E-3</v>
      </c>
      <c r="D10" s="7">
        <f>(Table21[[#This Row],[q_x]]-Table21[[#This Row],[Reduced q_x]])/Table21[[#This Row],[q_x]]</f>
        <v>0.36751959999999989</v>
      </c>
    </row>
    <row r="11" spans="1:30" ht="22" x14ac:dyDescent="0.3">
      <c r="A11" s="7">
        <v>35</v>
      </c>
      <c r="B11" s="25">
        <v>1.479466545E-3</v>
      </c>
      <c r="C11" s="7">
        <f>Table21[[#This Row],[q_x]]*(1-'Cardio App'!B11)*(1-'Cancer prevention'!B11)</f>
        <v>9.3573359216821801E-4</v>
      </c>
      <c r="D11" s="7">
        <f>(Table21[[#This Row],[q_x]]-Table21[[#This Row],[Reduced q_x]])/Table21[[#This Row],[q_x]]</f>
        <v>0.3675196</v>
      </c>
    </row>
    <row r="12" spans="1:30" ht="22" x14ac:dyDescent="0.3">
      <c r="A12" s="7">
        <v>36</v>
      </c>
      <c r="B12" s="25">
        <v>1.366673245E-3</v>
      </c>
      <c r="C12" s="7">
        <f>Table21[[#This Row],[q_x]]*(1-'Cardio App'!B12)*(1-'Cancer prevention'!B12)</f>
        <v>8.6439404066689801E-4</v>
      </c>
      <c r="D12" s="7">
        <f>(Table21[[#This Row],[q_x]]-Table21[[#This Row],[Reduced q_x]])/Table21[[#This Row],[q_x]]</f>
        <v>0.3675196</v>
      </c>
    </row>
    <row r="13" spans="1:30" ht="22" x14ac:dyDescent="0.3">
      <c r="A13" s="7">
        <v>37</v>
      </c>
      <c r="B13" s="25">
        <v>1.2708253379999999E-3</v>
      </c>
      <c r="C13" s="7">
        <f>Table21[[#This Row],[q_x]]*(1-'Cardio App'!B13)*(1-'Cancer prevention'!B13)</f>
        <v>8.037721181083752E-4</v>
      </c>
      <c r="D13" s="7">
        <f>(Table21[[#This Row],[q_x]]-Table21[[#This Row],[Reduced q_x]])/Table21[[#This Row],[q_x]]</f>
        <v>0.36751959999999995</v>
      </c>
      <c r="AC13" s="4"/>
      <c r="AD13" s="4"/>
    </row>
    <row r="14" spans="1:30" ht="22" x14ac:dyDescent="0.3">
      <c r="A14" s="7">
        <v>38</v>
      </c>
      <c r="B14" s="25">
        <v>1.203094013E-3</v>
      </c>
      <c r="C14" s="7">
        <f>Table21[[#This Row],[q_x]]*(1-'Cardio App'!B14)*(1-'Cancer prevention'!B14)</f>
        <v>7.6093338257984529E-4</v>
      </c>
      <c r="D14" s="7">
        <f>(Table21[[#This Row],[q_x]]-Table21[[#This Row],[Reduced q_x]])/Table21[[#This Row],[q_x]]</f>
        <v>0.36751959999999995</v>
      </c>
      <c r="AC14" s="4"/>
      <c r="AD14" s="4"/>
    </row>
    <row r="15" spans="1:30" ht="22" x14ac:dyDescent="0.3">
      <c r="A15" s="7">
        <v>39</v>
      </c>
      <c r="B15" s="25">
        <v>1.1746504580000001E-3</v>
      </c>
      <c r="C15" s="7">
        <f>Table21[[#This Row],[q_x]]*(1-'Cardio App'!B15)*(1-'Cancer prevention'!B15)</f>
        <v>7.4294339153602336E-4</v>
      </c>
      <c r="D15" s="7">
        <f>(Table21[[#This Row],[q_x]]-Table21[[#This Row],[Reduced q_x]])/Table21[[#This Row],[q_x]]</f>
        <v>0.36751959999999989</v>
      </c>
      <c r="AC15" s="4"/>
      <c r="AD15" s="4"/>
    </row>
    <row r="16" spans="1:30" ht="22" x14ac:dyDescent="0.3">
      <c r="A16" s="7">
        <v>40</v>
      </c>
      <c r="B16" s="25">
        <v>1.196665863E-3</v>
      </c>
      <c r="C16" s="7">
        <f>Table21[[#This Row],[q_x]]*(1-'Cardio App'!B16)*(1-'Cancer prevention'!B16)</f>
        <v>7.568677036965852E-4</v>
      </c>
      <c r="D16" s="7">
        <f>(Table21[[#This Row],[q_x]]-Table21[[#This Row],[Reduced q_x]])/Table21[[#This Row],[q_x]]</f>
        <v>0.3675196</v>
      </c>
      <c r="AC16" s="4"/>
      <c r="AD16" s="4"/>
    </row>
    <row r="17" spans="1:30" ht="22" x14ac:dyDescent="0.3">
      <c r="A17" s="7">
        <v>41</v>
      </c>
      <c r="B17" s="25">
        <v>1.277665773E-3</v>
      </c>
      <c r="C17" s="7">
        <f>Table21[[#This Row],[q_x]]*(1-'Cardio App'!B17)*(1-'Cancer prevention'!B17)</f>
        <v>8.0809855917334927E-4</v>
      </c>
      <c r="D17" s="7">
        <f>(Table21[[#This Row],[q_x]]-Table21[[#This Row],[Reduced q_x]])/Table21[[#This Row],[q_x]]</f>
        <v>0.36751959999999995</v>
      </c>
      <c r="AC17" s="4"/>
      <c r="AD17" s="4"/>
    </row>
    <row r="18" spans="1:30" ht="22" x14ac:dyDescent="0.3">
      <c r="A18" s="7">
        <v>42</v>
      </c>
      <c r="B18" s="25">
        <v>1.4155931679999999E-3</v>
      </c>
      <c r="C18" s="7">
        <f>Table21[[#This Row],[q_x]]*(1-'Cardio App'!B18)*(1-'Cancer prevention'!B18)</f>
        <v>8.9533493313390708E-4</v>
      </c>
      <c r="D18" s="7">
        <f>(Table21[[#This Row],[q_x]]-Table21[[#This Row],[Reduced q_x]])/Table21[[#This Row],[q_x]]</f>
        <v>0.36751960000000006</v>
      </c>
      <c r="AC18" s="4"/>
      <c r="AD18" s="4"/>
    </row>
    <row r="19" spans="1:30" ht="22" x14ac:dyDescent="0.3">
      <c r="A19" s="7">
        <v>43</v>
      </c>
      <c r="B19" s="25">
        <v>1.605745384E-3</v>
      </c>
      <c r="C19" s="7">
        <f>Table21[[#This Row],[q_x]]*(1-'Cardio App'!B19)*(1-'Cancer prevention'!B19)</f>
        <v>1.0156024827704736E-3</v>
      </c>
      <c r="D19" s="7">
        <f>(Table21[[#This Row],[q_x]]-Table21[[#This Row],[Reduced q_x]])/Table21[[#This Row],[q_x]]</f>
        <v>0.3675196</v>
      </c>
      <c r="AC19" s="4"/>
      <c r="AD19" s="4"/>
    </row>
    <row r="20" spans="1:30" ht="22" x14ac:dyDescent="0.3">
      <c r="A20" s="7">
        <v>44</v>
      </c>
      <c r="B20" s="25">
        <v>1.843419758E-3</v>
      </c>
      <c r="C20" s="7">
        <f>Table21[[#This Row],[q_x]]*(1-'Cardio App'!B20)*(1-'Cancer prevention'!B20)</f>
        <v>1.1659268659077431E-3</v>
      </c>
      <c r="D20" s="7">
        <f>(Table21[[#This Row],[q_x]]-Table21[[#This Row],[Reduced q_x]])/Table21[[#This Row],[q_x]]</f>
        <v>0.36751960000000006</v>
      </c>
      <c r="AC20" s="4"/>
      <c r="AD20" s="4"/>
    </row>
    <row r="21" spans="1:30" ht="22" x14ac:dyDescent="0.3">
      <c r="A21" s="7">
        <v>45</v>
      </c>
      <c r="B21" s="25">
        <v>2.1239136289999999E-3</v>
      </c>
      <c r="C21" s="7">
        <f>Table21[[#This Row],[q_x]]*(1-'Cardio App'!B21)*(1-'Cancer prevention'!B21)</f>
        <v>1.3433337416353715E-3</v>
      </c>
      <c r="D21" s="7">
        <f>(Table21[[#This Row],[q_x]]-Table21[[#This Row],[Reduced q_x]])/Table21[[#This Row],[q_x]]</f>
        <v>0.3675196</v>
      </c>
      <c r="AC21" s="4"/>
      <c r="AD21" s="4"/>
    </row>
    <row r="22" spans="1:30" ht="22" x14ac:dyDescent="0.3">
      <c r="A22" s="7">
        <v>46</v>
      </c>
      <c r="B22" s="25">
        <v>2.4425243330000001E-3</v>
      </c>
      <c r="C22" s="7">
        <f>Table21[[#This Row],[q_x]]*(1-'Cardio App'!B22)*(1-'Cancer prevention'!B22)</f>
        <v>1.5448487671455733E-3</v>
      </c>
      <c r="D22" s="7">
        <f>(Table21[[#This Row],[q_x]]-Table21[[#This Row],[Reduced q_x]])/Table21[[#This Row],[q_x]]</f>
        <v>0.3675196</v>
      </c>
      <c r="AC22" s="4"/>
      <c r="AD22" s="4"/>
    </row>
    <row r="23" spans="1:30" ht="22" x14ac:dyDescent="0.3">
      <c r="A23" s="7">
        <v>47</v>
      </c>
      <c r="B23" s="25">
        <v>2.7945492059999999E-3</v>
      </c>
      <c r="C23" s="7">
        <f>Table21[[#This Row],[q_x]]*(1-'Cardio App'!B23)*(1-'Cancer prevention'!B23)</f>
        <v>1.7674975996305625E-3</v>
      </c>
      <c r="D23" s="7">
        <f>(Table21[[#This Row],[q_x]]-Table21[[#This Row],[Reduced q_x]])/Table21[[#This Row],[q_x]]</f>
        <v>0.36751959999999995</v>
      </c>
      <c r="AC23" s="4"/>
      <c r="AD23" s="4"/>
    </row>
    <row r="24" spans="1:30" ht="22" x14ac:dyDescent="0.3">
      <c r="A24" s="7">
        <v>48</v>
      </c>
      <c r="B24" s="25">
        <v>3.1752855870000002E-3</v>
      </c>
      <c r="C24" s="7">
        <f>Table21[[#This Row],[q_x]]*(1-'Cardio App'!B24)*(1-'Cancer prevention'!B24)</f>
        <v>2.0083058981799949E-3</v>
      </c>
      <c r="D24" s="7">
        <f>(Table21[[#This Row],[q_x]]-Table21[[#This Row],[Reduced q_x]])/Table21[[#This Row],[q_x]]</f>
        <v>0.3675196</v>
      </c>
      <c r="AC24" s="4"/>
      <c r="AD24" s="4"/>
    </row>
    <row r="25" spans="1:30" ht="22" x14ac:dyDescent="0.3">
      <c r="A25" s="7">
        <v>49</v>
      </c>
      <c r="B25" s="25">
        <v>3.5800308119999999E-3</v>
      </c>
      <c r="C25" s="7">
        <f>Table21[[#This Row],[q_x]]*(1-'Cardio App'!B25)*(1-'Cancer prevention'!B25)</f>
        <v>2.2642993199860849E-3</v>
      </c>
      <c r="D25" s="7">
        <f>(Table21[[#This Row],[q_x]]-Table21[[#This Row],[Reduced q_x]])/Table21[[#This Row],[q_x]]</f>
        <v>0.36751959999999995</v>
      </c>
      <c r="AC25" s="4"/>
      <c r="AD25" s="4"/>
    </row>
    <row r="26" spans="1:30" ht="22" x14ac:dyDescent="0.3">
      <c r="A26" s="7">
        <v>50</v>
      </c>
      <c r="B26" s="25">
        <v>4.0040822190000004E-3</v>
      </c>
      <c r="C26" s="7">
        <f>Table21[[#This Row],[q_x]]*(1-'Cardio App'!B26)*(1-'Cancer prevention'!B26)</f>
        <v>2.9263454509750697E-3</v>
      </c>
      <c r="D26" s="7">
        <f>(Table21[[#This Row],[q_x]]-Table21[[#This Row],[Reduced q_x]])/Table21[[#This Row],[q_x]]</f>
        <v>0.2691595</v>
      </c>
      <c r="AC26" s="4"/>
      <c r="AD26" s="4"/>
    </row>
    <row r="27" spans="1:30" ht="22" x14ac:dyDescent="0.3">
      <c r="A27" s="7">
        <v>51</v>
      </c>
      <c r="B27" s="25">
        <v>4.4427371439999998E-3</v>
      </c>
      <c r="C27" s="7">
        <f>Table21[[#This Row],[q_x]]*(1-'Cardio App'!B27)*(1-'Cancer prevention'!B27)</f>
        <v>3.2469322356895318E-3</v>
      </c>
      <c r="D27" s="7">
        <f>(Table21[[#This Row],[q_x]]-Table21[[#This Row],[Reduced q_x]])/Table21[[#This Row],[q_x]]</f>
        <v>0.2691595</v>
      </c>
      <c r="AC27" s="4"/>
      <c r="AD27" s="4"/>
    </row>
    <row r="28" spans="1:30" ht="22" x14ac:dyDescent="0.3">
      <c r="A28" s="7">
        <v>52</v>
      </c>
      <c r="B28" s="25">
        <v>4.8912929250000004E-3</v>
      </c>
      <c r="C28" s="7">
        <f>Table21[[#This Row],[q_x]]*(1-'Cardio App'!B28)*(1-'Cancer prevention'!B28)</f>
        <v>3.5747549669534625E-3</v>
      </c>
      <c r="D28" s="7">
        <f>(Table21[[#This Row],[q_x]]-Table21[[#This Row],[Reduced q_x]])/Table21[[#This Row],[q_x]]</f>
        <v>0.26915950000000005</v>
      </c>
      <c r="AC28" s="4"/>
      <c r="AD28" s="4"/>
    </row>
    <row r="29" spans="1:30" ht="22" x14ac:dyDescent="0.3">
      <c r="A29" s="7">
        <v>53</v>
      </c>
      <c r="B29" s="25">
        <v>5.3450468990000003E-3</v>
      </c>
      <c r="C29" s="7">
        <f>Table21[[#This Row],[q_x]]*(1-'Cardio App'!B29)*(1-'Cancer prevention'!B29)</f>
        <v>3.9063767481886096E-3</v>
      </c>
      <c r="D29" s="7">
        <f>(Table21[[#This Row],[q_x]]-Table21[[#This Row],[Reduced q_x]])/Table21[[#This Row],[q_x]]</f>
        <v>0.2691595</v>
      </c>
      <c r="AC29" s="4"/>
      <c r="AD29" s="4"/>
    </row>
    <row r="30" spans="1:30" ht="22" x14ac:dyDescent="0.3">
      <c r="A30" s="7">
        <v>54</v>
      </c>
      <c r="B30" s="25">
        <v>5.7992964030000003E-3</v>
      </c>
      <c r="C30" s="7">
        <f>Table21[[#This Row],[q_x]]*(1-'Cardio App'!B30)*(1-'Cancer prevention'!B30)</f>
        <v>4.2383606828167216E-3</v>
      </c>
      <c r="D30" s="7">
        <f>(Table21[[#This Row],[q_x]]-Table21[[#This Row],[Reduced q_x]])/Table21[[#This Row],[q_x]]</f>
        <v>0.26915950000000005</v>
      </c>
      <c r="AC30" s="4"/>
      <c r="AD30" s="4"/>
    </row>
    <row r="31" spans="1:30" ht="22" x14ac:dyDescent="0.3">
      <c r="A31" s="7">
        <v>55</v>
      </c>
      <c r="B31" s="25">
        <v>6.2493387739999996E-3</v>
      </c>
      <c r="C31" s="7">
        <f>Table21[[#This Row],[q_x]]*(1-'Cardio App'!B31)*(1-'Cancer prevention'!B31)</f>
        <v>4.5672698742595464E-3</v>
      </c>
      <c r="D31" s="7">
        <f>(Table21[[#This Row],[q_x]]-Table21[[#This Row],[Reduced q_x]])/Table21[[#This Row],[q_x]]</f>
        <v>0.26915950000000005</v>
      </c>
      <c r="AC31" s="4"/>
      <c r="AD31" s="4"/>
    </row>
    <row r="32" spans="1:30" ht="22" x14ac:dyDescent="0.3">
      <c r="A32" s="7">
        <v>56</v>
      </c>
      <c r="B32" s="25">
        <v>6.6904713489999998E-3</v>
      </c>
      <c r="C32" s="7">
        <f>Table21[[#This Row],[q_x]]*(1-'Cardio App'!B32)*(1-'Cancer prevention'!B32)</f>
        <v>4.889667425938834E-3</v>
      </c>
      <c r="D32" s="7">
        <f>(Table21[[#This Row],[q_x]]-Table21[[#This Row],[Reduced q_x]])/Table21[[#This Row],[q_x]]</f>
        <v>0.26915950000000005</v>
      </c>
      <c r="AC32" s="4"/>
      <c r="AD32" s="4"/>
    </row>
    <row r="33" spans="1:4" ht="22" x14ac:dyDescent="0.3">
      <c r="A33" s="7">
        <v>57</v>
      </c>
      <c r="B33" s="25">
        <v>7.117991465E-3</v>
      </c>
      <c r="C33" s="7">
        <f>Table21[[#This Row],[q_x]]*(1-'Cardio App'!B33)*(1-'Cancer prevention'!B33)</f>
        <v>5.2021164412763329E-3</v>
      </c>
      <c r="D33" s="7">
        <f>(Table21[[#This Row],[q_x]]-Table21[[#This Row],[Reduced q_x]])/Table21[[#This Row],[q_x]]</f>
        <v>0.26915949999999994</v>
      </c>
    </row>
    <row r="34" spans="1:4" ht="22" x14ac:dyDescent="0.3">
      <c r="A34" s="7">
        <v>58</v>
      </c>
      <c r="B34" s="25">
        <v>7.5271964599999998E-3</v>
      </c>
      <c r="C34" s="7">
        <f>Table21[[#This Row],[q_x]]*(1-'Cardio App'!B34)*(1-'Cancer prevention'!B34)</f>
        <v>5.5011800244246295E-3</v>
      </c>
      <c r="D34" s="7">
        <f>(Table21[[#This Row],[q_x]]-Table21[[#This Row],[Reduced q_x]])/Table21[[#This Row],[q_x]]</f>
        <v>0.26915950000000005</v>
      </c>
    </row>
    <row r="35" spans="1:4" ht="22" x14ac:dyDescent="0.3">
      <c r="A35" s="7">
        <v>59</v>
      </c>
      <c r="B35" s="25">
        <v>7.9133836699999995E-3</v>
      </c>
      <c r="C35" s="7">
        <f>Table21[[#This Row],[q_x]]*(1-'Cardio App'!B35)*(1-'Cancer prevention'!B35)</f>
        <v>5.783421278074634E-3</v>
      </c>
      <c r="D35" s="7">
        <f>(Table21[[#This Row],[q_x]]-Table21[[#This Row],[Reduced q_x]])/Table21[[#This Row],[q_x]]</f>
        <v>0.26915950000000005</v>
      </c>
    </row>
    <row r="36" spans="1:4" ht="22" x14ac:dyDescent="0.3">
      <c r="A36" s="7">
        <v>60</v>
      </c>
      <c r="B36" s="25">
        <v>8.2718504339999999E-3</v>
      </c>
      <c r="C36" s="7">
        <f>Table21[[#This Row],[q_x]]*(1-'Cardio App'!B36)*(1-'Cancer prevention'!B36)</f>
        <v>6.0454033071097764E-3</v>
      </c>
      <c r="D36" s="7">
        <f>(Table21[[#This Row],[q_x]]-Table21[[#This Row],[Reduced q_x]])/Table21[[#This Row],[q_x]]</f>
        <v>0.26915950000000005</v>
      </c>
    </row>
    <row r="37" spans="1:4" ht="22" x14ac:dyDescent="0.3">
      <c r="A37" s="7">
        <v>61</v>
      </c>
      <c r="B37" s="25">
        <v>8.6035763530000007E-3</v>
      </c>
      <c r="C37" s="7">
        <f>Table21[[#This Row],[q_x]]*(1-'Cardio App'!B37)*(1-'Cancer prevention'!B37)</f>
        <v>6.287842043614697E-3</v>
      </c>
      <c r="D37" s="7">
        <f>(Table21[[#This Row],[q_x]]-Table21[[#This Row],[Reduced q_x]])/Table21[[#This Row],[q_x]]</f>
        <v>0.2691595</v>
      </c>
    </row>
    <row r="38" spans="1:4" ht="22" x14ac:dyDescent="0.3">
      <c r="A38" s="7">
        <v>62</v>
      </c>
      <c r="B38" s="25">
        <v>8.932270095E-3</v>
      </c>
      <c r="C38" s="7">
        <f>Table21[[#This Row],[q_x]]*(1-'Cardio App'!B38)*(1-'Cancer prevention'!B38)</f>
        <v>6.5280647423648468E-3</v>
      </c>
      <c r="D38" s="7">
        <f>(Table21[[#This Row],[q_x]]-Table21[[#This Row],[Reduced q_x]])/Table21[[#This Row],[q_x]]</f>
        <v>0.26915950000000011</v>
      </c>
    </row>
    <row r="39" spans="1:4" ht="22" x14ac:dyDescent="0.3">
      <c r="A39" s="7">
        <v>63</v>
      </c>
      <c r="B39" s="25">
        <v>9.2873225940000009E-3</v>
      </c>
      <c r="C39" s="7">
        <f>Table21[[#This Row],[q_x]]*(1-'Cardio App'!B39)*(1-'Cancer prevention'!B39)</f>
        <v>6.7875514882602579E-3</v>
      </c>
      <c r="D39" s="7">
        <f>(Table21[[#This Row],[q_x]]-Table21[[#This Row],[Reduced q_x]])/Table21[[#This Row],[q_x]]</f>
        <v>0.2691595</v>
      </c>
    </row>
    <row r="40" spans="1:4" ht="22" x14ac:dyDescent="0.3">
      <c r="A40" s="7">
        <v>64</v>
      </c>
      <c r="B40" s="25">
        <v>9.6981247830000006E-3</v>
      </c>
      <c r="C40" s="7">
        <f>Table21[[#This Row],[q_x]]*(1-'Cardio App'!B40)*(1-'Cancer prevention'!B40)</f>
        <v>7.0877823654701116E-3</v>
      </c>
      <c r="D40" s="7">
        <f>(Table21[[#This Row],[q_x]]-Table21[[#This Row],[Reduced q_x]])/Table21[[#This Row],[q_x]]</f>
        <v>0.26915950000000005</v>
      </c>
    </row>
    <row r="41" spans="1:4" ht="22" x14ac:dyDescent="0.3">
      <c r="A41" s="7">
        <v>65</v>
      </c>
      <c r="B41" s="25">
        <v>1.01940676E-2</v>
      </c>
      <c r="C41" s="7">
        <f>Table21[[#This Row],[q_x]]*(1-'Cardio App'!B41)*(1-'Cancer prevention'!B41)</f>
        <v>7.4502374618177995E-3</v>
      </c>
      <c r="D41" s="7">
        <f>(Table21[[#This Row],[q_x]]-Table21[[#This Row],[Reduced q_x]])/Table21[[#This Row],[q_x]]</f>
        <v>0.26915950000000011</v>
      </c>
    </row>
    <row r="42" spans="1:4" ht="22" x14ac:dyDescent="0.3">
      <c r="A42" s="7">
        <v>66</v>
      </c>
      <c r="B42" s="25">
        <v>1.080454197E-2</v>
      </c>
      <c r="C42" s="7">
        <f>Table21[[#This Row],[q_x]]*(1-'Cardio App'!B42)*(1-'Cancer prevention'!B42)</f>
        <v>7.8963968556257855E-3</v>
      </c>
      <c r="D42" s="7">
        <f>(Table21[[#This Row],[q_x]]-Table21[[#This Row],[Reduced q_x]])/Table21[[#This Row],[q_x]]</f>
        <v>0.26915949999999994</v>
      </c>
    </row>
    <row r="43" spans="1:4" ht="22" x14ac:dyDescent="0.3">
      <c r="A43" s="7">
        <v>67</v>
      </c>
      <c r="B43" s="25">
        <v>1.1558938830000001E-2</v>
      </c>
      <c r="C43" s="7">
        <f>Table21[[#This Row],[q_x]]*(1-'Cardio App'!B43)*(1-'Cancer prevention'!B43)</f>
        <v>8.4477406339866154E-3</v>
      </c>
      <c r="D43" s="7">
        <f>(Table21[[#This Row],[q_x]]-Table21[[#This Row],[Reduced q_x]])/Table21[[#This Row],[q_x]]</f>
        <v>0.2691595</v>
      </c>
    </row>
    <row r="44" spans="1:4" ht="22" x14ac:dyDescent="0.3">
      <c r="A44" s="7">
        <v>68</v>
      </c>
      <c r="B44" s="25">
        <v>1.2486649109999999E-2</v>
      </c>
      <c r="C44" s="7">
        <f>Table21[[#This Row],[q_x]]*(1-'Cardio App'!B44)*(1-'Cancer prevention'!B44)</f>
        <v>9.1257488788769534E-3</v>
      </c>
      <c r="D44" s="7">
        <f>(Table21[[#This Row],[q_x]]-Table21[[#This Row],[Reduced q_x]])/Table21[[#This Row],[q_x]]</f>
        <v>0.26915950000000011</v>
      </c>
    </row>
    <row r="45" spans="1:4" ht="22" x14ac:dyDescent="0.3">
      <c r="A45" s="7">
        <v>69</v>
      </c>
      <c r="B45" s="25">
        <v>1.3617063760000001E-2</v>
      </c>
      <c r="C45" s="7">
        <f>Table21[[#This Row],[q_x]]*(1-'Cardio App'!B45)*(1-'Cancer prevention'!B45)</f>
        <v>9.9519016868902799E-3</v>
      </c>
      <c r="D45" s="7">
        <f>(Table21[[#This Row],[q_x]]-Table21[[#This Row],[Reduced q_x]])/Table21[[#This Row],[q_x]]</f>
        <v>0.26915950000000005</v>
      </c>
    </row>
    <row r="46" spans="1:4" ht="22" x14ac:dyDescent="0.3">
      <c r="A46" s="7">
        <v>70</v>
      </c>
      <c r="B46" s="25">
        <v>1.4979573689999999E-2</v>
      </c>
      <c r="C46" s="7">
        <f>Table21[[#This Row],[q_x]]*(1-'Cardio App'!B46)*(1-'Cancer prevention'!B46)</f>
        <v>1.230850598704134E-2</v>
      </c>
      <c r="D46" s="7">
        <f>(Table21[[#This Row],[q_x]]-Table21[[#This Row],[Reduced q_x]])/Table21[[#This Row],[q_x]]</f>
        <v>0.17831399999999994</v>
      </c>
    </row>
    <row r="47" spans="1:4" ht="22" x14ac:dyDescent="0.3">
      <c r="A47" s="7">
        <v>71</v>
      </c>
      <c r="B47" s="25">
        <v>1.660356985E-2</v>
      </c>
      <c r="C47" s="7">
        <f>Table21[[#This Row],[q_x]]*(1-'Cardio App'!B47)*(1-'Cancer prevention'!B47)</f>
        <v>1.36429208957671E-2</v>
      </c>
      <c r="D47" s="7">
        <f>(Table21[[#This Row],[q_x]]-Table21[[#This Row],[Reduced q_x]])/Table21[[#This Row],[q_x]]</f>
        <v>0.17831399999999994</v>
      </c>
    </row>
    <row r="48" spans="1:4" ht="22" x14ac:dyDescent="0.3">
      <c r="A48" s="7">
        <v>72</v>
      </c>
      <c r="B48" s="25">
        <v>1.8518443159999998E-2</v>
      </c>
      <c r="C48" s="7">
        <f>Table21[[#This Row],[q_x]]*(1-'Cardio App'!B48)*(1-'Cancer prevention'!B48)</f>
        <v>1.5216345486367758E-2</v>
      </c>
      <c r="D48" s="7">
        <f>(Table21[[#This Row],[q_x]]-Table21[[#This Row],[Reduced q_x]])/Table21[[#This Row],[q_x]]</f>
        <v>0.17831400000000006</v>
      </c>
    </row>
    <row r="49" spans="1:4" ht="22" x14ac:dyDescent="0.3">
      <c r="A49" s="7">
        <v>73</v>
      </c>
      <c r="B49" s="25">
        <v>2.0753584570000001E-2</v>
      </c>
      <c r="C49" s="7">
        <f>Table21[[#This Row],[q_x]]*(1-'Cardio App'!B49)*(1-'Cancer prevention'!B49)</f>
        <v>1.7052929890985023E-2</v>
      </c>
      <c r="D49" s="7">
        <f>(Table21[[#This Row],[q_x]]-Table21[[#This Row],[Reduced q_x]])/Table21[[#This Row],[q_x]]</f>
        <v>0.17831399999999986</v>
      </c>
    </row>
    <row r="50" spans="1:4" ht="22" x14ac:dyDescent="0.3">
      <c r="A50" s="7">
        <v>74</v>
      </c>
      <c r="B50" s="25">
        <v>2.3338385010000001E-2</v>
      </c>
      <c r="C50" s="7">
        <f>Table21[[#This Row],[q_x]]*(1-'Cardio App'!B50)*(1-'Cancer prevention'!B50)</f>
        <v>1.9176824225326863E-2</v>
      </c>
      <c r="D50" s="7">
        <f>(Table21[[#This Row],[q_x]]-Table21[[#This Row],[Reduced q_x]])/Table21[[#This Row],[q_x]]</f>
        <v>0.17831399999999986</v>
      </c>
    </row>
    <row r="51" spans="1:4" ht="22" x14ac:dyDescent="0.3">
      <c r="A51" s="7">
        <v>75</v>
      </c>
      <c r="B51" s="25">
        <v>2.6302235399999999E-2</v>
      </c>
      <c r="C51" s="7">
        <f>Table21[[#This Row],[q_x]]*(1-'Cardio App'!B51)*(1-'Cancer prevention'!B51)</f>
        <v>2.1612178596884402E-2</v>
      </c>
      <c r="D51" s="7">
        <f>(Table21[[#This Row],[q_x]]-Table21[[#This Row],[Reduced q_x]])/Table21[[#This Row],[q_x]]</f>
        <v>0.17831399999999986</v>
      </c>
    </row>
    <row r="52" spans="1:4" ht="22" x14ac:dyDescent="0.3">
      <c r="A52" s="7">
        <v>76</v>
      </c>
      <c r="B52" s="25">
        <v>2.967452668E-2</v>
      </c>
      <c r="C52" s="7">
        <f>Table21[[#This Row],[q_x]]*(1-'Cardio App'!B52)*(1-'Cancer prevention'!B52)</f>
        <v>2.438314312958248E-2</v>
      </c>
      <c r="D52" s="7">
        <f>(Table21[[#This Row],[q_x]]-Table21[[#This Row],[Reduced q_x]])/Table21[[#This Row],[q_x]]</f>
        <v>0.17831400000000003</v>
      </c>
    </row>
    <row r="53" spans="1:4" ht="22" x14ac:dyDescent="0.3">
      <c r="A53" s="7">
        <v>77</v>
      </c>
      <c r="B53" s="25">
        <v>3.3484649790000001E-2</v>
      </c>
      <c r="C53" s="7">
        <f>Table21[[#This Row],[q_x]]*(1-'Cardio App'!B53)*(1-'Cancer prevention'!B53)</f>
        <v>2.7513867947345942E-2</v>
      </c>
      <c r="D53" s="7">
        <f>(Table21[[#This Row],[q_x]]-Table21[[#This Row],[Reduced q_x]])/Table21[[#This Row],[q_x]]</f>
        <v>0.17831399999999997</v>
      </c>
    </row>
    <row r="54" spans="1:4" ht="22" x14ac:dyDescent="0.3">
      <c r="A54" s="7">
        <v>78</v>
      </c>
      <c r="B54" s="25">
        <v>3.7761995659999999E-2</v>
      </c>
      <c r="C54" s="7">
        <f>Table21[[#This Row],[q_x]]*(1-'Cardio App'!B54)*(1-'Cancer prevention'!B54)</f>
        <v>3.1028503165882765E-2</v>
      </c>
      <c r="D54" s="7">
        <f>(Table21[[#This Row],[q_x]]-Table21[[#This Row],[Reduced q_x]])/Table21[[#This Row],[q_x]]</f>
        <v>0.17831399999999983</v>
      </c>
    </row>
    <row r="55" spans="1:4" ht="22" x14ac:dyDescent="0.3">
      <c r="A55" s="7">
        <v>79</v>
      </c>
      <c r="B55" s="25">
        <v>4.2535955219999998E-2</v>
      </c>
      <c r="C55" s="7">
        <f>Table21[[#This Row],[q_x]]*(1-'Cardio App'!B55)*(1-'Cancer prevention'!B55)</f>
        <v>3.4951198900900919E-2</v>
      </c>
      <c r="D55" s="7">
        <f>(Table21[[#This Row],[q_x]]-Table21[[#This Row],[Reduced q_x]])/Table21[[#This Row],[q_x]]</f>
        <v>0.17831399999999997</v>
      </c>
    </row>
    <row r="56" spans="1:4" ht="22" x14ac:dyDescent="0.3">
      <c r="A56" s="7">
        <v>80</v>
      </c>
      <c r="B56" s="25">
        <v>4.7835919400000003E-2</v>
      </c>
      <c r="C56" s="7">
        <f>Table21[[#This Row],[q_x]]*(1-'Cardio App'!B56)*(1-'Cancer prevention'!B56)</f>
        <v>3.9306105268108404E-2</v>
      </c>
      <c r="D56" s="7">
        <f>(Table21[[#This Row],[q_x]]-Table21[[#This Row],[Reduced q_x]])/Table21[[#This Row],[q_x]]</f>
        <v>0.17831399999999994</v>
      </c>
    </row>
    <row r="57" spans="1:4" ht="22" x14ac:dyDescent="0.3">
      <c r="A57" s="7">
        <v>81</v>
      </c>
      <c r="B57" s="25">
        <v>5.3568336670000001E-2</v>
      </c>
      <c r="C57" s="7">
        <f>Table21[[#This Row],[q_x]]*(1-'Cardio App'!B57)*(1-'Cancer prevention'!B57)</f>
        <v>4.4016352285025623E-2</v>
      </c>
      <c r="D57" s="7">
        <f>(Table21[[#This Row],[q_x]]-Table21[[#This Row],[Reduced q_x]])/Table21[[#This Row],[q_x]]</f>
        <v>0.17831399999999997</v>
      </c>
    </row>
    <row r="58" spans="1:4" ht="22" x14ac:dyDescent="0.3">
      <c r="A58" s="7">
        <v>82</v>
      </c>
      <c r="B58" s="25">
        <v>6.033430142E-2</v>
      </c>
      <c r="C58" s="7">
        <f>Table21[[#This Row],[q_x]]*(1-'Cardio App'!B58)*(1-'Cancer prevention'!B58)</f>
        <v>4.9575850796594122E-2</v>
      </c>
      <c r="D58" s="7">
        <f>(Table21[[#This Row],[q_x]]-Table21[[#This Row],[Reduced q_x]])/Table21[[#This Row],[q_x]]</f>
        <v>0.17831399999999997</v>
      </c>
    </row>
    <row r="59" spans="1:4" ht="22" x14ac:dyDescent="0.3">
      <c r="A59" s="7">
        <v>83</v>
      </c>
      <c r="B59" s="25">
        <v>6.8312572380000006E-2</v>
      </c>
      <c r="C59" s="7">
        <f>Table21[[#This Row],[q_x]]*(1-'Cardio App'!B59)*(1-'Cancer prevention'!B59)</f>
        <v>5.6131484348632688E-2</v>
      </c>
      <c r="D59" s="7">
        <f>(Table21[[#This Row],[q_x]]-Table21[[#This Row],[Reduced q_x]])/Table21[[#This Row],[q_x]]</f>
        <v>0.17831399999999994</v>
      </c>
    </row>
    <row r="60" spans="1:4" ht="22" x14ac:dyDescent="0.3">
      <c r="A60" s="7">
        <v>84</v>
      </c>
      <c r="B60" s="25">
        <v>7.7718919250000004E-2</v>
      </c>
      <c r="C60" s="7">
        <f>Table21[[#This Row],[q_x]]*(1-'Cardio App'!B60)*(1-'Cancer prevention'!B60)</f>
        <v>6.3860547882855515E-2</v>
      </c>
      <c r="D60" s="7">
        <f>(Table21[[#This Row],[q_x]]-Table21[[#This Row],[Reduced q_x]])/Table21[[#This Row],[q_x]]</f>
        <v>0.17831399999999986</v>
      </c>
    </row>
    <row r="61" spans="1:4" ht="22" x14ac:dyDescent="0.3">
      <c r="A61" s="7">
        <v>85</v>
      </c>
      <c r="B61" s="25">
        <v>8.8335138780000003E-2</v>
      </c>
      <c r="C61" s="7">
        <f>Table21[[#This Row],[q_x]]*(1-'Cardio App'!B61)*(1-'Cancer prevention'!B61)</f>
        <v>7.2583746843583083E-2</v>
      </c>
      <c r="D61" s="7">
        <f>(Table21[[#This Row],[q_x]]-Table21[[#This Row],[Reduced q_x]])/Table21[[#This Row],[q_x]]</f>
        <v>0.178314</v>
      </c>
    </row>
    <row r="62" spans="1:4" ht="22" x14ac:dyDescent="0.3">
      <c r="A62" s="7">
        <v>86</v>
      </c>
      <c r="B62" s="25">
        <v>9.9897901100000006E-2</v>
      </c>
      <c r="C62" s="7">
        <f>Table21[[#This Row],[q_x]]*(1-'Cardio App'!B62)*(1-'Cancer prevention'!B62)</f>
        <v>8.2084706763254606E-2</v>
      </c>
      <c r="D62" s="7">
        <f>(Table21[[#This Row],[q_x]]-Table21[[#This Row],[Reduced q_x]])/Table21[[#This Row],[q_x]]</f>
        <v>0.178314</v>
      </c>
    </row>
    <row r="63" spans="1:4" ht="22" x14ac:dyDescent="0.3">
      <c r="A63" s="7">
        <v>87</v>
      </c>
      <c r="B63" s="25">
        <v>0.1128515066</v>
      </c>
      <c r="C63" s="7">
        <f>Table21[[#This Row],[q_x]]*(1-'Cardio App'!B63)*(1-'Cancer prevention'!B63)</f>
        <v>9.2728503052127612E-2</v>
      </c>
      <c r="D63" s="7">
        <f>(Table21[[#This Row],[q_x]]-Table21[[#This Row],[Reduced q_x]])/Table21[[#This Row],[q_x]]</f>
        <v>0.17831399999999989</v>
      </c>
    </row>
    <row r="64" spans="1:4" ht="22" x14ac:dyDescent="0.3">
      <c r="A64" s="7">
        <v>88</v>
      </c>
      <c r="B64" s="25">
        <v>0.12709753430000001</v>
      </c>
      <c r="C64" s="7">
        <f>Table21[[#This Row],[q_x]]*(1-'Cardio App'!B64)*(1-'Cancer prevention'!B64)</f>
        <v>0.10443426456882982</v>
      </c>
      <c r="D64" s="7">
        <f>(Table21[[#This Row],[q_x]]-Table21[[#This Row],[Reduced q_x]])/Table21[[#This Row],[q_x]]</f>
        <v>0.17831399999999994</v>
      </c>
    </row>
    <row r="65" spans="1:4" ht="22" x14ac:dyDescent="0.3">
      <c r="A65" s="7">
        <v>89</v>
      </c>
      <c r="B65" s="25">
        <v>0.1428879924</v>
      </c>
      <c r="C65" s="7">
        <f>Table21[[#This Row],[q_x]]*(1-'Cardio App'!B65)*(1-'Cancer prevention'!B65)</f>
        <v>0.11740906292318641</v>
      </c>
      <c r="D65" s="7">
        <f>(Table21[[#This Row],[q_x]]-Table21[[#This Row],[Reduced q_x]])/Table21[[#This Row],[q_x]]</f>
        <v>0.17831399999999992</v>
      </c>
    </row>
    <row r="66" spans="1:4" ht="22" x14ac:dyDescent="0.3">
      <c r="A66" s="7">
        <v>90</v>
      </c>
      <c r="B66" s="25">
        <v>0.16031822570000001</v>
      </c>
      <c r="C66" s="7">
        <f>Table21[[#This Row],[q_x]]*(1-'Cardio App'!B66)*(1-'Cancer prevention'!B66)</f>
        <v>0.13173124160253022</v>
      </c>
      <c r="D66" s="7">
        <f>(Table21[[#This Row],[q_x]]-Table21[[#This Row],[Reduced q_x]])/Table21[[#This Row],[q_x]]</f>
        <v>0.17831399999999994</v>
      </c>
    </row>
    <row r="67" spans="1:4" ht="22" x14ac:dyDescent="0.3">
      <c r="A67" s="7">
        <v>91</v>
      </c>
      <c r="B67" s="25">
        <v>0.17771857720000001</v>
      </c>
      <c r="C67" s="7">
        <f>Table21[[#This Row],[q_x]]*(1-'Cardio App'!B67)*(1-'Cancer prevention'!B67)</f>
        <v>0.14602886682515923</v>
      </c>
      <c r="D67" s="7">
        <f>(Table21[[#This Row],[q_x]]-Table21[[#This Row],[Reduced q_x]])/Table21[[#This Row],[q_x]]</f>
        <v>0.17831399999999989</v>
      </c>
    </row>
    <row r="68" spans="1:4" ht="22" x14ac:dyDescent="0.3">
      <c r="A68" s="7">
        <v>92</v>
      </c>
      <c r="B68" s="25">
        <v>0.1962978041</v>
      </c>
      <c r="C68" s="7">
        <f>Table21[[#This Row],[q_x]]*(1-'Cardio App'!B68)*(1-'Cancer prevention'!B68)</f>
        <v>0.1612951574597126</v>
      </c>
      <c r="D68" s="7">
        <f>(Table21[[#This Row],[q_x]]-Table21[[#This Row],[Reduced q_x]])/Table21[[#This Row],[q_x]]</f>
        <v>0.17831400000000003</v>
      </c>
    </row>
    <row r="69" spans="1:4" ht="22" x14ac:dyDescent="0.3">
      <c r="A69" s="7">
        <v>93</v>
      </c>
      <c r="B69" s="25">
        <v>0.21554927239999999</v>
      </c>
      <c r="C69" s="7">
        <f>Table21[[#This Row],[q_x]]*(1-'Cardio App'!B69)*(1-'Cancer prevention'!B69)</f>
        <v>0.17711381944126642</v>
      </c>
      <c r="D69" s="7">
        <f>(Table21[[#This Row],[q_x]]-Table21[[#This Row],[Reduced q_x]])/Table21[[#This Row],[q_x]]</f>
        <v>0.17831399999999989</v>
      </c>
    </row>
    <row r="70" spans="1:4" ht="22" x14ac:dyDescent="0.3">
      <c r="A70" s="7">
        <v>94</v>
      </c>
      <c r="B70" s="25">
        <v>0.2352042781</v>
      </c>
      <c r="C70" s="7">
        <f>Table21[[#This Row],[q_x]]*(1-'Cardio App'!B70)*(1-'Cancer prevention'!B70)</f>
        <v>0.19326406245487662</v>
      </c>
      <c r="D70" s="7">
        <f>(Table21[[#This Row],[q_x]]-Table21[[#This Row],[Reduced q_x]])/Table21[[#This Row],[q_x]]</f>
        <v>0.17831399999999989</v>
      </c>
    </row>
    <row r="71" spans="1:4" ht="22" x14ac:dyDescent="0.3">
      <c r="A71" s="7">
        <v>95</v>
      </c>
      <c r="B71" s="25">
        <v>0.25599362689999999</v>
      </c>
      <c r="C71" s="7">
        <f>Table21[[#This Row],[q_x]]*(1-'Cardio App'!B71)*(1-'Cancer prevention'!B71)</f>
        <v>0.21034637931295341</v>
      </c>
      <c r="D71" s="7">
        <f>(Table21[[#This Row],[q_x]]-Table21[[#This Row],[Reduced q_x]])/Table21[[#This Row],[q_x]]</f>
        <v>0.17831399999999992</v>
      </c>
    </row>
    <row r="72" spans="1:4" ht="22" x14ac:dyDescent="0.3">
      <c r="A72" s="7">
        <v>96</v>
      </c>
      <c r="B72" s="25">
        <v>0.277144169</v>
      </c>
      <c r="C72" s="7">
        <f>Table21[[#This Row],[q_x]]*(1-'Cardio App'!B72)*(1-'Cancer prevention'!B72)</f>
        <v>0.22772548364893402</v>
      </c>
      <c r="D72" s="7">
        <f>(Table21[[#This Row],[q_x]]-Table21[[#This Row],[Reduced q_x]])/Table21[[#This Row],[q_x]]</f>
        <v>0.17831399999999989</v>
      </c>
    </row>
    <row r="73" spans="1:4" ht="22" x14ac:dyDescent="0.3">
      <c r="A73" s="7">
        <v>97</v>
      </c>
      <c r="B73" s="25">
        <v>0.2993217017</v>
      </c>
      <c r="C73" s="7">
        <f>Table21[[#This Row],[q_x]]*(1-'Cardio App'!B73)*(1-'Cancer prevention'!B73)</f>
        <v>0.24594845178306621</v>
      </c>
      <c r="D73" s="7">
        <f>(Table21[[#This Row],[q_x]]-Table21[[#This Row],[Reduced q_x]])/Table21[[#This Row],[q_x]]</f>
        <v>0.17831399999999997</v>
      </c>
    </row>
    <row r="74" spans="1:4" ht="22" x14ac:dyDescent="0.3">
      <c r="A74" s="7">
        <v>98</v>
      </c>
      <c r="B74" s="25">
        <v>0.32262095839999999</v>
      </c>
      <c r="C74" s="7">
        <f>Table21[[#This Row],[q_x]]*(1-'Cardio App'!B74)*(1-'Cancer prevention'!B74)</f>
        <v>0.26509312482386244</v>
      </c>
      <c r="D74" s="7">
        <f>(Table21[[#This Row],[q_x]]-Table21[[#This Row],[Reduced q_x]])/Table21[[#This Row],[q_x]]</f>
        <v>0.17831399999999986</v>
      </c>
    </row>
    <row r="75" spans="1:4" ht="22" x14ac:dyDescent="0.3">
      <c r="A75" s="7">
        <v>99</v>
      </c>
      <c r="B75" s="25">
        <v>0.34623078689999998</v>
      </c>
      <c r="C75" s="7">
        <f>Table21[[#This Row],[q_x]]*(1-'Cardio App'!B75)*(1-'Cancer prevention'!B75)</f>
        <v>0.28449299036471343</v>
      </c>
      <c r="D75" s="7">
        <f>(Table21[[#This Row],[q_x]]-Table21[[#This Row],[Reduced q_x]])/Table21[[#This Row],[q_x]]</f>
        <v>0.17831399999999986</v>
      </c>
    </row>
    <row r="76" spans="1:4" ht="22" x14ac:dyDescent="0.3">
      <c r="A76" s="7">
        <v>100</v>
      </c>
      <c r="B76" s="25">
        <v>0.37081257379999999</v>
      </c>
      <c r="C76" s="7">
        <f>Table21[[#This Row],[q_x]]*(1-'Cardio App'!B76)*(1-'Cancer prevention'!B76)</f>
        <v>0.37081257379999999</v>
      </c>
      <c r="D76" s="7">
        <f>(Table21[[#This Row],[q_x]]-Table21[[#This Row],[Reduced q_x]])/Table21[[#This Row],[q_x]]</f>
        <v>0</v>
      </c>
    </row>
    <row r="77" spans="1:4" ht="22" x14ac:dyDescent="0.3">
      <c r="A77" s="7">
        <v>101</v>
      </c>
      <c r="B77" s="25">
        <v>0.39550465779999999</v>
      </c>
      <c r="C77" s="7">
        <f>Table21[[#This Row],[q_x]]*(1-'Cardio App'!B77)*(1-'Cancer prevention'!B77)</f>
        <v>0.39550465779999999</v>
      </c>
      <c r="D77" s="7">
        <f>(Table21[[#This Row],[q_x]]-Table21[[#This Row],[Reduced q_x]])/Table21[[#This Row],[q_x]]</f>
        <v>0</v>
      </c>
    </row>
    <row r="78" spans="1:4" ht="22" x14ac:dyDescent="0.3">
      <c r="A78" s="7">
        <v>102</v>
      </c>
      <c r="B78" s="25">
        <v>0.41975918010000002</v>
      </c>
      <c r="C78" s="7">
        <f>Table21[[#This Row],[q_x]]*(1-'Cardio App'!B78)*(1-'Cancer prevention'!B78)</f>
        <v>0.41975918010000002</v>
      </c>
      <c r="D78" s="7">
        <f>(Table21[[#This Row],[q_x]]-Table21[[#This Row],[Reduced q_x]])/Table21[[#This Row],[q_x]]</f>
        <v>0</v>
      </c>
    </row>
    <row r="79" spans="1:4" ht="22" x14ac:dyDescent="0.3">
      <c r="A79" s="7">
        <v>103</v>
      </c>
      <c r="B79" s="25">
        <v>0.44457215589999999</v>
      </c>
      <c r="C79" s="7">
        <f>Table21[[#This Row],[q_x]]*(1-'Cardio App'!B79)*(1-'Cancer prevention'!B79)</f>
        <v>0.44457215589999999</v>
      </c>
      <c r="D79" s="7">
        <f>(Table21[[#This Row],[q_x]]-Table21[[#This Row],[Reduced q_x]])/Table21[[#This Row],[q_x]]</f>
        <v>0</v>
      </c>
    </row>
    <row r="80" spans="1:4" ht="22" x14ac:dyDescent="0.3">
      <c r="A80" s="7">
        <v>104</v>
      </c>
      <c r="B80" s="25">
        <v>0.46980783050000002</v>
      </c>
      <c r="C80" s="7">
        <f>Table21[[#This Row],[q_x]]*(1-'Cardio App'!B80)*(1-'Cancer prevention'!B80)</f>
        <v>0.46980783050000002</v>
      </c>
      <c r="D80" s="7">
        <f>(Table21[[#This Row],[q_x]]-Table21[[#This Row],[Reduced q_x]])/Table21[[#This Row],[q_x]]</f>
        <v>0</v>
      </c>
    </row>
    <row r="81" spans="1:4" ht="22" x14ac:dyDescent="0.3">
      <c r="A81" s="7">
        <v>105</v>
      </c>
      <c r="B81" s="25">
        <v>0.4953086874</v>
      </c>
      <c r="C81" s="7">
        <f>Table21[[#This Row],[q_x]]*(1-'Cardio App'!B81)*(1-'Cancer prevention'!B81)</f>
        <v>0.4953086874</v>
      </c>
      <c r="D81" s="7">
        <f>(Table21[[#This Row],[q_x]]-Table21[[#This Row],[Reduced q_x]])/Table21[[#This Row],[q_x]]</f>
        <v>0</v>
      </c>
    </row>
    <row r="82" spans="1:4" ht="22" x14ac:dyDescent="0.3">
      <c r="A82" s="7">
        <v>106</v>
      </c>
      <c r="B82" s="25">
        <v>0.52091674939999999</v>
      </c>
      <c r="C82" s="7">
        <f>Table21[[#This Row],[q_x]]*(1-'Cardio App'!B82)*(1-'Cancer prevention'!B82)</f>
        <v>0.52091674939999999</v>
      </c>
      <c r="D82" s="7">
        <f>(Table21[[#This Row],[q_x]]-Table21[[#This Row],[Reduced q_x]])/Table21[[#This Row],[q_x]]</f>
        <v>0</v>
      </c>
    </row>
    <row r="83" spans="1:4" ht="22" x14ac:dyDescent="0.3">
      <c r="A83" s="7">
        <v>107</v>
      </c>
      <c r="B83" s="25">
        <v>0.54665956250000003</v>
      </c>
      <c r="C83" s="7">
        <f>Table21[[#This Row],[q_x]]*(1-'Cardio App'!B83)*(1-'Cancer prevention'!B83)</f>
        <v>0.54665956250000003</v>
      </c>
      <c r="D83" s="7">
        <f>(Table21[[#This Row],[q_x]]-Table21[[#This Row],[Reduced q_x]])/Table21[[#This Row],[q_x]]</f>
        <v>0</v>
      </c>
    </row>
    <row r="84" spans="1:4" ht="22" x14ac:dyDescent="0.3">
      <c r="A84" s="7">
        <v>108</v>
      </c>
      <c r="B84" s="25">
        <v>0.572584859</v>
      </c>
      <c r="C84" s="7">
        <f>Table21[[#This Row],[q_x]]*(1-'Cardio App'!B84)*(1-'Cancer prevention'!B84)</f>
        <v>0.572584859</v>
      </c>
      <c r="D84" s="7">
        <f>(Table21[[#This Row],[q_x]]-Table21[[#This Row],[Reduced q_x]])/Table21[[#This Row],[q_x]]</f>
        <v>0</v>
      </c>
    </row>
    <row r="85" spans="1:4" ht="22" x14ac:dyDescent="0.3">
      <c r="A85" s="7">
        <v>109</v>
      </c>
      <c r="B85" s="25">
        <v>0.59854595840000002</v>
      </c>
      <c r="C85" s="7">
        <f>Table21[[#This Row],[q_x]]*(1-'Cardio App'!B85)*(1-'Cancer prevention'!B85)</f>
        <v>0.59854595840000002</v>
      </c>
      <c r="D85" s="7">
        <f>(Table21[[#This Row],[q_x]]-Table21[[#This Row],[Reduced q_x]])/Table21[[#This Row],[q_x]]</f>
        <v>0</v>
      </c>
    </row>
    <row r="86" spans="1:4" ht="22" x14ac:dyDescent="0.3">
      <c r="A86" s="7">
        <v>110</v>
      </c>
      <c r="B86" s="25">
        <v>0.62439198890000003</v>
      </c>
      <c r="C86" s="7">
        <f>Table21[[#This Row],[q_x]]*(1-'Cardio App'!B86)*(1-'Cancer prevention'!B86)</f>
        <v>0.62439198890000003</v>
      </c>
      <c r="D86" s="7">
        <f>(Table21[[#This Row],[q_x]]-Table21[[#This Row],[Reduced q_x]])/Table21[[#This Row],[q_x]]</f>
        <v>0</v>
      </c>
    </row>
    <row r="87" spans="1:4" ht="22" x14ac:dyDescent="0.3">
      <c r="A87" s="7">
        <v>111</v>
      </c>
      <c r="B87" s="25">
        <v>0.65439899729999995</v>
      </c>
      <c r="C87" s="7">
        <f>Table21[[#This Row],[q_x]]*(1-'Cardio App'!B87)*(1-'Cancer prevention'!B87)</f>
        <v>0.65439899729999995</v>
      </c>
      <c r="D87" s="7">
        <f>(Table21[[#This Row],[q_x]]-Table21[[#This Row],[Reduced q_x]])/Table21[[#This Row],[q_x]]</f>
        <v>0</v>
      </c>
    </row>
    <row r="88" spans="1:4" ht="22" x14ac:dyDescent="0.3">
      <c r="A88" s="7">
        <v>112</v>
      </c>
      <c r="B88" s="25">
        <v>0.6842429994</v>
      </c>
      <c r="C88" s="7">
        <f>Table21[[#This Row],[q_x]]*(1-'Cardio App'!B88)*(1-'Cancer prevention'!B88)</f>
        <v>0.6842429994</v>
      </c>
      <c r="D88" s="7">
        <f>(Table21[[#This Row],[q_x]]-Table21[[#This Row],[Reduced q_x]])/Table21[[#This Row],[q_x]]</f>
        <v>0</v>
      </c>
    </row>
    <row r="89" spans="1:4" ht="22" x14ac:dyDescent="0.3">
      <c r="A89" s="7">
        <v>113</v>
      </c>
      <c r="B89" s="25">
        <v>0.71388699990000004</v>
      </c>
      <c r="C89" s="7">
        <f>Table21[[#This Row],[q_x]]*(1-'Cardio App'!B89)*(1-'Cancer prevention'!B89)</f>
        <v>0.71388699990000004</v>
      </c>
      <c r="D89" s="7">
        <f>(Table21[[#This Row],[q_x]]-Table21[[#This Row],[Reduced q_x]])/Table21[[#This Row],[q_x]]</f>
        <v>0</v>
      </c>
    </row>
    <row r="90" spans="1:4" ht="22" x14ac:dyDescent="0.3">
      <c r="A90" s="7">
        <v>114</v>
      </c>
      <c r="B90" s="25">
        <v>0.74329400000000001</v>
      </c>
      <c r="C90" s="7">
        <f>Table21[[#This Row],[q_x]]*(1-'Cardio App'!B90)*(1-'Cancer prevention'!B90)</f>
        <v>0.74329400000000001</v>
      </c>
      <c r="D90" s="7">
        <f>(Table21[[#This Row],[q_x]]-Table21[[#This Row],[Reduced q_x]])/Table21[[#This Row],[q_x]]</f>
        <v>0</v>
      </c>
    </row>
    <row r="91" spans="1:4" ht="22" x14ac:dyDescent="0.3">
      <c r="A91" s="7">
        <v>115</v>
      </c>
      <c r="B91" s="25">
        <v>0.772428</v>
      </c>
      <c r="C91" s="7">
        <f>Table21[[#This Row],[q_x]]*(1-'Cardio App'!B91)*(1-'Cancer prevention'!B91)</f>
        <v>0.772428</v>
      </c>
      <c r="D91" s="7">
        <f>(Table21[[#This Row],[q_x]]-Table21[[#This Row],[Reduced q_x]])/Table21[[#This Row],[q_x]]</f>
        <v>0</v>
      </c>
    </row>
    <row r="92" spans="1:4" ht="22" x14ac:dyDescent="0.3">
      <c r="A92" s="7">
        <v>116</v>
      </c>
      <c r="B92" s="25">
        <v>0.80141399999999996</v>
      </c>
      <c r="C92" s="7">
        <f>Table21[[#This Row],[q_x]]*(1-'Cardio App'!B92)*(1-'Cancer prevention'!B92)</f>
        <v>0.80141399999999996</v>
      </c>
      <c r="D92" s="7">
        <f>(Table21[[#This Row],[q_x]]-Table21[[#This Row],[Reduced q_x]])/Table21[[#This Row],[q_x]]</f>
        <v>0</v>
      </c>
    </row>
    <row r="93" spans="1:4" ht="22" x14ac:dyDescent="0.3">
      <c r="A93" s="7">
        <v>117</v>
      </c>
      <c r="B93" s="25">
        <v>0.830399</v>
      </c>
      <c r="C93" s="7">
        <f>Table21[[#This Row],[q_x]]*(1-'Cardio App'!B93)*(1-'Cancer prevention'!B93)</f>
        <v>0.830399</v>
      </c>
      <c r="D93" s="7">
        <f>(Table21[[#This Row],[q_x]]-Table21[[#This Row],[Reduced q_x]])/Table21[[#This Row],[q_x]]</f>
        <v>0</v>
      </c>
    </row>
    <row r="94" spans="1:4" ht="22" x14ac:dyDescent="0.3">
      <c r="A94" s="7">
        <v>118</v>
      </c>
      <c r="B94" s="25">
        <v>0.85938499999999995</v>
      </c>
      <c r="C94" s="7">
        <f>Table21[[#This Row],[q_x]]*(1-'Cardio App'!B94)*(1-'Cancer prevention'!B94)</f>
        <v>0.85938499999999995</v>
      </c>
      <c r="D94" s="7">
        <f>(Table21[[#This Row],[q_x]]-Table21[[#This Row],[Reduced q_x]])/Table21[[#This Row],[q_x]]</f>
        <v>0</v>
      </c>
    </row>
    <row r="95" spans="1:4" ht="22" x14ac:dyDescent="0.3">
      <c r="A95" s="7">
        <v>119</v>
      </c>
      <c r="B95" s="25">
        <v>0.88837100000000002</v>
      </c>
      <c r="C95" s="7">
        <f>Table21[[#This Row],[q_x]]*(1-'Cardio App'!B95)*(1-'Cancer prevention'!B95)</f>
        <v>0.88837100000000002</v>
      </c>
      <c r="D95" s="7">
        <f>(Table21[[#This Row],[q_x]]-Table21[[#This Row],[Reduced q_x]])/Table21[[#This Row],[q_x]]</f>
        <v>0</v>
      </c>
    </row>
    <row r="96" spans="1:4" ht="22" x14ac:dyDescent="0.3">
      <c r="A96" s="7">
        <v>120</v>
      </c>
      <c r="B96" s="25">
        <v>1</v>
      </c>
      <c r="C96" s="7">
        <f>Table21[[#This Row],[q_x]]*(1-'Cardio App'!B96)*(1-'Cancer prevention'!B96)</f>
        <v>1</v>
      </c>
      <c r="D96" s="7">
        <f>(Table21[[#This Row],[q_x]]-Table21[[#This Row],[Reduced q_x]])/Table21[[#This Row],[q_x]]</f>
        <v>0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551F6-5D20-B442-89A3-186CC2D50948}">
  <sheetPr codeName="Sheet13"/>
  <dimension ref="A1:AK72"/>
  <sheetViews>
    <sheetView zoomScale="92" workbookViewId="0">
      <selection activeCell="B16" sqref="B16"/>
    </sheetView>
  </sheetViews>
  <sheetFormatPr baseColWidth="10" defaultRowHeight="16" x14ac:dyDescent="0.2"/>
  <cols>
    <col min="1" max="1" width="30.5" bestFit="1" customWidth="1"/>
    <col min="2" max="2" width="25.83203125" customWidth="1"/>
  </cols>
  <sheetData>
    <row r="1" spans="1:9" ht="19" x14ac:dyDescent="0.25">
      <c r="A1" s="6" t="s">
        <v>18</v>
      </c>
      <c r="B1" s="8">
        <f>ROUND(VLOOKUP(B2,Table2[#All],5,FALSE),0)</f>
        <v>541</v>
      </c>
    </row>
    <row r="2" spans="1:9" ht="19" customHeight="1" x14ac:dyDescent="0.3">
      <c r="A2" s="6" t="s">
        <v>0</v>
      </c>
      <c r="B2" s="9">
        <v>61</v>
      </c>
      <c r="D2" s="28"/>
      <c r="E2" s="28"/>
      <c r="F2" s="28"/>
      <c r="G2" s="28"/>
      <c r="H2" s="28"/>
      <c r="I2" s="28"/>
    </row>
    <row r="3" spans="1:9" ht="19" customHeight="1" x14ac:dyDescent="0.3">
      <c r="A3" s="6" t="s">
        <v>50</v>
      </c>
      <c r="B3" s="9">
        <f>300</f>
        <v>300</v>
      </c>
      <c r="D3" s="28"/>
      <c r="E3" s="28"/>
      <c r="F3" s="28"/>
      <c r="G3" s="28"/>
      <c r="H3" s="28"/>
      <c r="I3" s="28"/>
    </row>
    <row r="4" spans="1:9" ht="19" x14ac:dyDescent="0.25">
      <c r="A4" s="6" t="s">
        <v>6</v>
      </c>
      <c r="B4" s="7">
        <v>6.0596999999999998E-2</v>
      </c>
    </row>
    <row r="5" spans="1:9" ht="19" x14ac:dyDescent="0.25">
      <c r="A5" s="6" t="s">
        <v>4</v>
      </c>
      <c r="B5" s="7">
        <f>(1+B4)^(-1)</f>
        <v>0.94286519761983112</v>
      </c>
    </row>
    <row r="6" spans="1:9" ht="19" x14ac:dyDescent="0.25">
      <c r="A6" s="6" t="s">
        <v>139</v>
      </c>
      <c r="B6" s="7">
        <v>0.01</v>
      </c>
    </row>
    <row r="7" spans="1:9" ht="19" x14ac:dyDescent="0.25">
      <c r="A7" s="6" t="s">
        <v>8</v>
      </c>
      <c r="B7" s="8" t="s">
        <v>9</v>
      </c>
    </row>
    <row r="8" spans="1:9" ht="19" x14ac:dyDescent="0.25">
      <c r="A8" s="6" t="s">
        <v>10</v>
      </c>
      <c r="B8" s="8" t="s">
        <v>49</v>
      </c>
    </row>
    <row r="9" spans="1:9" ht="19" x14ac:dyDescent="0.25">
      <c r="A9" s="6" t="s">
        <v>42</v>
      </c>
      <c r="B9" s="8" t="s">
        <v>87</v>
      </c>
    </row>
    <row r="10" spans="1:9" ht="19" x14ac:dyDescent="0.25">
      <c r="A10" s="6" t="s">
        <v>36</v>
      </c>
      <c r="B10" s="8">
        <v>0</v>
      </c>
    </row>
    <row r="11" spans="1:9" ht="19" x14ac:dyDescent="0.25">
      <c r="A11" s="6" t="s">
        <v>102</v>
      </c>
      <c r="B11" s="29">
        <f>NPV(B4,O22:O72)+300</f>
        <v>5004.3632169551711</v>
      </c>
    </row>
    <row r="12" spans="1:9" ht="19" x14ac:dyDescent="0.25">
      <c r="A12" s="6" t="s">
        <v>103</v>
      </c>
      <c r="B12" s="29">
        <f>B11*B1</f>
        <v>2707360.5003727474</v>
      </c>
    </row>
    <row r="13" spans="1:9" ht="19" x14ac:dyDescent="0.25">
      <c r="A13" s="6" t="s">
        <v>89</v>
      </c>
      <c r="B13" s="29">
        <f>AG21+NPV(B4,AG22:AG72)</f>
        <v>-4989724.8152845763</v>
      </c>
    </row>
    <row r="14" spans="1:9" ht="19" x14ac:dyDescent="0.25">
      <c r="A14" s="6" t="s">
        <v>90</v>
      </c>
      <c r="B14" s="29">
        <f>AE21+NPV(B4,AE22:AE72)</f>
        <v>-116809.79765696713</v>
      </c>
    </row>
    <row r="15" spans="1:9" ht="19" x14ac:dyDescent="0.25">
      <c r="A15" s="6" t="s">
        <v>106</v>
      </c>
      <c r="B15" s="29">
        <f>SUM(AJ21:AJ72)</f>
        <v>-4268626.0917524882</v>
      </c>
      <c r="D15" t="s">
        <v>93</v>
      </c>
    </row>
    <row r="16" spans="1:9" ht="19" x14ac:dyDescent="0.25">
      <c r="A16" s="6" t="s">
        <v>107</v>
      </c>
      <c r="B16" s="29">
        <f>ROUND(B15*B1,0)</f>
        <v>-2309326716</v>
      </c>
    </row>
    <row r="17" spans="1:37" ht="19" x14ac:dyDescent="0.25">
      <c r="A17" s="6" t="s">
        <v>95</v>
      </c>
      <c r="B17" s="29">
        <f>ABS(B16)/B12</f>
        <v>852.98087036508571</v>
      </c>
    </row>
    <row r="19" spans="1:37" ht="19" x14ac:dyDescent="0.25">
      <c r="A19" s="60" t="s">
        <v>66</v>
      </c>
      <c r="B19" s="60"/>
      <c r="C19" s="60"/>
      <c r="D19" s="60"/>
      <c r="E19" s="60"/>
      <c r="G19" s="60" t="s">
        <v>65</v>
      </c>
      <c r="H19" s="60"/>
      <c r="I19" s="60"/>
      <c r="J19" s="60"/>
      <c r="K19" s="60"/>
      <c r="M19" s="60" t="s">
        <v>67</v>
      </c>
      <c r="N19" s="60"/>
      <c r="O19" s="60"/>
      <c r="P19" s="60"/>
      <c r="Q19" s="60"/>
      <c r="R19" s="60"/>
      <c r="S19" s="60"/>
      <c r="U19" s="60" t="s">
        <v>46</v>
      </c>
      <c r="V19" s="60"/>
      <c r="W19" s="60"/>
      <c r="Y19" s="60" t="s">
        <v>68</v>
      </c>
      <c r="Z19" s="60"/>
      <c r="AA19" s="60"/>
      <c r="AB19" s="60"/>
      <c r="AC19" s="60"/>
      <c r="AD19" s="60"/>
      <c r="AE19" s="60"/>
      <c r="AF19" s="60"/>
      <c r="AG19" s="60"/>
      <c r="AH19" s="60" t="s">
        <v>69</v>
      </c>
      <c r="AI19" s="60"/>
      <c r="AJ19" s="60"/>
      <c r="AK19" s="60"/>
    </row>
    <row r="20" spans="1:37" ht="19" x14ac:dyDescent="0.25">
      <c r="A20" s="11" t="s">
        <v>5</v>
      </c>
      <c r="B20" s="11" t="s">
        <v>1</v>
      </c>
      <c r="C20" s="11" t="s">
        <v>2</v>
      </c>
      <c r="D20" s="11" t="s">
        <v>3</v>
      </c>
      <c r="E20" s="12" t="s">
        <v>7</v>
      </c>
      <c r="G20" s="11" t="s">
        <v>5</v>
      </c>
      <c r="H20" s="14" t="s">
        <v>26</v>
      </c>
      <c r="I20" s="14" t="s">
        <v>47</v>
      </c>
      <c r="J20" s="14" t="s">
        <v>27</v>
      </c>
      <c r="K20" s="15" t="s">
        <v>28</v>
      </c>
      <c r="M20" s="11" t="s">
        <v>34</v>
      </c>
      <c r="N20" s="11" t="s">
        <v>12</v>
      </c>
      <c r="O20" s="11" t="s">
        <v>13</v>
      </c>
      <c r="P20" s="11" t="s">
        <v>14</v>
      </c>
      <c r="Q20" s="11" t="s">
        <v>40</v>
      </c>
      <c r="R20" s="11" t="s">
        <v>15</v>
      </c>
      <c r="S20" s="12" t="s">
        <v>35</v>
      </c>
      <c r="U20" s="14" t="s">
        <v>34</v>
      </c>
      <c r="V20" s="11" t="s">
        <v>16</v>
      </c>
      <c r="W20" s="12" t="s">
        <v>17</v>
      </c>
      <c r="Y20" s="14" t="s">
        <v>34</v>
      </c>
      <c r="Z20" s="11" t="s">
        <v>29</v>
      </c>
      <c r="AA20" s="11" t="s">
        <v>30</v>
      </c>
      <c r="AB20" s="11" t="s">
        <v>31</v>
      </c>
      <c r="AC20" s="11" t="s">
        <v>32</v>
      </c>
      <c r="AD20" s="11" t="s">
        <v>33</v>
      </c>
      <c r="AE20" s="11" t="s">
        <v>51</v>
      </c>
      <c r="AF20" s="11" t="s">
        <v>43</v>
      </c>
      <c r="AG20" s="11" t="s">
        <v>44</v>
      </c>
      <c r="AH20" s="11" t="s">
        <v>45</v>
      </c>
      <c r="AI20" s="11" t="s">
        <v>41</v>
      </c>
      <c r="AJ20" s="11" t="s">
        <v>38</v>
      </c>
      <c r="AK20" s="12" t="s">
        <v>39</v>
      </c>
    </row>
    <row r="21" spans="1:37" x14ac:dyDescent="0.2">
      <c r="A21">
        <f>B2</f>
        <v>61</v>
      </c>
      <c r="B21">
        <f>VLOOKUP('Male SPWL (before)'!A21,Table21[#All],2,FALSE)</f>
        <v>8.6035763530000007E-3</v>
      </c>
      <c r="C21">
        <f>1-B21</f>
        <v>0.99139642364699998</v>
      </c>
      <c r="D21">
        <f>$B$5*(B21+C21*D22)</f>
        <v>0.29342617723894238</v>
      </c>
      <c r="E21">
        <f>D21-PRODUCT(C21:C40)*E40*$B$5^(20)</f>
        <v>0.17110728253849883</v>
      </c>
      <c r="G21">
        <f>B2</f>
        <v>61</v>
      </c>
      <c r="H21">
        <f>B21</f>
        <v>8.6035763530000007E-3</v>
      </c>
      <c r="I21">
        <f>0</f>
        <v>0</v>
      </c>
      <c r="J21">
        <f>1-H21-I21</f>
        <v>0.99139642364699998</v>
      </c>
      <c r="K21">
        <v>1</v>
      </c>
      <c r="M21">
        <v>1</v>
      </c>
      <c r="N21">
        <f>$B$10</f>
        <v>0</v>
      </c>
      <c r="O21">
        <f>$B$3</f>
        <v>300</v>
      </c>
      <c r="P21">
        <f>VLOOKUP(G21,Table1[#All],3,FALSE)</f>
        <v>780036.96860000002</v>
      </c>
      <c r="Q21">
        <f>I21</f>
        <v>0</v>
      </c>
      <c r="R21">
        <v>0</v>
      </c>
      <c r="S21">
        <f>ABS(MIN(AF22-S22*J22,0))*$B$5</f>
        <v>317344.23858799553</v>
      </c>
      <c r="U21">
        <v>1</v>
      </c>
      <c r="V21">
        <f>S21</f>
        <v>317344.23858799553</v>
      </c>
      <c r="W21">
        <f>$B$6*P21*J21</f>
        <v>7733.2586098248721</v>
      </c>
      <c r="Y21">
        <v>1</v>
      </c>
      <c r="Z21">
        <f>N21</f>
        <v>0</v>
      </c>
      <c r="AA21">
        <f>-O21</f>
        <v>-300</v>
      </c>
      <c r="AB21">
        <f>-P21*H21</f>
        <v>-6711.1076175127646</v>
      </c>
      <c r="AC21">
        <f>0</f>
        <v>0</v>
      </c>
      <c r="AD21">
        <f>SUM(Z21:AA21)*$B$4</f>
        <v>-18.179099999999998</v>
      </c>
      <c r="AE21">
        <f>-W21</f>
        <v>-7733.2586098248721</v>
      </c>
      <c r="AF21">
        <f>SUM(Z21:AE21)</f>
        <v>-14762.545327337637</v>
      </c>
      <c r="AG21">
        <f>-S21*K21</f>
        <v>-317344.23858799553</v>
      </c>
      <c r="AH21">
        <f>SUM(AF21:AG21)</f>
        <v>-332106.78391533316</v>
      </c>
      <c r="AI21">
        <f>$B$5^Y21</f>
        <v>0.94286519761983112</v>
      </c>
      <c r="AJ21">
        <f>AH21*AI21*K21</f>
        <v>-313131.92844721716</v>
      </c>
      <c r="AK21">
        <f>0</f>
        <v>0</v>
      </c>
    </row>
    <row r="22" spans="1:37" x14ac:dyDescent="0.2">
      <c r="A22">
        <f>A21+1</f>
        <v>62</v>
      </c>
      <c r="B22">
        <f>VLOOKUP('Male SPWL (before)'!A22,Table21[#All],2,FALSE)</f>
        <v>8.932270095E-3</v>
      </c>
      <c r="C22">
        <f t="shared" ref="C22:C72" si="0">1-B22</f>
        <v>0.99106772990500003</v>
      </c>
      <c r="D22">
        <f t="shared" ref="D22:D72" si="1">$B$5*(B22+C22*D23)</f>
        <v>0.30522941149506966</v>
      </c>
      <c r="E22">
        <f t="shared" ref="E22:E72" si="2">D22-PRODUCT(C22:C41)*E41*$B$5^(20)</f>
        <v>0.18443731058802632</v>
      </c>
      <c r="G22">
        <f>G21+1</f>
        <v>62</v>
      </c>
      <c r="H22">
        <f t="shared" ref="H22:H72" si="3">B22</f>
        <v>8.932270095E-3</v>
      </c>
      <c r="I22">
        <f>0</f>
        <v>0</v>
      </c>
      <c r="J22">
        <f t="shared" ref="J22:J72" si="4">1-H22-I22</f>
        <v>0.99106772990500003</v>
      </c>
      <c r="K22">
        <f>J21*K21</f>
        <v>0.99139642364699998</v>
      </c>
      <c r="M22">
        <v>2</v>
      </c>
      <c r="N22">
        <f t="shared" ref="N22:N72" si="5">$B$10</f>
        <v>0</v>
      </c>
      <c r="O22">
        <f>$B$3</f>
        <v>300</v>
      </c>
      <c r="P22">
        <f>VLOOKUP(G22,Table1[#All],3,FALSE)</f>
        <v>715547.70319999999</v>
      </c>
      <c r="Q22">
        <f t="shared" ref="Q22:Q72" si="6">I22</f>
        <v>0</v>
      </c>
      <c r="R22">
        <v>0</v>
      </c>
      <c r="S22">
        <f t="shared" ref="S22:S72" si="7">ABS(MIN(AF23-S23*J23,0))*$B$5</f>
        <v>325682.22215783497</v>
      </c>
      <c r="U22">
        <v>2</v>
      </c>
      <c r="V22">
        <f t="shared" ref="V22:V72" si="8">S22</f>
        <v>325682.22215783497</v>
      </c>
      <c r="W22">
        <f t="shared" ref="W22:W72" si="9">$B$6*P22*J22</f>
        <v>7091.562378491607</v>
      </c>
      <c r="Y22">
        <v>2</v>
      </c>
      <c r="Z22">
        <f t="shared" ref="Z22:Z72" si="10">N22</f>
        <v>0</v>
      </c>
      <c r="AA22">
        <f t="shared" ref="AA22:AA72" si="11">-O22</f>
        <v>-300</v>
      </c>
      <c r="AB22">
        <f t="shared" ref="AB22:AB72" si="12">-P22*H22</f>
        <v>-6391.4653508392958</v>
      </c>
      <c r="AC22">
        <f>0</f>
        <v>0</v>
      </c>
      <c r="AD22">
        <f t="shared" ref="AD22:AD72" si="13">SUM(Z22:AA22)*$B$4</f>
        <v>-18.179099999999998</v>
      </c>
      <c r="AE22">
        <f t="shared" ref="AE22:AE72" si="14">-W22</f>
        <v>-7091.562378491607</v>
      </c>
      <c r="AF22">
        <f t="shared" ref="AF22:AF72" si="15">SUM(Z22:AE22)</f>
        <v>-13801.206829330902</v>
      </c>
      <c r="AG22">
        <f t="shared" ref="AG22:AG72" si="16">-S22*K22</f>
        <v>-322880.19029268535</v>
      </c>
      <c r="AH22">
        <f>SUM(AF22:AG22)</f>
        <v>-336681.39712201623</v>
      </c>
      <c r="AI22">
        <f t="shared" ref="AI22:AI72" si="17">$B$5^Y22</f>
        <v>0.88899478088268324</v>
      </c>
      <c r="AJ22">
        <f t="shared" ref="AJ22:AJ72" si="18">AH22*AI22*K22</f>
        <v>-296732.88558887021</v>
      </c>
      <c r="AK22">
        <f>0</f>
        <v>0</v>
      </c>
    </row>
    <row r="23" spans="1:37" x14ac:dyDescent="0.2">
      <c r="A23">
        <f t="shared" ref="A23:A72" si="19">A22+1</f>
        <v>63</v>
      </c>
      <c r="B23">
        <f>VLOOKUP('Male SPWL (before)'!A23,Table21[#All],2,FALSE)</f>
        <v>9.2873225940000009E-3</v>
      </c>
      <c r="C23">
        <f t="shared" si="0"/>
        <v>0.990712677406</v>
      </c>
      <c r="D23">
        <f t="shared" si="1"/>
        <v>0.31763028756734035</v>
      </c>
      <c r="E23">
        <f t="shared" si="2"/>
        <v>0.19939936795980023</v>
      </c>
      <c r="G23">
        <f t="shared" ref="G23:G72" si="20">G22+1</f>
        <v>63</v>
      </c>
      <c r="H23">
        <f t="shared" si="3"/>
        <v>9.2873225940000009E-3</v>
      </c>
      <c r="I23">
        <f>0</f>
        <v>0</v>
      </c>
      <c r="J23">
        <f t="shared" si="4"/>
        <v>0.990712677406</v>
      </c>
      <c r="K23">
        <f t="shared" ref="K23:K72" si="21">J22*K22</f>
        <v>0.98254100301976799</v>
      </c>
      <c r="M23">
        <v>3</v>
      </c>
      <c r="N23">
        <f t="shared" si="5"/>
        <v>0</v>
      </c>
      <c r="O23">
        <f t="shared" ref="O23:O72" si="22">$B$3</f>
        <v>300</v>
      </c>
      <c r="P23">
        <f>VLOOKUP(G23,Table1[#All],3,FALSE)</f>
        <v>783783.78379999998</v>
      </c>
      <c r="Q23">
        <f t="shared" si="6"/>
        <v>0</v>
      </c>
      <c r="R23">
        <v>0</v>
      </c>
      <c r="S23">
        <f t="shared" si="7"/>
        <v>333149.17437461956</v>
      </c>
      <c r="U23">
        <v>3</v>
      </c>
      <c r="V23">
        <f t="shared" si="8"/>
        <v>333149.17437461956</v>
      </c>
      <c r="W23">
        <f t="shared" si="9"/>
        <v>7765.0453095590337</v>
      </c>
      <c r="Y23">
        <v>3</v>
      </c>
      <c r="Z23">
        <f t="shared" si="10"/>
        <v>0</v>
      </c>
      <c r="AA23">
        <f t="shared" si="11"/>
        <v>-300</v>
      </c>
      <c r="AB23">
        <f t="shared" si="12"/>
        <v>-7279.2528440965516</v>
      </c>
      <c r="AC23">
        <f>0</f>
        <v>0</v>
      </c>
      <c r="AD23">
        <f t="shared" si="13"/>
        <v>-18.179099999999998</v>
      </c>
      <c r="AE23">
        <f t="shared" si="14"/>
        <v>-7765.0453095590337</v>
      </c>
      <c r="AF23">
        <f t="shared" si="15"/>
        <v>-15362.477253655587</v>
      </c>
      <c r="AG23">
        <f t="shared" si="16"/>
        <v>-327332.72394524631</v>
      </c>
      <c r="AH23">
        <f t="shared" ref="AH23:AH72" si="23">SUM(AF23:AG23)</f>
        <v>-342695.20119890192</v>
      </c>
      <c r="AI23">
        <f t="shared" si="17"/>
        <v>0.83820223975994956</v>
      </c>
      <c r="AJ23">
        <f t="shared" si="18"/>
        <v>-282232.82523962297</v>
      </c>
      <c r="AK23">
        <f>0</f>
        <v>0</v>
      </c>
    </row>
    <row r="24" spans="1:37" x14ac:dyDescent="0.2">
      <c r="A24">
        <f t="shared" si="19"/>
        <v>64</v>
      </c>
      <c r="B24">
        <f>VLOOKUP('Male SPWL (before)'!A24,Table21[#All],2,FALSE)</f>
        <v>9.6981247830000006E-3</v>
      </c>
      <c r="C24">
        <f t="shared" si="0"/>
        <v>0.99030187521699997</v>
      </c>
      <c r="D24">
        <f t="shared" si="1"/>
        <v>0.33066136628713994</v>
      </c>
      <c r="E24">
        <f t="shared" si="2"/>
        <v>0.21609794931369289</v>
      </c>
      <c r="G24">
        <f t="shared" si="20"/>
        <v>64</v>
      </c>
      <c r="H24">
        <f t="shared" si="3"/>
        <v>9.6981247830000006E-3</v>
      </c>
      <c r="I24">
        <f>0</f>
        <v>0</v>
      </c>
      <c r="J24">
        <f t="shared" si="4"/>
        <v>0.99030187521699997</v>
      </c>
      <c r="K24">
        <f t="shared" si="21"/>
        <v>0.97341582776289104</v>
      </c>
      <c r="M24">
        <v>4</v>
      </c>
      <c r="N24">
        <f t="shared" si="5"/>
        <v>0</v>
      </c>
      <c r="O24">
        <f t="shared" si="22"/>
        <v>300</v>
      </c>
      <c r="P24">
        <f>VLOOKUP(G24,Table1[#All],3,FALSE)</f>
        <v>793851.71790000005</v>
      </c>
      <c r="Q24">
        <f t="shared" si="6"/>
        <v>0</v>
      </c>
      <c r="R24">
        <v>0</v>
      </c>
      <c r="S24">
        <f t="shared" si="7"/>
        <v>340763.19834500324</v>
      </c>
      <c r="U24">
        <v>4</v>
      </c>
      <c r="V24">
        <f t="shared" si="8"/>
        <v>340763.19834500324</v>
      </c>
      <c r="W24">
        <f t="shared" si="9"/>
        <v>7861.5284488060688</v>
      </c>
      <c r="Y24">
        <v>4</v>
      </c>
      <c r="Z24">
        <f t="shared" si="10"/>
        <v>0</v>
      </c>
      <c r="AA24">
        <f t="shared" si="11"/>
        <v>-300</v>
      </c>
      <c r="AB24">
        <f t="shared" si="12"/>
        <v>-7698.873019393116</v>
      </c>
      <c r="AC24">
        <f>0</f>
        <v>0</v>
      </c>
      <c r="AD24">
        <f t="shared" si="13"/>
        <v>-18.179099999999998</v>
      </c>
      <c r="AE24">
        <f t="shared" si="14"/>
        <v>-7861.5284488060688</v>
      </c>
      <c r="AF24">
        <f t="shared" si="15"/>
        <v>-15878.580568199184</v>
      </c>
      <c r="AG24">
        <f t="shared" si="16"/>
        <v>-331704.29078813153</v>
      </c>
      <c r="AH24">
        <f t="shared" si="23"/>
        <v>-347582.8713563307</v>
      </c>
      <c r="AI24">
        <f t="shared" si="17"/>
        <v>0.79031172043664999</v>
      </c>
      <c r="AJ24">
        <f t="shared" si="18"/>
        <v>-267396.17638998746</v>
      </c>
      <c r="AK24">
        <f>0</f>
        <v>0</v>
      </c>
    </row>
    <row r="25" spans="1:37" x14ac:dyDescent="0.2">
      <c r="A25">
        <f t="shared" si="19"/>
        <v>65</v>
      </c>
      <c r="B25">
        <f>VLOOKUP('Male SPWL (before)'!A25,Table21[#All],2,FALSE)</f>
        <v>1.01940676E-2</v>
      </c>
      <c r="C25">
        <f t="shared" si="0"/>
        <v>0.98980593240000003</v>
      </c>
      <c r="D25">
        <f t="shared" si="1"/>
        <v>0.34433977845626113</v>
      </c>
      <c r="E25">
        <f t="shared" si="2"/>
        <v>0.23460905123377207</v>
      </c>
      <c r="G25">
        <f t="shared" si="20"/>
        <v>65</v>
      </c>
      <c r="H25">
        <f t="shared" si="3"/>
        <v>1.01940676E-2</v>
      </c>
      <c r="I25">
        <f>0</f>
        <v>0</v>
      </c>
      <c r="J25">
        <f t="shared" si="4"/>
        <v>0.98980593240000003</v>
      </c>
      <c r="K25">
        <f t="shared" si="21"/>
        <v>0.96397551959949923</v>
      </c>
      <c r="M25">
        <v>5</v>
      </c>
      <c r="N25">
        <f t="shared" si="5"/>
        <v>0</v>
      </c>
      <c r="O25">
        <f t="shared" si="22"/>
        <v>300</v>
      </c>
      <c r="P25">
        <f>VLOOKUP(G25,Table1[#All],3,FALSE)</f>
        <v>754545.45449999999</v>
      </c>
      <c r="Q25">
        <f t="shared" si="6"/>
        <v>0</v>
      </c>
      <c r="R25">
        <v>0</v>
      </c>
      <c r="S25">
        <f t="shared" si="7"/>
        <v>349496.61586143682</v>
      </c>
      <c r="U25">
        <v>5</v>
      </c>
      <c r="V25">
        <f t="shared" si="8"/>
        <v>349496.61586143682</v>
      </c>
      <c r="W25">
        <f t="shared" si="9"/>
        <v>7468.5356712955436</v>
      </c>
      <c r="Y25">
        <v>5</v>
      </c>
      <c r="Z25">
        <f t="shared" si="10"/>
        <v>0</v>
      </c>
      <c r="AA25">
        <f t="shared" si="11"/>
        <v>-300</v>
      </c>
      <c r="AB25">
        <f t="shared" si="12"/>
        <v>-7691.8873704457246</v>
      </c>
      <c r="AC25">
        <f>0</f>
        <v>0</v>
      </c>
      <c r="AD25">
        <f t="shared" si="13"/>
        <v>-18.179099999999998</v>
      </c>
      <c r="AE25">
        <f t="shared" si="14"/>
        <v>-7468.5356712955436</v>
      </c>
      <c r="AF25">
        <f t="shared" si="15"/>
        <v>-15478.602141741268</v>
      </c>
      <c r="AG25">
        <f t="shared" si="16"/>
        <v>-336906.18187329517</v>
      </c>
      <c r="AH25">
        <f t="shared" si="23"/>
        <v>-352384.78401503642</v>
      </c>
      <c r="AI25">
        <f t="shared" si="17"/>
        <v>0.74515741647077072</v>
      </c>
      <c r="AJ25">
        <f t="shared" si="18"/>
        <v>-253122.75027505038</v>
      </c>
      <c r="AK25">
        <f>0</f>
        <v>0</v>
      </c>
    </row>
    <row r="26" spans="1:37" x14ac:dyDescent="0.2">
      <c r="A26">
        <f t="shared" si="19"/>
        <v>66</v>
      </c>
      <c r="B26">
        <f>VLOOKUP('Male SPWL (before)'!A26,Table21[#All],2,FALSE)</f>
        <v>1.080454197E-2</v>
      </c>
      <c r="C26">
        <f t="shared" si="0"/>
        <v>0.98919545802999997</v>
      </c>
      <c r="D26">
        <f t="shared" si="1"/>
        <v>0.3586679537781432</v>
      </c>
      <c r="E26">
        <f t="shared" si="2"/>
        <v>0.25491958465865838</v>
      </c>
      <c r="G26">
        <f t="shared" si="20"/>
        <v>66</v>
      </c>
      <c r="H26">
        <f t="shared" si="3"/>
        <v>1.080454197E-2</v>
      </c>
      <c r="I26">
        <f>0</f>
        <v>0</v>
      </c>
      <c r="J26">
        <f t="shared" si="4"/>
        <v>0.98919545802999997</v>
      </c>
      <c r="K26">
        <f t="shared" si="21"/>
        <v>0.95414868798795682</v>
      </c>
      <c r="M26">
        <v>6</v>
      </c>
      <c r="N26">
        <f t="shared" si="5"/>
        <v>0</v>
      </c>
      <c r="O26">
        <f t="shared" si="22"/>
        <v>300</v>
      </c>
      <c r="P26">
        <f>VLOOKUP(G26,Table1[#All],3,FALSE)</f>
        <v>750957.85439999995</v>
      </c>
      <c r="Q26">
        <f t="shared" si="6"/>
        <v>0</v>
      </c>
      <c r="R26">
        <v>0</v>
      </c>
      <c r="S26">
        <f t="shared" si="7"/>
        <v>358690.16954081214</v>
      </c>
      <c r="U26">
        <v>6</v>
      </c>
      <c r="V26">
        <f t="shared" si="8"/>
        <v>358690.16954081214</v>
      </c>
      <c r="W26">
        <f t="shared" si="9"/>
        <v>7428.44098744434</v>
      </c>
      <c r="Y26">
        <v>6</v>
      </c>
      <c r="Z26">
        <f t="shared" si="10"/>
        <v>0</v>
      </c>
      <c r="AA26">
        <f t="shared" si="11"/>
        <v>-300</v>
      </c>
      <c r="AB26">
        <f t="shared" si="12"/>
        <v>-8113.7556555659485</v>
      </c>
      <c r="AC26">
        <f>0</f>
        <v>0</v>
      </c>
      <c r="AD26">
        <f t="shared" si="13"/>
        <v>-18.179099999999998</v>
      </c>
      <c r="AE26">
        <f t="shared" si="14"/>
        <v>-7428.44098744434</v>
      </c>
      <c r="AF26">
        <f t="shared" si="15"/>
        <v>-15860.375743010289</v>
      </c>
      <c r="AG26">
        <f t="shared" si="16"/>
        <v>-342243.7546615437</v>
      </c>
      <c r="AH26">
        <f t="shared" si="23"/>
        <v>-358104.13040455402</v>
      </c>
      <c r="AI26">
        <f t="shared" si="17"/>
        <v>0.70258299473859609</v>
      </c>
      <c r="AJ26">
        <f t="shared" si="18"/>
        <v>-240061.77982038585</v>
      </c>
      <c r="AK26">
        <f>0</f>
        <v>0</v>
      </c>
    </row>
    <row r="27" spans="1:37" x14ac:dyDescent="0.2">
      <c r="A27">
        <f t="shared" si="19"/>
        <v>67</v>
      </c>
      <c r="B27">
        <f>VLOOKUP('Male SPWL (before)'!A27,Table21[#All],2,FALSE)</f>
        <v>1.1558938830000001E-2</v>
      </c>
      <c r="C27">
        <f t="shared" si="0"/>
        <v>0.98844106116999997</v>
      </c>
      <c r="D27">
        <f t="shared" si="1"/>
        <v>0.3736345641328534</v>
      </c>
      <c r="E27">
        <f t="shared" si="2"/>
        <v>0.27690138344013748</v>
      </c>
      <c r="G27">
        <f t="shared" si="20"/>
        <v>67</v>
      </c>
      <c r="H27">
        <f t="shared" si="3"/>
        <v>1.1558938830000001E-2</v>
      </c>
      <c r="I27">
        <f>0</f>
        <v>0</v>
      </c>
      <c r="J27">
        <f t="shared" si="4"/>
        <v>0.98844106116999997</v>
      </c>
      <c r="K27">
        <f t="shared" si="21"/>
        <v>0.94383954844297047</v>
      </c>
      <c r="M27">
        <v>7</v>
      </c>
      <c r="N27">
        <f t="shared" si="5"/>
        <v>0</v>
      </c>
      <c r="O27">
        <f t="shared" si="22"/>
        <v>300</v>
      </c>
      <c r="P27">
        <f>VLOOKUP(G27,Table1[#All],3,FALSE)</f>
        <v>750957.85439999995</v>
      </c>
      <c r="Q27">
        <f t="shared" si="6"/>
        <v>0</v>
      </c>
      <c r="R27">
        <v>0</v>
      </c>
      <c r="S27">
        <f t="shared" si="7"/>
        <v>368261.19558987435</v>
      </c>
      <c r="U27">
        <v>7</v>
      </c>
      <c r="V27">
        <f t="shared" si="8"/>
        <v>368261.19558987435</v>
      </c>
      <c r="W27">
        <f t="shared" si="9"/>
        <v>7422.7757849708232</v>
      </c>
      <c r="Y27">
        <v>7</v>
      </c>
      <c r="Z27">
        <f t="shared" si="10"/>
        <v>0</v>
      </c>
      <c r="AA27">
        <f t="shared" si="11"/>
        <v>-300</v>
      </c>
      <c r="AB27">
        <f t="shared" si="12"/>
        <v>-8680.2759029176468</v>
      </c>
      <c r="AC27">
        <f>0</f>
        <v>0</v>
      </c>
      <c r="AD27">
        <f t="shared" si="13"/>
        <v>-18.179099999999998</v>
      </c>
      <c r="AE27">
        <f t="shared" si="14"/>
        <v>-7422.7757849708232</v>
      </c>
      <c r="AF27">
        <f t="shared" si="15"/>
        <v>-16421.230787888468</v>
      </c>
      <c r="AG27">
        <f t="shared" si="16"/>
        <v>-347579.48055461544</v>
      </c>
      <c r="AH27">
        <f t="shared" si="23"/>
        <v>-364000.7113425039</v>
      </c>
      <c r="AI27">
        <f t="shared" si="17"/>
        <v>0.66244105417853916</v>
      </c>
      <c r="AJ27">
        <f t="shared" si="18"/>
        <v>-227587.10058073961</v>
      </c>
      <c r="AK27">
        <f>0</f>
        <v>0</v>
      </c>
    </row>
    <row r="28" spans="1:37" x14ac:dyDescent="0.2">
      <c r="A28">
        <f t="shared" si="19"/>
        <v>68</v>
      </c>
      <c r="B28">
        <f>VLOOKUP('Male SPWL (before)'!A28,Table21[#All],2,FALSE)</f>
        <v>1.2486649109999999E-2</v>
      </c>
      <c r="C28">
        <f t="shared" si="0"/>
        <v>0.98751335089000003</v>
      </c>
      <c r="D28">
        <f t="shared" si="1"/>
        <v>0.38921567921331557</v>
      </c>
      <c r="E28">
        <f t="shared" si="2"/>
        <v>0.30039713074457436</v>
      </c>
      <c r="G28">
        <f t="shared" si="20"/>
        <v>68</v>
      </c>
      <c r="H28">
        <f t="shared" si="3"/>
        <v>1.2486649109999999E-2</v>
      </c>
      <c r="I28">
        <f>0</f>
        <v>0</v>
      </c>
      <c r="J28">
        <f t="shared" si="4"/>
        <v>0.98751335089000003</v>
      </c>
      <c r="K28">
        <f t="shared" si="21"/>
        <v>0.93292976483718337</v>
      </c>
      <c r="M28">
        <v>8</v>
      </c>
      <c r="N28">
        <f t="shared" si="5"/>
        <v>0</v>
      </c>
      <c r="O28">
        <f t="shared" si="22"/>
        <v>300</v>
      </c>
      <c r="P28">
        <f>VLOOKUP(G28,Table1[#All],3,FALSE)</f>
        <v>750957.85439999995</v>
      </c>
      <c r="Q28">
        <f t="shared" si="6"/>
        <v>0</v>
      </c>
      <c r="R28">
        <v>0</v>
      </c>
      <c r="S28">
        <f t="shared" si="7"/>
        <v>378188.08578780043</v>
      </c>
      <c r="U28">
        <v>8</v>
      </c>
      <c r="V28">
        <f t="shared" si="8"/>
        <v>378188.08578780043</v>
      </c>
      <c r="W28">
        <f t="shared" si="9"/>
        <v>7415.8090717570876</v>
      </c>
      <c r="Y28">
        <v>8</v>
      </c>
      <c r="Z28">
        <f t="shared" si="10"/>
        <v>0</v>
      </c>
      <c r="AA28">
        <f t="shared" si="11"/>
        <v>-300</v>
      </c>
      <c r="AB28">
        <f t="shared" si="12"/>
        <v>-9376.9472242912689</v>
      </c>
      <c r="AC28">
        <f>0</f>
        <v>0</v>
      </c>
      <c r="AD28">
        <f t="shared" si="13"/>
        <v>-18.179099999999998</v>
      </c>
      <c r="AE28">
        <f t="shared" si="14"/>
        <v>-7415.8090717570876</v>
      </c>
      <c r="AF28">
        <f t="shared" si="15"/>
        <v>-17110.935396048357</v>
      </c>
      <c r="AG28">
        <f t="shared" si="16"/>
        <v>-352822.92193823721</v>
      </c>
      <c r="AH28">
        <f t="shared" si="23"/>
        <v>-369933.85733428557</v>
      </c>
      <c r="AI28">
        <f t="shared" si="17"/>
        <v>0.62459261545953759</v>
      </c>
      <c r="AJ28">
        <f t="shared" si="18"/>
        <v>-215560.8440878687</v>
      </c>
      <c r="AK28">
        <f>0</f>
        <v>0</v>
      </c>
    </row>
    <row r="29" spans="1:37" x14ac:dyDescent="0.2">
      <c r="A29">
        <f t="shared" si="19"/>
        <v>69</v>
      </c>
      <c r="B29">
        <f>VLOOKUP('Male SPWL (before)'!A29,Table21[#All],2,FALSE)</f>
        <v>1.3617063760000001E-2</v>
      </c>
      <c r="C29">
        <f t="shared" si="0"/>
        <v>0.98638293623999995</v>
      </c>
      <c r="D29">
        <f t="shared" si="1"/>
        <v>0.40537612200971262</v>
      </c>
      <c r="E29">
        <f t="shared" si="2"/>
        <v>0.32518772100711146</v>
      </c>
      <c r="G29">
        <f t="shared" si="20"/>
        <v>69</v>
      </c>
      <c r="H29">
        <f t="shared" si="3"/>
        <v>1.3617063760000001E-2</v>
      </c>
      <c r="I29">
        <f>0</f>
        <v>0</v>
      </c>
      <c r="J29">
        <f t="shared" si="4"/>
        <v>0.98638293623999995</v>
      </c>
      <c r="K29">
        <f t="shared" si="21"/>
        <v>0.92128059821938668</v>
      </c>
      <c r="M29">
        <v>9</v>
      </c>
      <c r="N29">
        <f t="shared" si="5"/>
        <v>0</v>
      </c>
      <c r="O29">
        <f t="shared" si="22"/>
        <v>300</v>
      </c>
      <c r="P29">
        <f>VLOOKUP(G29,Table1[#All],3,FALSE)</f>
        <v>750957.85439999995</v>
      </c>
      <c r="Q29">
        <f t="shared" si="6"/>
        <v>0</v>
      </c>
      <c r="R29">
        <v>0</v>
      </c>
      <c r="S29">
        <f t="shared" si="7"/>
        <v>388443.26572014438</v>
      </c>
      <c r="U29">
        <v>9</v>
      </c>
      <c r="V29">
        <f t="shared" si="8"/>
        <v>388443.26572014438</v>
      </c>
      <c r="W29">
        <f t="shared" si="9"/>
        <v>7407.3201341556232</v>
      </c>
      <c r="Y29">
        <v>9</v>
      </c>
      <c r="Z29">
        <f t="shared" si="10"/>
        <v>0</v>
      </c>
      <c r="AA29">
        <f t="shared" si="11"/>
        <v>-300</v>
      </c>
      <c r="AB29">
        <f t="shared" si="12"/>
        <v>-10225.840984437596</v>
      </c>
      <c r="AC29">
        <f>0</f>
        <v>0</v>
      </c>
      <c r="AD29">
        <f t="shared" si="13"/>
        <v>-18.179099999999998</v>
      </c>
      <c r="AE29">
        <f t="shared" si="14"/>
        <v>-7407.3201341556232</v>
      </c>
      <c r="AF29">
        <f t="shared" si="15"/>
        <v>-17951.340218593221</v>
      </c>
      <c r="AG29">
        <f t="shared" si="16"/>
        <v>-357865.24421694677</v>
      </c>
      <c r="AH29">
        <f t="shared" si="23"/>
        <v>-375816.58443554002</v>
      </c>
      <c r="AI29">
        <f t="shared" si="17"/>
        <v>0.58890663980714408</v>
      </c>
      <c r="AJ29">
        <f t="shared" si="18"/>
        <v>-203898.6344971378</v>
      </c>
      <c r="AK29">
        <f>0</f>
        <v>0</v>
      </c>
    </row>
    <row r="30" spans="1:37" x14ac:dyDescent="0.2">
      <c r="A30">
        <f t="shared" si="19"/>
        <v>70</v>
      </c>
      <c r="B30">
        <f>VLOOKUP('Male SPWL (before)'!A30,Table21[#All],2,FALSE)</f>
        <v>1.4979573689999999E-2</v>
      </c>
      <c r="C30">
        <f t="shared" si="0"/>
        <v>0.98502042630999997</v>
      </c>
      <c r="D30">
        <f t="shared" si="1"/>
        <v>0.42207100287249716</v>
      </c>
      <c r="E30">
        <f t="shared" si="2"/>
        <v>0.35101308834721356</v>
      </c>
      <c r="G30">
        <f t="shared" si="20"/>
        <v>70</v>
      </c>
      <c r="H30">
        <f t="shared" si="3"/>
        <v>1.4979573689999999E-2</v>
      </c>
      <c r="I30">
        <f>0</f>
        <v>0</v>
      </c>
      <c r="J30">
        <f t="shared" si="4"/>
        <v>0.98502042630999997</v>
      </c>
      <c r="K30">
        <f t="shared" si="21"/>
        <v>0.90873546157258234</v>
      </c>
      <c r="M30">
        <v>10</v>
      </c>
      <c r="N30">
        <f t="shared" si="5"/>
        <v>0</v>
      </c>
      <c r="O30">
        <f t="shared" si="22"/>
        <v>300</v>
      </c>
      <c r="P30">
        <f>VLOOKUP(G30,Table1[#All],3,FALSE)</f>
        <v>750957.85439999995</v>
      </c>
      <c r="Q30">
        <f t="shared" si="6"/>
        <v>0</v>
      </c>
      <c r="R30">
        <v>0</v>
      </c>
      <c r="S30">
        <f t="shared" si="7"/>
        <v>398994.22988453985</v>
      </c>
      <c r="U30">
        <v>10</v>
      </c>
      <c r="V30">
        <f t="shared" si="8"/>
        <v>398994.22988453985</v>
      </c>
      <c r="W30">
        <f t="shared" si="9"/>
        <v>7397.088258819309</v>
      </c>
      <c r="Y30">
        <v>10</v>
      </c>
      <c r="Z30">
        <f t="shared" si="10"/>
        <v>0</v>
      </c>
      <c r="AA30">
        <f t="shared" si="11"/>
        <v>-300</v>
      </c>
      <c r="AB30">
        <f t="shared" si="12"/>
        <v>-11249.02851806909</v>
      </c>
      <c r="AC30">
        <f>0</f>
        <v>0</v>
      </c>
      <c r="AD30">
        <f t="shared" si="13"/>
        <v>-18.179099999999998</v>
      </c>
      <c r="AE30">
        <f t="shared" si="14"/>
        <v>-7397.088258819309</v>
      </c>
      <c r="AF30">
        <f t="shared" si="15"/>
        <v>-18964.295876888398</v>
      </c>
      <c r="AG30">
        <f t="shared" si="16"/>
        <v>-362580.20565892436</v>
      </c>
      <c r="AH30">
        <f t="shared" si="23"/>
        <v>-381544.50153581274</v>
      </c>
      <c r="AI30">
        <f t="shared" si="17"/>
        <v>0.55525957532139369</v>
      </c>
      <c r="AJ30">
        <f t="shared" si="18"/>
        <v>-192521.27612508053</v>
      </c>
      <c r="AK30">
        <f>0</f>
        <v>0</v>
      </c>
    </row>
    <row r="31" spans="1:37" x14ac:dyDescent="0.2">
      <c r="A31">
        <f t="shared" si="19"/>
        <v>71</v>
      </c>
      <c r="B31">
        <f>VLOOKUP('Male SPWL (before)'!A31,Table21[#All],2,FALSE)</f>
        <v>1.660356985E-2</v>
      </c>
      <c r="C31">
        <f t="shared" si="0"/>
        <v>0.98339643015</v>
      </c>
      <c r="D31">
        <f t="shared" si="1"/>
        <v>0.43924740460904427</v>
      </c>
      <c r="E31">
        <f t="shared" si="2"/>
        <v>0.37757410906093891</v>
      </c>
      <c r="G31">
        <f t="shared" si="20"/>
        <v>71</v>
      </c>
      <c r="H31">
        <f t="shared" si="3"/>
        <v>1.660356985E-2</v>
      </c>
      <c r="I31">
        <f>0</f>
        <v>0</v>
      </c>
      <c r="J31">
        <f t="shared" si="4"/>
        <v>0.98339643015</v>
      </c>
      <c r="K31">
        <f t="shared" si="21"/>
        <v>0.89512299176123966</v>
      </c>
      <c r="M31">
        <v>11</v>
      </c>
      <c r="N31">
        <f t="shared" si="5"/>
        <v>0</v>
      </c>
      <c r="O31">
        <f t="shared" si="22"/>
        <v>300</v>
      </c>
      <c r="P31">
        <f>VLOOKUP(G31,Table1[#All],3,FALSE)</f>
        <v>750957.85439999995</v>
      </c>
      <c r="Q31">
        <f t="shared" si="6"/>
        <v>0</v>
      </c>
      <c r="R31">
        <v>0</v>
      </c>
      <c r="S31">
        <f t="shared" si="7"/>
        <v>409804.65034771926</v>
      </c>
      <c r="U31">
        <v>11</v>
      </c>
      <c r="V31">
        <f t="shared" si="8"/>
        <v>409804.65034771926</v>
      </c>
      <c r="W31">
        <f t="shared" si="9"/>
        <v>7384.8927321006349</v>
      </c>
      <c r="Y31">
        <v>11</v>
      </c>
      <c r="Z31">
        <f t="shared" si="10"/>
        <v>0</v>
      </c>
      <c r="AA31">
        <f t="shared" si="11"/>
        <v>-300</v>
      </c>
      <c r="AB31">
        <f t="shared" si="12"/>
        <v>-12468.581189936529</v>
      </c>
      <c r="AC31">
        <f>0</f>
        <v>0</v>
      </c>
      <c r="AD31">
        <f t="shared" si="13"/>
        <v>-18.179099999999998</v>
      </c>
      <c r="AE31">
        <f t="shared" si="14"/>
        <v>-7384.8927321006349</v>
      </c>
      <c r="AF31">
        <f t="shared" si="15"/>
        <v>-20171.653022037164</v>
      </c>
      <c r="AG31">
        <f t="shared" si="16"/>
        <v>-366825.56465691922</v>
      </c>
      <c r="AH31">
        <f t="shared" si="23"/>
        <v>-386997.2176789564</v>
      </c>
      <c r="AI31">
        <f t="shared" si="17"/>
        <v>0.52353492921570932</v>
      </c>
      <c r="AJ31">
        <f t="shared" si="18"/>
        <v>-181357.79100075655</v>
      </c>
      <c r="AK31">
        <f>0</f>
        <v>0</v>
      </c>
    </row>
    <row r="32" spans="1:37" x14ac:dyDescent="0.2">
      <c r="A32">
        <f t="shared" si="19"/>
        <v>72</v>
      </c>
      <c r="B32">
        <f>VLOOKUP('Male SPWL (before)'!A32,Table21[#All],2,FALSE)</f>
        <v>1.8518443159999998E-2</v>
      </c>
      <c r="C32">
        <f t="shared" si="0"/>
        <v>0.98148155684000005</v>
      </c>
      <c r="D32">
        <f t="shared" si="1"/>
        <v>0.45684618731797877</v>
      </c>
      <c r="E32">
        <f t="shared" si="2"/>
        <v>0.40442910133470805</v>
      </c>
      <c r="G32">
        <f t="shared" si="20"/>
        <v>72</v>
      </c>
      <c r="H32">
        <f t="shared" si="3"/>
        <v>1.8518443159999998E-2</v>
      </c>
      <c r="I32">
        <f>0</f>
        <v>0</v>
      </c>
      <c r="J32">
        <f t="shared" si="4"/>
        <v>0.98148155684000005</v>
      </c>
      <c r="K32">
        <f t="shared" si="21"/>
        <v>0.88026075464319098</v>
      </c>
      <c r="M32">
        <v>12</v>
      </c>
      <c r="N32">
        <f t="shared" si="5"/>
        <v>0</v>
      </c>
      <c r="O32">
        <f t="shared" si="22"/>
        <v>300</v>
      </c>
      <c r="P32">
        <f>VLOOKUP(G32,Table1[#All],3,FALSE)</f>
        <v>750957.85439999995</v>
      </c>
      <c r="Q32">
        <f t="shared" si="6"/>
        <v>0</v>
      </c>
      <c r="R32">
        <v>0</v>
      </c>
      <c r="S32">
        <f t="shared" si="7"/>
        <v>420835.53947956086</v>
      </c>
      <c r="U32">
        <v>12</v>
      </c>
      <c r="V32">
        <f t="shared" si="8"/>
        <v>420835.53947956086</v>
      </c>
      <c r="W32">
        <f t="shared" si="9"/>
        <v>7370.5128405773812</v>
      </c>
      <c r="Y32">
        <v>12</v>
      </c>
      <c r="Z32">
        <f t="shared" si="10"/>
        <v>0</v>
      </c>
      <c r="AA32">
        <f t="shared" si="11"/>
        <v>-300</v>
      </c>
      <c r="AB32">
        <f t="shared" si="12"/>
        <v>-13906.570342261954</v>
      </c>
      <c r="AC32">
        <f>0</f>
        <v>0</v>
      </c>
      <c r="AD32">
        <f t="shared" si="13"/>
        <v>-18.179099999999998</v>
      </c>
      <c r="AE32">
        <f t="shared" si="14"/>
        <v>-7370.5128405773812</v>
      </c>
      <c r="AF32">
        <f t="shared" si="15"/>
        <v>-21595.262282839336</v>
      </c>
      <c r="AG32">
        <f t="shared" si="16"/>
        <v>-370445.00956295262</v>
      </c>
      <c r="AH32">
        <f t="shared" si="23"/>
        <v>-392040.27184579195</v>
      </c>
      <c r="AI32">
        <f t="shared" si="17"/>
        <v>0.49362286449585413</v>
      </c>
      <c r="AJ32">
        <f t="shared" si="18"/>
        <v>-170348.09819740121</v>
      </c>
      <c r="AK32">
        <f>0</f>
        <v>0</v>
      </c>
    </row>
    <row r="33" spans="1:37" x14ac:dyDescent="0.2">
      <c r="A33">
        <f t="shared" si="19"/>
        <v>73</v>
      </c>
      <c r="B33">
        <f>VLOOKUP('Male SPWL (before)'!A33,Table21[#All],2,FALSE)</f>
        <v>2.0753584570000001E-2</v>
      </c>
      <c r="C33">
        <f t="shared" si="0"/>
        <v>0.97924641543000002</v>
      </c>
      <c r="D33">
        <f t="shared" si="1"/>
        <v>0.47480388125811201</v>
      </c>
      <c r="E33">
        <f t="shared" si="2"/>
        <v>0.43123224123352749</v>
      </c>
      <c r="G33">
        <f t="shared" si="20"/>
        <v>73</v>
      </c>
      <c r="H33">
        <f t="shared" si="3"/>
        <v>2.0753584570000001E-2</v>
      </c>
      <c r="I33">
        <f>0</f>
        <v>0</v>
      </c>
      <c r="J33">
        <f t="shared" si="4"/>
        <v>0.97924641543000002</v>
      </c>
      <c r="K33">
        <f t="shared" si="21"/>
        <v>0.86395969589235233</v>
      </c>
      <c r="M33">
        <v>13</v>
      </c>
      <c r="N33">
        <f t="shared" si="5"/>
        <v>0</v>
      </c>
      <c r="O33">
        <f t="shared" si="22"/>
        <v>300</v>
      </c>
      <c r="P33">
        <f>VLOOKUP(G33,Table1[#All],3,FALSE)</f>
        <v>750957.85439999995</v>
      </c>
      <c r="Q33">
        <f t="shared" si="6"/>
        <v>0</v>
      </c>
      <c r="R33">
        <v>0</v>
      </c>
      <c r="S33">
        <f t="shared" si="7"/>
        <v>432046.44886979309</v>
      </c>
      <c r="U33">
        <v>13</v>
      </c>
      <c r="V33">
        <f t="shared" si="8"/>
        <v>432046.44886979309</v>
      </c>
      <c r="W33">
        <f t="shared" si="9"/>
        <v>7353.7278706020388</v>
      </c>
      <c r="Y33">
        <v>13</v>
      </c>
      <c r="Z33">
        <f t="shared" si="10"/>
        <v>0</v>
      </c>
      <c r="AA33">
        <f t="shared" si="11"/>
        <v>-300</v>
      </c>
      <c r="AB33">
        <f t="shared" si="12"/>
        <v>-15585.067339796145</v>
      </c>
      <c r="AC33">
        <f>0</f>
        <v>0</v>
      </c>
      <c r="AD33">
        <f t="shared" si="13"/>
        <v>-18.179099999999998</v>
      </c>
      <c r="AE33">
        <f t="shared" si="14"/>
        <v>-7353.7278706020388</v>
      </c>
      <c r="AF33">
        <f t="shared" si="15"/>
        <v>-23256.974310398182</v>
      </c>
      <c r="AG33">
        <f t="shared" si="16"/>
        <v>-373270.71857691719</v>
      </c>
      <c r="AH33">
        <f t="shared" si="23"/>
        <v>-396527.69288731535</v>
      </c>
      <c r="AI33">
        <f t="shared" si="17"/>
        <v>0.46541981968255058</v>
      </c>
      <c r="AJ33">
        <f t="shared" si="18"/>
        <v>-159445.35788933677</v>
      </c>
      <c r="AK33">
        <f>0</f>
        <v>0</v>
      </c>
    </row>
    <row r="34" spans="1:37" x14ac:dyDescent="0.2">
      <c r="A34">
        <f t="shared" si="19"/>
        <v>74</v>
      </c>
      <c r="B34">
        <f>VLOOKUP('Male SPWL (before)'!A34,Table21[#All],2,FALSE)</f>
        <v>2.3338385010000001E-2</v>
      </c>
      <c r="C34">
        <f t="shared" si="0"/>
        <v>0.97666161499000004</v>
      </c>
      <c r="D34">
        <f t="shared" si="1"/>
        <v>0.49305463862096072</v>
      </c>
      <c r="E34">
        <f t="shared" si="2"/>
        <v>0.45766792650849281</v>
      </c>
      <c r="G34">
        <f t="shared" si="20"/>
        <v>74</v>
      </c>
      <c r="H34">
        <f t="shared" si="3"/>
        <v>2.3338385010000001E-2</v>
      </c>
      <c r="I34">
        <f>0</f>
        <v>0</v>
      </c>
      <c r="J34">
        <f t="shared" si="4"/>
        <v>0.97666161499000004</v>
      </c>
      <c r="K34">
        <f t="shared" si="21"/>
        <v>0.84602943527857888</v>
      </c>
      <c r="M34">
        <v>14</v>
      </c>
      <c r="N34">
        <f t="shared" si="5"/>
        <v>0</v>
      </c>
      <c r="O34">
        <f t="shared" si="22"/>
        <v>300</v>
      </c>
      <c r="P34">
        <f>VLOOKUP(G34,Table1[#All],3,FALSE)</f>
        <v>750957.85439999995</v>
      </c>
      <c r="Q34">
        <f t="shared" si="6"/>
        <v>0</v>
      </c>
      <c r="R34">
        <v>0</v>
      </c>
      <c r="S34">
        <f t="shared" si="7"/>
        <v>443396.69046524557</v>
      </c>
      <c r="U34">
        <v>14</v>
      </c>
      <c r="V34">
        <f t="shared" si="8"/>
        <v>443396.69046524557</v>
      </c>
      <c r="W34">
        <f t="shared" si="9"/>
        <v>7334.3171086772927</v>
      </c>
      <c r="Y34">
        <v>14</v>
      </c>
      <c r="Z34">
        <f t="shared" si="10"/>
        <v>0</v>
      </c>
      <c r="AA34">
        <f t="shared" si="11"/>
        <v>-300</v>
      </c>
      <c r="AB34">
        <f t="shared" si="12"/>
        <v>-17526.143532270722</v>
      </c>
      <c r="AC34">
        <f>0</f>
        <v>0</v>
      </c>
      <c r="AD34">
        <f t="shared" si="13"/>
        <v>-18.179099999999998</v>
      </c>
      <c r="AE34">
        <f t="shared" si="14"/>
        <v>-7334.3171086772927</v>
      </c>
      <c r="AF34">
        <f t="shared" si="15"/>
        <v>-25178.639740948016</v>
      </c>
      <c r="AG34">
        <f t="shared" si="16"/>
        <v>-375126.65163870255</v>
      </c>
      <c r="AH34">
        <f t="shared" si="23"/>
        <v>-400305.29137965059</v>
      </c>
      <c r="AI34">
        <f t="shared" si="17"/>
        <v>0.43882815026117428</v>
      </c>
      <c r="AJ34">
        <f t="shared" si="18"/>
        <v>-148617.95580528304</v>
      </c>
      <c r="AK34">
        <f>0</f>
        <v>0</v>
      </c>
    </row>
    <row r="35" spans="1:37" x14ac:dyDescent="0.2">
      <c r="A35">
        <f t="shared" si="19"/>
        <v>75</v>
      </c>
      <c r="B35">
        <f>VLOOKUP('Male SPWL (before)'!A35,Table21[#All],2,FALSE)</f>
        <v>2.6302235399999999E-2</v>
      </c>
      <c r="C35">
        <f t="shared" si="0"/>
        <v>0.97369776460000002</v>
      </c>
      <c r="D35">
        <f t="shared" si="1"/>
        <v>0.51153222147733368</v>
      </c>
      <c r="E35">
        <f t="shared" si="2"/>
        <v>0.48347095151148506</v>
      </c>
      <c r="G35">
        <f t="shared" si="20"/>
        <v>75</v>
      </c>
      <c r="H35">
        <f t="shared" si="3"/>
        <v>2.6302235399999999E-2</v>
      </c>
      <c r="I35">
        <f>0</f>
        <v>0</v>
      </c>
      <c r="J35">
        <f t="shared" si="4"/>
        <v>0.97369776460000002</v>
      </c>
      <c r="K35">
        <f t="shared" si="21"/>
        <v>0.8262844745882546</v>
      </c>
      <c r="M35">
        <v>15</v>
      </c>
      <c r="N35">
        <f t="shared" si="5"/>
        <v>0</v>
      </c>
      <c r="O35">
        <f t="shared" si="22"/>
        <v>300</v>
      </c>
      <c r="P35">
        <f>VLOOKUP(G35,Table1[#All],3,FALSE)</f>
        <v>750957.85439999995</v>
      </c>
      <c r="Q35">
        <f t="shared" si="6"/>
        <v>0</v>
      </c>
      <c r="R35">
        <v>0</v>
      </c>
      <c r="S35">
        <f t="shared" si="7"/>
        <v>454846.57212499413</v>
      </c>
      <c r="U35">
        <v>15</v>
      </c>
      <c r="V35">
        <f t="shared" si="8"/>
        <v>454846.57212499413</v>
      </c>
      <c r="W35">
        <f t="shared" si="9"/>
        <v>7312.059841380923</v>
      </c>
      <c r="Y35">
        <v>15</v>
      </c>
      <c r="Z35">
        <f t="shared" si="10"/>
        <v>0</v>
      </c>
      <c r="AA35">
        <f t="shared" si="11"/>
        <v>-300</v>
      </c>
      <c r="AB35">
        <f t="shared" si="12"/>
        <v>-19751.870261907723</v>
      </c>
      <c r="AC35">
        <f>0</f>
        <v>0</v>
      </c>
      <c r="AD35">
        <f t="shared" si="13"/>
        <v>-18.179099999999998</v>
      </c>
      <c r="AE35">
        <f t="shared" si="14"/>
        <v>-7312.059841380923</v>
      </c>
      <c r="AF35">
        <f t="shared" si="15"/>
        <v>-27382.109203288648</v>
      </c>
      <c r="AG35">
        <f t="shared" si="16"/>
        <v>-375832.66086656944</v>
      </c>
      <c r="AH35">
        <f t="shared" si="23"/>
        <v>-403214.77006985806</v>
      </c>
      <c r="AI35">
        <f t="shared" si="17"/>
        <v>0.41375579061714701</v>
      </c>
      <c r="AJ35">
        <f t="shared" si="18"/>
        <v>-137851.05996983743</v>
      </c>
      <c r="AK35">
        <f>0</f>
        <v>0</v>
      </c>
    </row>
    <row r="36" spans="1:37" x14ac:dyDescent="0.2">
      <c r="A36">
        <f t="shared" si="19"/>
        <v>76</v>
      </c>
      <c r="B36">
        <f>VLOOKUP('Male SPWL (before)'!A36,Table21[#All],2,FALSE)</f>
        <v>2.967452668E-2</v>
      </c>
      <c r="C36">
        <f t="shared" si="0"/>
        <v>0.97032547331999996</v>
      </c>
      <c r="D36">
        <f t="shared" si="1"/>
        <v>0.53017201319576246</v>
      </c>
      <c r="E36">
        <f t="shared" si="2"/>
        <v>0.50847944831786729</v>
      </c>
      <c r="G36">
        <f t="shared" si="20"/>
        <v>76</v>
      </c>
      <c r="H36">
        <f t="shared" si="3"/>
        <v>2.967452668E-2</v>
      </c>
      <c r="I36">
        <f>0</f>
        <v>0</v>
      </c>
      <c r="J36">
        <f t="shared" si="4"/>
        <v>0.97032547331999996</v>
      </c>
      <c r="K36">
        <f t="shared" si="21"/>
        <v>0.80455134583026899</v>
      </c>
      <c r="M36">
        <v>16</v>
      </c>
      <c r="N36">
        <f t="shared" si="5"/>
        <v>0</v>
      </c>
      <c r="O36">
        <f t="shared" si="22"/>
        <v>300</v>
      </c>
      <c r="P36">
        <f>VLOOKUP(G36,Table1[#All],3,FALSE)</f>
        <v>750957.85439999995</v>
      </c>
      <c r="Q36">
        <f t="shared" si="6"/>
        <v>0</v>
      </c>
      <c r="R36">
        <v>0</v>
      </c>
      <c r="S36">
        <f t="shared" si="7"/>
        <v>466358.6486775956</v>
      </c>
      <c r="U36">
        <v>16</v>
      </c>
      <c r="V36">
        <f t="shared" si="8"/>
        <v>466358.6486775956</v>
      </c>
      <c r="W36">
        <f t="shared" si="9"/>
        <v>7286.7353551405158</v>
      </c>
      <c r="Y36">
        <v>16</v>
      </c>
      <c r="Z36">
        <f t="shared" si="10"/>
        <v>0</v>
      </c>
      <c r="AA36">
        <f t="shared" si="11"/>
        <v>-300</v>
      </c>
      <c r="AB36">
        <f t="shared" si="12"/>
        <v>-22284.318885948353</v>
      </c>
      <c r="AC36">
        <f>0</f>
        <v>0</v>
      </c>
      <c r="AD36">
        <f t="shared" si="13"/>
        <v>-18.179099999999998</v>
      </c>
      <c r="AE36">
        <f t="shared" si="14"/>
        <v>-7286.7353551405158</v>
      </c>
      <c r="AF36">
        <f t="shared" si="15"/>
        <v>-29889.233341088868</v>
      </c>
      <c r="AG36">
        <f t="shared" si="16"/>
        <v>-375209.47843314515</v>
      </c>
      <c r="AH36">
        <f t="shared" si="23"/>
        <v>-405098.71177423402</v>
      </c>
      <c r="AI36">
        <f t="shared" si="17"/>
        <v>0.39011593528658578</v>
      </c>
      <c r="AJ36">
        <f t="shared" si="18"/>
        <v>-127147.64430653026</v>
      </c>
      <c r="AK36">
        <f>0</f>
        <v>0</v>
      </c>
    </row>
    <row r="37" spans="1:37" x14ac:dyDescent="0.2">
      <c r="A37">
        <f t="shared" si="19"/>
        <v>77</v>
      </c>
      <c r="B37">
        <f>VLOOKUP('Male SPWL (before)'!A37,Table21[#All],2,FALSE)</f>
        <v>3.3484649790000001E-2</v>
      </c>
      <c r="C37">
        <f t="shared" si="0"/>
        <v>0.96651535021000001</v>
      </c>
      <c r="D37">
        <f t="shared" si="1"/>
        <v>0.54891305509788857</v>
      </c>
      <c r="E37">
        <f t="shared" si="2"/>
        <v>0.53257932768481864</v>
      </c>
      <c r="G37">
        <f t="shared" si="20"/>
        <v>77</v>
      </c>
      <c r="H37">
        <f t="shared" si="3"/>
        <v>3.3484649790000001E-2</v>
      </c>
      <c r="I37">
        <f>0</f>
        <v>0</v>
      </c>
      <c r="J37">
        <f t="shared" si="4"/>
        <v>0.96651535021000001</v>
      </c>
      <c r="K37">
        <f t="shared" si="21"/>
        <v>0.78067666545299874</v>
      </c>
      <c r="M37">
        <v>17</v>
      </c>
      <c r="N37">
        <f t="shared" si="5"/>
        <v>0</v>
      </c>
      <c r="O37">
        <f t="shared" si="22"/>
        <v>300</v>
      </c>
      <c r="P37">
        <f>VLOOKUP(G37,Table1[#All],3,FALSE)</f>
        <v>750957.85439999995</v>
      </c>
      <c r="Q37">
        <f t="shared" si="6"/>
        <v>0</v>
      </c>
      <c r="R37">
        <v>0</v>
      </c>
      <c r="S37">
        <f t="shared" si="7"/>
        <v>477899.00161765213</v>
      </c>
      <c r="U37">
        <v>17</v>
      </c>
      <c r="V37">
        <f t="shared" si="8"/>
        <v>477899.00161765213</v>
      </c>
      <c r="W37">
        <f t="shared" si="9"/>
        <v>7258.1229363836619</v>
      </c>
      <c r="Y37">
        <v>17</v>
      </c>
      <c r="Z37">
        <f t="shared" si="10"/>
        <v>0</v>
      </c>
      <c r="AA37">
        <f t="shared" si="11"/>
        <v>-300</v>
      </c>
      <c r="AB37">
        <f t="shared" si="12"/>
        <v>-25145.560761633809</v>
      </c>
      <c r="AC37">
        <f>0</f>
        <v>0</v>
      </c>
      <c r="AD37">
        <f t="shared" si="13"/>
        <v>-18.179099999999998</v>
      </c>
      <c r="AE37">
        <f t="shared" si="14"/>
        <v>-7258.1229363836619</v>
      </c>
      <c r="AF37">
        <f t="shared" si="15"/>
        <v>-32721.862798017472</v>
      </c>
      <c r="AG37">
        <f t="shared" si="16"/>
        <v>-373084.59900618589</v>
      </c>
      <c r="AH37">
        <f t="shared" si="23"/>
        <v>-405806.46180420334</v>
      </c>
      <c r="AI37">
        <f t="shared" si="17"/>
        <v>0.36782673841863195</v>
      </c>
      <c r="AJ37">
        <f t="shared" si="18"/>
        <v>-116528.84793591921</v>
      </c>
      <c r="AK37">
        <f>0</f>
        <v>0</v>
      </c>
    </row>
    <row r="38" spans="1:37" x14ac:dyDescent="0.2">
      <c r="A38">
        <f t="shared" si="19"/>
        <v>78</v>
      </c>
      <c r="B38">
        <f>VLOOKUP('Male SPWL (before)'!A38,Table21[#All],2,FALSE)</f>
        <v>3.7761995659999999E-2</v>
      </c>
      <c r="C38">
        <f t="shared" si="0"/>
        <v>0.96223800433999995</v>
      </c>
      <c r="D38">
        <f t="shared" si="1"/>
        <v>0.56770012973765838</v>
      </c>
      <c r="E38">
        <f t="shared" si="2"/>
        <v>0.5557410633505433</v>
      </c>
      <c r="G38">
        <f t="shared" si="20"/>
        <v>78</v>
      </c>
      <c r="H38">
        <f t="shared" si="3"/>
        <v>3.7761995659999999E-2</v>
      </c>
      <c r="I38">
        <f>0</f>
        <v>0</v>
      </c>
      <c r="J38">
        <f t="shared" si="4"/>
        <v>0.96223800433999995</v>
      </c>
      <c r="K38">
        <f t="shared" si="21"/>
        <v>0.75453598071108008</v>
      </c>
      <c r="M38">
        <v>18</v>
      </c>
      <c r="N38">
        <f t="shared" si="5"/>
        <v>0</v>
      </c>
      <c r="O38">
        <f t="shared" si="22"/>
        <v>300</v>
      </c>
      <c r="P38">
        <f>VLOOKUP(G38,Table1[#All],3,FALSE)</f>
        <v>750957.85439999995</v>
      </c>
      <c r="Q38">
        <f t="shared" si="6"/>
        <v>0</v>
      </c>
      <c r="R38">
        <v>0</v>
      </c>
      <c r="S38">
        <f t="shared" si="7"/>
        <v>489438.57661431457</v>
      </c>
      <c r="U38">
        <v>18</v>
      </c>
      <c r="V38">
        <f t="shared" si="8"/>
        <v>489438.57661431457</v>
      </c>
      <c r="W38">
        <f t="shared" si="9"/>
        <v>7226.0018716130426</v>
      </c>
      <c r="Y38">
        <v>18</v>
      </c>
      <c r="Z38">
        <f t="shared" si="10"/>
        <v>0</v>
      </c>
      <c r="AA38">
        <f t="shared" si="11"/>
        <v>-300</v>
      </c>
      <c r="AB38">
        <f t="shared" si="12"/>
        <v>-28357.667238695711</v>
      </c>
      <c r="AC38">
        <f>0</f>
        <v>0</v>
      </c>
      <c r="AD38">
        <f t="shared" si="13"/>
        <v>-18.179099999999998</v>
      </c>
      <c r="AE38">
        <f t="shared" si="14"/>
        <v>-7226.0018716130426</v>
      </c>
      <c r="AF38">
        <f t="shared" si="15"/>
        <v>-35901.848210308752</v>
      </c>
      <c r="AG38">
        <f t="shared" si="16"/>
        <v>-369299.01640351693</v>
      </c>
      <c r="AH38">
        <f t="shared" si="23"/>
        <v>-405200.86461382569</v>
      </c>
      <c r="AI38">
        <f t="shared" si="17"/>
        <v>0.34681103040894135</v>
      </c>
      <c r="AJ38">
        <f t="shared" si="18"/>
        <v>-106033.52991871486</v>
      </c>
      <c r="AK38">
        <f>0</f>
        <v>0</v>
      </c>
    </row>
    <row r="39" spans="1:37" x14ac:dyDescent="0.2">
      <c r="A39">
        <f t="shared" si="19"/>
        <v>79</v>
      </c>
      <c r="B39">
        <f>VLOOKUP('Male SPWL (before)'!A39,Table21[#All],2,FALSE)</f>
        <v>4.2535955219999998E-2</v>
      </c>
      <c r="C39">
        <f t="shared" si="0"/>
        <v>0.95746404478000002</v>
      </c>
      <c r="D39">
        <f t="shared" si="1"/>
        <v>0.58648593829595408</v>
      </c>
      <c r="E39">
        <f t="shared" si="2"/>
        <v>0.57798981086587253</v>
      </c>
      <c r="G39">
        <f t="shared" si="20"/>
        <v>79</v>
      </c>
      <c r="H39">
        <f t="shared" si="3"/>
        <v>4.2535955219999998E-2</v>
      </c>
      <c r="I39">
        <f>0</f>
        <v>0</v>
      </c>
      <c r="J39">
        <f t="shared" si="4"/>
        <v>0.95746404478000002</v>
      </c>
      <c r="K39">
        <f t="shared" si="21"/>
        <v>0.72604319628215441</v>
      </c>
      <c r="M39">
        <v>19</v>
      </c>
      <c r="N39">
        <f t="shared" si="5"/>
        <v>0</v>
      </c>
      <c r="O39">
        <f t="shared" si="22"/>
        <v>300</v>
      </c>
      <c r="P39">
        <f>VLOOKUP(G39,Table1[#All],3,FALSE)</f>
        <v>750957.85439999995</v>
      </c>
      <c r="Q39">
        <f t="shared" si="6"/>
        <v>0</v>
      </c>
      <c r="R39">
        <v>0</v>
      </c>
      <c r="S39">
        <f t="shared" si="7"/>
        <v>500954.62951553985</v>
      </c>
      <c r="U39">
        <v>19</v>
      </c>
      <c r="V39">
        <f t="shared" si="8"/>
        <v>500954.62951553985</v>
      </c>
      <c r="W39">
        <f t="shared" si="9"/>
        <v>7190.1514473313437</v>
      </c>
      <c r="Y39">
        <v>19</v>
      </c>
      <c r="Z39">
        <f t="shared" si="10"/>
        <v>0</v>
      </c>
      <c r="AA39">
        <f t="shared" si="11"/>
        <v>-300</v>
      </c>
      <c r="AB39">
        <f t="shared" si="12"/>
        <v>-31942.709666865678</v>
      </c>
      <c r="AC39">
        <f>0</f>
        <v>0</v>
      </c>
      <c r="AD39">
        <f t="shared" si="13"/>
        <v>-18.179099999999998</v>
      </c>
      <c r="AE39">
        <f t="shared" si="14"/>
        <v>-7190.1514473313437</v>
      </c>
      <c r="AF39">
        <f t="shared" si="15"/>
        <v>-39451.040214197026</v>
      </c>
      <c r="AG39">
        <f t="shared" si="16"/>
        <v>-363714.70040580502</v>
      </c>
      <c r="AH39">
        <f t="shared" si="23"/>
        <v>-403165.74062000203</v>
      </c>
      <c r="AI39">
        <f t="shared" si="17"/>
        <v>0.32699605072326376</v>
      </c>
      <c r="AJ39">
        <f t="shared" si="18"/>
        <v>-95716.891929571138</v>
      </c>
      <c r="AK39">
        <f>0</f>
        <v>0</v>
      </c>
    </row>
    <row r="40" spans="1:37" x14ac:dyDescent="0.2">
      <c r="A40">
        <f t="shared" si="19"/>
        <v>80</v>
      </c>
      <c r="B40">
        <f>VLOOKUP('Male SPWL (before)'!A40,Table21[#All],2,FALSE)</f>
        <v>4.7835919400000003E-2</v>
      </c>
      <c r="C40">
        <f t="shared" si="0"/>
        <v>0.95216408060000002</v>
      </c>
      <c r="D40">
        <f t="shared" si="1"/>
        <v>0.60523345460144695</v>
      </c>
      <c r="E40">
        <f t="shared" si="2"/>
        <v>0.59938339404180607</v>
      </c>
      <c r="G40">
        <f t="shared" si="20"/>
        <v>80</v>
      </c>
      <c r="H40">
        <f t="shared" si="3"/>
        <v>4.7835919400000003E-2</v>
      </c>
      <c r="I40">
        <f>0</f>
        <v>0</v>
      </c>
      <c r="J40">
        <f t="shared" si="4"/>
        <v>0.95216408060000002</v>
      </c>
      <c r="K40">
        <f t="shared" si="21"/>
        <v>0.69516025539731108</v>
      </c>
      <c r="M40">
        <v>20</v>
      </c>
      <c r="N40">
        <f t="shared" si="5"/>
        <v>0</v>
      </c>
      <c r="O40">
        <f t="shared" si="22"/>
        <v>300</v>
      </c>
      <c r="P40">
        <f>VLOOKUP(G40,Table1[#All],3,FALSE)</f>
        <v>750957.85439999995</v>
      </c>
      <c r="Q40">
        <f t="shared" si="6"/>
        <v>0</v>
      </c>
      <c r="R40">
        <v>0</v>
      </c>
      <c r="S40">
        <f t="shared" si="7"/>
        <v>512432.36086675001</v>
      </c>
      <c r="U40">
        <v>20</v>
      </c>
      <c r="V40">
        <f t="shared" si="8"/>
        <v>512432.36086675001</v>
      </c>
      <c r="W40">
        <f t="shared" si="9"/>
        <v>7150.3509500412465</v>
      </c>
      <c r="Y40">
        <v>20</v>
      </c>
      <c r="Z40">
        <f t="shared" si="10"/>
        <v>0</v>
      </c>
      <c r="AA40">
        <f t="shared" si="11"/>
        <v>-300</v>
      </c>
      <c r="AB40">
        <f t="shared" si="12"/>
        <v>-35922.759395875335</v>
      </c>
      <c r="AC40">
        <f>0</f>
        <v>0</v>
      </c>
      <c r="AD40">
        <f t="shared" si="13"/>
        <v>-18.179099999999998</v>
      </c>
      <c r="AE40">
        <f t="shared" si="14"/>
        <v>-7150.3509500412465</v>
      </c>
      <c r="AF40">
        <f t="shared" si="15"/>
        <v>-43391.289445916584</v>
      </c>
      <c r="AG40">
        <f t="shared" si="16"/>
        <v>-356222.61085397704</v>
      </c>
      <c r="AH40">
        <f t="shared" si="23"/>
        <v>-399613.90029989363</v>
      </c>
      <c r="AI40">
        <f t="shared" si="17"/>
        <v>0.30831319598609441</v>
      </c>
      <c r="AJ40">
        <f t="shared" si="18"/>
        <v>-85648.080404284439</v>
      </c>
      <c r="AK40">
        <f>0</f>
        <v>0</v>
      </c>
    </row>
    <row r="41" spans="1:37" x14ac:dyDescent="0.2">
      <c r="A41">
        <f t="shared" si="19"/>
        <v>81</v>
      </c>
      <c r="B41">
        <f>VLOOKUP('Male SPWL (before)'!A41,Table21[#All],2,FALSE)</f>
        <v>5.3568336670000001E-2</v>
      </c>
      <c r="C41">
        <f t="shared" si="0"/>
        <v>0.94643166332999995</v>
      </c>
      <c r="D41">
        <f t="shared" si="1"/>
        <v>0.62391858604409833</v>
      </c>
      <c r="E41">
        <f t="shared" si="2"/>
        <v>0.62002297125495809</v>
      </c>
      <c r="G41">
        <f t="shared" si="20"/>
        <v>81</v>
      </c>
      <c r="H41">
        <f t="shared" si="3"/>
        <v>5.3568336670000001E-2</v>
      </c>
      <c r="I41">
        <f>0</f>
        <v>0</v>
      </c>
      <c r="J41">
        <f t="shared" si="4"/>
        <v>0.94643166332999995</v>
      </c>
      <c r="K41">
        <f t="shared" si="21"/>
        <v>0.66190662545004186</v>
      </c>
      <c r="M41">
        <v>21</v>
      </c>
      <c r="N41">
        <f t="shared" si="5"/>
        <v>0</v>
      </c>
      <c r="O41">
        <f t="shared" si="22"/>
        <v>300</v>
      </c>
      <c r="P41">
        <f>VLOOKUP(G41,Table1[#All],3,FALSE)</f>
        <v>750957.85439999995</v>
      </c>
      <c r="Q41">
        <f t="shared" si="6"/>
        <v>0</v>
      </c>
      <c r="R41">
        <v>0</v>
      </c>
      <c r="S41">
        <f t="shared" si="7"/>
        <v>523895.38375315513</v>
      </c>
      <c r="U41">
        <v>21</v>
      </c>
      <c r="V41">
        <f t="shared" si="8"/>
        <v>523895.38375315513</v>
      </c>
      <c r="W41">
        <f t="shared" si="9"/>
        <v>7107.3029123051992</v>
      </c>
      <c r="Y41">
        <v>21</v>
      </c>
      <c r="Z41">
        <f t="shared" si="10"/>
        <v>0</v>
      </c>
      <c r="AA41">
        <f t="shared" si="11"/>
        <v>-300</v>
      </c>
      <c r="AB41">
        <f t="shared" si="12"/>
        <v>-40227.56316948004</v>
      </c>
      <c r="AC41">
        <f>0</f>
        <v>0</v>
      </c>
      <c r="AD41">
        <f t="shared" si="13"/>
        <v>-18.179099999999998</v>
      </c>
      <c r="AE41">
        <f t="shared" si="14"/>
        <v>-7107.3029123051992</v>
      </c>
      <c r="AF41">
        <f t="shared" si="15"/>
        <v>-47653.045181785237</v>
      </c>
      <c r="AG41">
        <f t="shared" si="16"/>
        <v>-346769.82554890559</v>
      </c>
      <c r="AH41">
        <f t="shared" si="23"/>
        <v>-394422.87073069083</v>
      </c>
      <c r="AI41">
        <f t="shared" si="17"/>
        <v>0.29069778246223066</v>
      </c>
      <c r="AJ41">
        <f t="shared" si="18"/>
        <v>-75892.793138950234</v>
      </c>
      <c r="AK41">
        <f>0</f>
        <v>0</v>
      </c>
    </row>
    <row r="42" spans="1:37" x14ac:dyDescent="0.2">
      <c r="A42">
        <f t="shared" si="19"/>
        <v>82</v>
      </c>
      <c r="B42">
        <f>VLOOKUP('Male SPWL (before)'!A42,Table21[#All],2,FALSE)</f>
        <v>6.033430142E-2</v>
      </c>
      <c r="C42">
        <f t="shared" si="0"/>
        <v>0.93966569858000004</v>
      </c>
      <c r="D42">
        <f t="shared" si="1"/>
        <v>0.64257977358113938</v>
      </c>
      <c r="E42">
        <f t="shared" si="2"/>
        <v>0.64007412951656806</v>
      </c>
      <c r="G42">
        <f t="shared" si="20"/>
        <v>82</v>
      </c>
      <c r="H42">
        <f t="shared" si="3"/>
        <v>6.033430142E-2</v>
      </c>
      <c r="I42">
        <f>0</f>
        <v>0</v>
      </c>
      <c r="J42">
        <f t="shared" si="4"/>
        <v>0.93966569858000004</v>
      </c>
      <c r="K42">
        <f t="shared" si="21"/>
        <v>0.62644938849383036</v>
      </c>
      <c r="M42">
        <v>22</v>
      </c>
      <c r="N42">
        <f t="shared" si="5"/>
        <v>0</v>
      </c>
      <c r="O42">
        <f t="shared" si="22"/>
        <v>300</v>
      </c>
      <c r="P42">
        <f>VLOOKUP(G42,Table1[#All],3,FALSE)</f>
        <v>750957.85439999995</v>
      </c>
      <c r="Q42">
        <f t="shared" si="6"/>
        <v>0</v>
      </c>
      <c r="R42">
        <v>0</v>
      </c>
      <c r="S42">
        <f t="shared" si="7"/>
        <v>535252.78519033815</v>
      </c>
      <c r="U42">
        <v>22</v>
      </c>
      <c r="V42">
        <f t="shared" si="8"/>
        <v>535252.78519033815</v>
      </c>
      <c r="W42">
        <f t="shared" si="9"/>
        <v>7056.4933685891392</v>
      </c>
      <c r="Y42">
        <v>22</v>
      </c>
      <c r="Z42">
        <f t="shared" si="10"/>
        <v>0</v>
      </c>
      <c r="AA42">
        <f t="shared" si="11"/>
        <v>-300</v>
      </c>
      <c r="AB42">
        <f t="shared" si="12"/>
        <v>-45308.517541086068</v>
      </c>
      <c r="AC42">
        <f>0</f>
        <v>0</v>
      </c>
      <c r="AD42">
        <f t="shared" si="13"/>
        <v>-18.179099999999998</v>
      </c>
      <c r="AE42">
        <f t="shared" si="14"/>
        <v>-7056.4933685891392</v>
      </c>
      <c r="AF42">
        <f t="shared" si="15"/>
        <v>-52683.190009675207</v>
      </c>
      <c r="AG42">
        <f t="shared" si="16"/>
        <v>-335308.77997210686</v>
      </c>
      <c r="AH42">
        <f t="shared" si="23"/>
        <v>-387991.96998178208</v>
      </c>
      <c r="AI42">
        <f t="shared" si="17"/>
        <v>0.27408882210889779</v>
      </c>
      <c r="AJ42">
        <f t="shared" si="18"/>
        <v>-66619.2979247966</v>
      </c>
      <c r="AK42">
        <f>0</f>
        <v>0</v>
      </c>
    </row>
    <row r="43" spans="1:37" x14ac:dyDescent="0.2">
      <c r="A43">
        <f t="shared" si="19"/>
        <v>83</v>
      </c>
      <c r="B43">
        <f>VLOOKUP('Male SPWL (before)'!A43,Table21[#All],2,FALSE)</f>
        <v>6.8312572380000006E-2</v>
      </c>
      <c r="C43">
        <f t="shared" si="0"/>
        <v>0.93168742762000001</v>
      </c>
      <c r="D43">
        <f t="shared" si="1"/>
        <v>0.66106901596977907</v>
      </c>
      <c r="E43">
        <f t="shared" si="2"/>
        <v>0.65951192159702032</v>
      </c>
      <c r="G43">
        <f t="shared" si="20"/>
        <v>83</v>
      </c>
      <c r="H43">
        <f t="shared" si="3"/>
        <v>6.8312572380000006E-2</v>
      </c>
      <c r="I43">
        <f>0</f>
        <v>0</v>
      </c>
      <c r="J43">
        <f t="shared" si="4"/>
        <v>0.93168742762000001</v>
      </c>
      <c r="K43">
        <f t="shared" si="21"/>
        <v>0.58865300226406891</v>
      </c>
      <c r="M43">
        <v>23</v>
      </c>
      <c r="N43">
        <f t="shared" si="5"/>
        <v>0</v>
      </c>
      <c r="O43">
        <f t="shared" si="22"/>
        <v>300</v>
      </c>
      <c r="P43">
        <f>VLOOKUP(G43,Table1[#All],3,FALSE)</f>
        <v>750957.85439999995</v>
      </c>
      <c r="Q43">
        <f t="shared" si="6"/>
        <v>0</v>
      </c>
      <c r="R43">
        <v>0</v>
      </c>
      <c r="S43">
        <f t="shared" si="7"/>
        <v>546398.78281469026</v>
      </c>
      <c r="U43">
        <v>23</v>
      </c>
      <c r="V43">
        <f t="shared" si="8"/>
        <v>546398.78281469026</v>
      </c>
      <c r="W43">
        <f t="shared" si="9"/>
        <v>6996.579916169705</v>
      </c>
      <c r="Y43">
        <v>23</v>
      </c>
      <c r="Z43">
        <f t="shared" si="10"/>
        <v>0</v>
      </c>
      <c r="AA43">
        <f t="shared" si="11"/>
        <v>-300</v>
      </c>
      <c r="AB43">
        <f t="shared" si="12"/>
        <v>-51299.862783029501</v>
      </c>
      <c r="AC43">
        <f>0</f>
        <v>0</v>
      </c>
      <c r="AD43">
        <f t="shared" si="13"/>
        <v>-18.179099999999998</v>
      </c>
      <c r="AE43">
        <f t="shared" si="14"/>
        <v>-6996.579916169705</v>
      </c>
      <c r="AF43">
        <f t="shared" si="15"/>
        <v>-58614.621799199209</v>
      </c>
      <c r="AG43">
        <f t="shared" si="16"/>
        <v>-321639.28393730038</v>
      </c>
      <c r="AH43">
        <f t="shared" si="23"/>
        <v>-380253.90573649958</v>
      </c>
      <c r="AI43">
        <f t="shared" si="17"/>
        <v>0.25842881142309265</v>
      </c>
      <c r="AJ43">
        <f t="shared" si="18"/>
        <v>-57846.085755667213</v>
      </c>
      <c r="AK43">
        <f>0</f>
        <v>0</v>
      </c>
    </row>
    <row r="44" spans="1:37" x14ac:dyDescent="0.2">
      <c r="A44">
        <f t="shared" si="19"/>
        <v>84</v>
      </c>
      <c r="B44">
        <f>VLOOKUP('Male SPWL (before)'!A44,Table21[#All],2,FALSE)</f>
        <v>7.7718919250000004E-2</v>
      </c>
      <c r="C44">
        <f t="shared" si="0"/>
        <v>0.92228108075000004</v>
      </c>
      <c r="D44">
        <f t="shared" si="1"/>
        <v>0.67921410549354444</v>
      </c>
      <c r="E44">
        <f t="shared" si="2"/>
        <v>0.67828037409500319</v>
      </c>
      <c r="G44">
        <f t="shared" si="20"/>
        <v>84</v>
      </c>
      <c r="H44">
        <f t="shared" si="3"/>
        <v>7.7718919250000004E-2</v>
      </c>
      <c r="I44">
        <f>0</f>
        <v>0</v>
      </c>
      <c r="J44">
        <f t="shared" si="4"/>
        <v>0.92228108075000004</v>
      </c>
      <c r="K44">
        <f t="shared" si="21"/>
        <v>0.54844060144020046</v>
      </c>
      <c r="M44">
        <v>24</v>
      </c>
      <c r="N44">
        <f t="shared" si="5"/>
        <v>0</v>
      </c>
      <c r="O44">
        <f t="shared" si="22"/>
        <v>300</v>
      </c>
      <c r="P44">
        <f>VLOOKUP(G44,Table1[#All],3,FALSE)</f>
        <v>750957.85439999995</v>
      </c>
      <c r="Q44">
        <f t="shared" si="6"/>
        <v>0</v>
      </c>
      <c r="R44">
        <v>0</v>
      </c>
      <c r="S44">
        <f t="shared" si="7"/>
        <v>557206.65469707211</v>
      </c>
      <c r="U44">
        <v>24</v>
      </c>
      <c r="V44">
        <f t="shared" si="8"/>
        <v>557206.65469707211</v>
      </c>
      <c r="W44">
        <f t="shared" si="9"/>
        <v>6925.9422155373313</v>
      </c>
      <c r="Y44">
        <v>24</v>
      </c>
      <c r="Z44">
        <f t="shared" si="10"/>
        <v>0</v>
      </c>
      <c r="AA44">
        <f t="shared" si="11"/>
        <v>-300</v>
      </c>
      <c r="AB44">
        <f t="shared" si="12"/>
        <v>-58363.632846266853</v>
      </c>
      <c r="AC44">
        <f>0</f>
        <v>0</v>
      </c>
      <c r="AD44">
        <f t="shared" si="13"/>
        <v>-18.179099999999998</v>
      </c>
      <c r="AE44">
        <f t="shared" si="14"/>
        <v>-6925.9422155373313</v>
      </c>
      <c r="AF44">
        <f t="shared" si="15"/>
        <v>-65607.754161804187</v>
      </c>
      <c r="AG44">
        <f t="shared" si="16"/>
        <v>-305594.75282854435</v>
      </c>
      <c r="AH44">
        <f t="shared" si="23"/>
        <v>-371202.50699034857</v>
      </c>
      <c r="AI44">
        <f t="shared" si="17"/>
        <v>0.24366353235309232</v>
      </c>
      <c r="AJ44">
        <f t="shared" si="18"/>
        <v>-49605.637456796234</v>
      </c>
      <c r="AK44">
        <f>0</f>
        <v>0</v>
      </c>
    </row>
    <row r="45" spans="1:37" x14ac:dyDescent="0.2">
      <c r="A45">
        <f t="shared" si="19"/>
        <v>85</v>
      </c>
      <c r="B45">
        <f>VLOOKUP('Male SPWL (before)'!A45,Table21[#All],2,FALSE)</f>
        <v>8.8335138780000003E-2</v>
      </c>
      <c r="C45">
        <f t="shared" si="0"/>
        <v>0.91166486122000001</v>
      </c>
      <c r="D45">
        <f t="shared" si="1"/>
        <v>0.69680874606202503</v>
      </c>
      <c r="E45">
        <f t="shared" si="2"/>
        <v>0.69626907880340383</v>
      </c>
      <c r="G45">
        <f t="shared" si="20"/>
        <v>85</v>
      </c>
      <c r="H45">
        <f t="shared" si="3"/>
        <v>8.8335138780000003E-2</v>
      </c>
      <c r="I45">
        <f>0</f>
        <v>0</v>
      </c>
      <c r="J45">
        <f t="shared" si="4"/>
        <v>0.91166486122000001</v>
      </c>
      <c r="K45">
        <f t="shared" si="21"/>
        <v>0.50581639062344808</v>
      </c>
      <c r="M45">
        <v>25</v>
      </c>
      <c r="N45">
        <f t="shared" si="5"/>
        <v>0</v>
      </c>
      <c r="O45">
        <f t="shared" si="22"/>
        <v>300</v>
      </c>
      <c r="P45">
        <f>VLOOKUP(G45,Table1[#All],3,FALSE)</f>
        <v>750957.85439999995</v>
      </c>
      <c r="Q45">
        <f t="shared" si="6"/>
        <v>0</v>
      </c>
      <c r="R45">
        <v>0</v>
      </c>
      <c r="S45">
        <f t="shared" si="7"/>
        <v>567611.37134513794</v>
      </c>
      <c r="U45">
        <v>25</v>
      </c>
      <c r="V45">
        <f t="shared" si="8"/>
        <v>567611.37134513794</v>
      </c>
      <c r="W45">
        <f t="shared" si="9"/>
        <v>6846.2188811364495</v>
      </c>
      <c r="Y45">
        <v>25</v>
      </c>
      <c r="Z45">
        <f t="shared" si="10"/>
        <v>0</v>
      </c>
      <c r="AA45">
        <f t="shared" si="11"/>
        <v>-300</v>
      </c>
      <c r="AB45">
        <f t="shared" si="12"/>
        <v>-66335.966286355033</v>
      </c>
      <c r="AC45">
        <f>0</f>
        <v>0</v>
      </c>
      <c r="AD45">
        <f t="shared" si="13"/>
        <v>-18.179099999999998</v>
      </c>
      <c r="AE45">
        <f t="shared" si="14"/>
        <v>-6846.2188811364495</v>
      </c>
      <c r="AF45">
        <f t="shared" si="15"/>
        <v>-73500.364267491474</v>
      </c>
      <c r="AG45">
        <f t="shared" si="16"/>
        <v>-287107.13513062336</v>
      </c>
      <c r="AH45">
        <f t="shared" si="23"/>
        <v>-360607.49939811486</v>
      </c>
      <c r="AI45">
        <f t="shared" si="17"/>
        <v>0.2297418645848445</v>
      </c>
      <c r="AJ45">
        <f t="shared" si="18"/>
        <v>-41905.188063480178</v>
      </c>
      <c r="AK45">
        <f>0</f>
        <v>0</v>
      </c>
    </row>
    <row r="46" spans="1:37" x14ac:dyDescent="0.2">
      <c r="A46">
        <f t="shared" si="19"/>
        <v>86</v>
      </c>
      <c r="B46">
        <f>VLOOKUP('Male SPWL (before)'!A46,Table21[#All],2,FALSE)</f>
        <v>9.9897901100000006E-2</v>
      </c>
      <c r="C46">
        <f t="shared" si="0"/>
        <v>0.90010209890000004</v>
      </c>
      <c r="D46">
        <f t="shared" si="1"/>
        <v>0.71374707367395307</v>
      </c>
      <c r="E46">
        <f t="shared" si="2"/>
        <v>0.71344687071330959</v>
      </c>
      <c r="G46">
        <f t="shared" si="20"/>
        <v>86</v>
      </c>
      <c r="H46">
        <f t="shared" si="3"/>
        <v>9.9897901100000006E-2</v>
      </c>
      <c r="I46">
        <f>0</f>
        <v>0</v>
      </c>
      <c r="J46">
        <f t="shared" si="4"/>
        <v>0.90010209890000004</v>
      </c>
      <c r="K46">
        <f t="shared" si="21"/>
        <v>0.4611350295605271</v>
      </c>
      <c r="M46">
        <v>26</v>
      </c>
      <c r="N46">
        <f t="shared" si="5"/>
        <v>0</v>
      </c>
      <c r="O46">
        <f t="shared" si="22"/>
        <v>300</v>
      </c>
      <c r="P46">
        <f>VLOOKUP(G46,Table1[#All],3,FALSE)</f>
        <v>750957.85439999995</v>
      </c>
      <c r="Q46">
        <f t="shared" si="6"/>
        <v>0</v>
      </c>
      <c r="R46">
        <v>0</v>
      </c>
      <c r="S46">
        <f t="shared" si="7"/>
        <v>577612.51559293643</v>
      </c>
      <c r="U46">
        <v>26</v>
      </c>
      <c r="V46">
        <f t="shared" si="8"/>
        <v>577612.51559293643</v>
      </c>
      <c r="W46">
        <f t="shared" si="9"/>
        <v>6759.3874093088061</v>
      </c>
      <c r="Y46">
        <v>26</v>
      </c>
      <c r="Z46">
        <f t="shared" si="10"/>
        <v>0</v>
      </c>
      <c r="AA46">
        <f t="shared" si="11"/>
        <v>-300</v>
      </c>
      <c r="AB46">
        <f t="shared" si="12"/>
        <v>-75019.113469119402</v>
      </c>
      <c r="AC46">
        <f>0</f>
        <v>0</v>
      </c>
      <c r="AD46">
        <f t="shared" si="13"/>
        <v>-18.179099999999998</v>
      </c>
      <c r="AE46">
        <f t="shared" si="14"/>
        <v>-6759.3874093088061</v>
      </c>
      <c r="AF46">
        <f t="shared" si="15"/>
        <v>-82096.679978428205</v>
      </c>
      <c r="AG46">
        <f t="shared" si="16"/>
        <v>-266357.36445247917</v>
      </c>
      <c r="AH46">
        <f t="shared" si="23"/>
        <v>-348454.04443090735</v>
      </c>
      <c r="AI46">
        <f t="shared" si="17"/>
        <v>0.21661560855333792</v>
      </c>
      <c r="AJ46">
        <f t="shared" si="18"/>
        <v>-34806.741743238432</v>
      </c>
      <c r="AK46">
        <f>0</f>
        <v>0</v>
      </c>
    </row>
    <row r="47" spans="1:37" x14ac:dyDescent="0.2">
      <c r="A47">
        <f t="shared" si="19"/>
        <v>87</v>
      </c>
      <c r="B47">
        <f>VLOOKUP('Male SPWL (before)'!A47,Table21[#All],2,FALSE)</f>
        <v>0.1128515066</v>
      </c>
      <c r="C47">
        <f t="shared" si="0"/>
        <v>0.88714849340000002</v>
      </c>
      <c r="D47">
        <f t="shared" si="1"/>
        <v>0.73002840988861695</v>
      </c>
      <c r="E47">
        <f t="shared" si="2"/>
        <v>0.72986796063819581</v>
      </c>
      <c r="G47">
        <f t="shared" si="20"/>
        <v>87</v>
      </c>
      <c r="H47">
        <f t="shared" si="3"/>
        <v>0.1128515066</v>
      </c>
      <c r="I47">
        <f>0</f>
        <v>0</v>
      </c>
      <c r="J47">
        <f t="shared" si="4"/>
        <v>0.88714849340000002</v>
      </c>
      <c r="K47">
        <f t="shared" si="21"/>
        <v>0.41506860798374401</v>
      </c>
      <c r="M47">
        <v>27</v>
      </c>
      <c r="N47">
        <f t="shared" si="5"/>
        <v>0</v>
      </c>
      <c r="O47">
        <f t="shared" si="22"/>
        <v>300</v>
      </c>
      <c r="P47">
        <f>VLOOKUP(G47,Table1[#All],3,FALSE)</f>
        <v>750957.85439999995</v>
      </c>
      <c r="Q47">
        <f t="shared" si="6"/>
        <v>0</v>
      </c>
      <c r="R47">
        <v>0</v>
      </c>
      <c r="S47">
        <f t="shared" si="7"/>
        <v>587147.5738526003</v>
      </c>
      <c r="U47">
        <v>27</v>
      </c>
      <c r="V47">
        <f t="shared" si="8"/>
        <v>587147.5738526003</v>
      </c>
      <c r="W47">
        <f t="shared" si="9"/>
        <v>6662.1112913785655</v>
      </c>
      <c r="Y47">
        <v>27</v>
      </c>
      <c r="Z47">
        <f t="shared" si="10"/>
        <v>0</v>
      </c>
      <c r="AA47">
        <f t="shared" si="11"/>
        <v>-300</v>
      </c>
      <c r="AB47">
        <f t="shared" si="12"/>
        <v>-84746.725262143431</v>
      </c>
      <c r="AC47">
        <f>0</f>
        <v>0</v>
      </c>
      <c r="AD47">
        <f t="shared" si="13"/>
        <v>-18.179099999999998</v>
      </c>
      <c r="AE47">
        <f t="shared" si="14"/>
        <v>-6662.1112913785655</v>
      </c>
      <c r="AF47">
        <f t="shared" si="15"/>
        <v>-91727.015653521987</v>
      </c>
      <c r="AG47">
        <f t="shared" si="16"/>
        <v>-243706.52616003132</v>
      </c>
      <c r="AH47">
        <f t="shared" si="23"/>
        <v>-335433.54181355331</v>
      </c>
      <c r="AI47">
        <f t="shared" si="17"/>
        <v>0.20423931856618294</v>
      </c>
      <c r="AJ47">
        <f t="shared" si="18"/>
        <v>-28435.81821677132</v>
      </c>
      <c r="AK47">
        <f>0</f>
        <v>0</v>
      </c>
    </row>
    <row r="48" spans="1:37" x14ac:dyDescent="0.2">
      <c r="A48">
        <f t="shared" si="19"/>
        <v>88</v>
      </c>
      <c r="B48">
        <f>VLOOKUP('Male SPWL (before)'!A48,Table21[#All],2,FALSE)</f>
        <v>0.12709753430000001</v>
      </c>
      <c r="C48">
        <f t="shared" si="0"/>
        <v>0.87290246569999996</v>
      </c>
      <c r="D48">
        <f t="shared" si="1"/>
        <v>0.74555098696923239</v>
      </c>
      <c r="E48">
        <f t="shared" si="2"/>
        <v>0.74546874111315586</v>
      </c>
      <c r="G48">
        <f t="shared" si="20"/>
        <v>88</v>
      </c>
      <c r="H48">
        <f t="shared" si="3"/>
        <v>0.12709753430000001</v>
      </c>
      <c r="I48">
        <f>0</f>
        <v>0</v>
      </c>
      <c r="J48">
        <f t="shared" si="4"/>
        <v>0.87290246569999996</v>
      </c>
      <c r="K48">
        <f t="shared" si="21"/>
        <v>0.36822749023041373</v>
      </c>
      <c r="M48">
        <v>28</v>
      </c>
      <c r="N48">
        <f t="shared" si="5"/>
        <v>0</v>
      </c>
      <c r="O48">
        <f t="shared" si="22"/>
        <v>300</v>
      </c>
      <c r="P48">
        <f>VLOOKUP(G48,Table1[#All],3,FALSE)</f>
        <v>750957.85439999995</v>
      </c>
      <c r="Q48">
        <f t="shared" si="6"/>
        <v>0</v>
      </c>
      <c r="R48">
        <v>0</v>
      </c>
      <c r="S48">
        <f t="shared" si="7"/>
        <v>596182.01969808294</v>
      </c>
      <c r="U48">
        <v>28</v>
      </c>
      <c r="V48">
        <f t="shared" si="8"/>
        <v>596182.01969808294</v>
      </c>
      <c r="W48">
        <f t="shared" si="9"/>
        <v>6555.1296274254155</v>
      </c>
      <c r="Y48">
        <v>28</v>
      </c>
      <c r="Z48">
        <f t="shared" si="10"/>
        <v>0</v>
      </c>
      <c r="AA48">
        <f t="shared" si="11"/>
        <v>-300</v>
      </c>
      <c r="AB48">
        <f t="shared" si="12"/>
        <v>-95444.8916574584</v>
      </c>
      <c r="AC48">
        <f>0</f>
        <v>0</v>
      </c>
      <c r="AD48">
        <f t="shared" si="13"/>
        <v>-18.179099999999998</v>
      </c>
      <c r="AE48">
        <f t="shared" si="14"/>
        <v>-6555.1296274254155</v>
      </c>
      <c r="AF48">
        <f t="shared" si="15"/>
        <v>-102318.20038488381</v>
      </c>
      <c r="AG48">
        <f t="shared" si="16"/>
        <v>-219530.60883392417</v>
      </c>
      <c r="AH48">
        <f t="shared" si="23"/>
        <v>-321848.80921880796</v>
      </c>
      <c r="AI48">
        <f t="shared" si="17"/>
        <v>0.19257014546164372</v>
      </c>
      <c r="AJ48">
        <f t="shared" si="18"/>
        <v>-22822.177195793316</v>
      </c>
      <c r="AK48">
        <f>0</f>
        <v>0</v>
      </c>
    </row>
    <row r="49" spans="1:37" x14ac:dyDescent="0.2">
      <c r="A49">
        <f t="shared" si="19"/>
        <v>89</v>
      </c>
      <c r="B49">
        <f>VLOOKUP('Male SPWL (before)'!A49,Table21[#All],2,FALSE)</f>
        <v>0.1428879924</v>
      </c>
      <c r="C49">
        <f t="shared" si="0"/>
        <v>0.85711200760000006</v>
      </c>
      <c r="D49">
        <f t="shared" si="1"/>
        <v>0.76025859921752637</v>
      </c>
      <c r="E49">
        <f t="shared" si="2"/>
        <v>0.76021828724431517</v>
      </c>
      <c r="G49">
        <f t="shared" si="20"/>
        <v>89</v>
      </c>
      <c r="H49">
        <f t="shared" si="3"/>
        <v>0.1428879924</v>
      </c>
      <c r="I49">
        <f>0</f>
        <v>0</v>
      </c>
      <c r="J49">
        <f t="shared" si="4"/>
        <v>0.85711200760000006</v>
      </c>
      <c r="K49">
        <f t="shared" si="21"/>
        <v>0.32142668416065079</v>
      </c>
      <c r="M49">
        <v>29</v>
      </c>
      <c r="N49">
        <f t="shared" si="5"/>
        <v>0</v>
      </c>
      <c r="O49">
        <f t="shared" si="22"/>
        <v>300</v>
      </c>
      <c r="P49">
        <f>VLOOKUP(G49,Table1[#All],3,FALSE)</f>
        <v>750957.85439999995</v>
      </c>
      <c r="Q49">
        <f t="shared" si="6"/>
        <v>0</v>
      </c>
      <c r="R49">
        <v>0</v>
      </c>
      <c r="S49">
        <f t="shared" si="7"/>
        <v>604648.24633897992</v>
      </c>
      <c r="U49">
        <v>29</v>
      </c>
      <c r="V49">
        <f t="shared" si="8"/>
        <v>604648.24633897992</v>
      </c>
      <c r="W49">
        <f t="shared" si="9"/>
        <v>6436.5499420777251</v>
      </c>
      <c r="Y49">
        <v>29</v>
      </c>
      <c r="Z49">
        <f t="shared" si="10"/>
        <v>0</v>
      </c>
      <c r="AA49">
        <f t="shared" si="11"/>
        <v>-300</v>
      </c>
      <c r="AB49">
        <f t="shared" si="12"/>
        <v>-107302.8601922275</v>
      </c>
      <c r="AC49">
        <f>0</f>
        <v>0</v>
      </c>
      <c r="AD49">
        <f t="shared" si="13"/>
        <v>-18.179099999999998</v>
      </c>
      <c r="AE49">
        <f t="shared" si="14"/>
        <v>-6436.5499420777251</v>
      </c>
      <c r="AF49">
        <f t="shared" si="15"/>
        <v>-114057.58923430521</v>
      </c>
      <c r="AG49">
        <f t="shared" si="16"/>
        <v>-194350.08090429066</v>
      </c>
      <c r="AH49">
        <f t="shared" si="23"/>
        <v>-308407.67013859586</v>
      </c>
      <c r="AI49">
        <f t="shared" si="17"/>
        <v>0.18156768825637232</v>
      </c>
      <c r="AJ49">
        <f t="shared" si="18"/>
        <v>-17998.887510636065</v>
      </c>
      <c r="AK49">
        <f>0</f>
        <v>0</v>
      </c>
    </row>
    <row r="50" spans="1:37" x14ac:dyDescent="0.2">
      <c r="A50">
        <f t="shared" si="19"/>
        <v>90</v>
      </c>
      <c r="B50">
        <f>VLOOKUP('Male SPWL (before)'!A50,Table21[#All],2,FALSE)</f>
        <v>0.16031822570000001</v>
      </c>
      <c r="C50">
        <f t="shared" si="0"/>
        <v>0.83968177430000002</v>
      </c>
      <c r="D50">
        <f t="shared" si="1"/>
        <v>0.77404118863298799</v>
      </c>
      <c r="E50">
        <f t="shared" si="2"/>
        <v>0.77402238504157928</v>
      </c>
      <c r="G50">
        <f t="shared" si="20"/>
        <v>90</v>
      </c>
      <c r="H50">
        <f t="shared" si="3"/>
        <v>0.16031822570000001</v>
      </c>
      <c r="I50">
        <f>0</f>
        <v>0</v>
      </c>
      <c r="J50">
        <f t="shared" si="4"/>
        <v>0.83968177430000002</v>
      </c>
      <c r="K50">
        <f t="shared" si="21"/>
        <v>0.27549867055714655</v>
      </c>
      <c r="M50">
        <v>30</v>
      </c>
      <c r="N50">
        <f t="shared" si="5"/>
        <v>0</v>
      </c>
      <c r="O50">
        <f t="shared" si="22"/>
        <v>300</v>
      </c>
      <c r="P50">
        <f>VLOOKUP(G50,Table1[#All],3,FALSE)</f>
        <v>750957.85439999995</v>
      </c>
      <c r="Q50">
        <f t="shared" si="6"/>
        <v>0</v>
      </c>
      <c r="R50">
        <v>0</v>
      </c>
      <c r="S50">
        <f t="shared" si="7"/>
        <v>612460.65561223764</v>
      </c>
      <c r="U50">
        <v>30</v>
      </c>
      <c r="V50">
        <f t="shared" si="8"/>
        <v>612460.65561223764</v>
      </c>
      <c r="W50">
        <f t="shared" si="9"/>
        <v>6305.6562360711305</v>
      </c>
      <c r="Y50">
        <v>30</v>
      </c>
      <c r="Z50">
        <f t="shared" si="10"/>
        <v>0</v>
      </c>
      <c r="AA50">
        <f t="shared" si="11"/>
        <v>-300</v>
      </c>
      <c r="AB50">
        <f t="shared" si="12"/>
        <v>-120392.23079288694</v>
      </c>
      <c r="AC50">
        <f>0</f>
        <v>0</v>
      </c>
      <c r="AD50">
        <f t="shared" si="13"/>
        <v>-18.179099999999998</v>
      </c>
      <c r="AE50">
        <f t="shared" si="14"/>
        <v>-6305.6562360711305</v>
      </c>
      <c r="AF50">
        <f t="shared" si="15"/>
        <v>-127016.06612895806</v>
      </c>
      <c r="AG50">
        <f t="shared" si="16"/>
        <v>-168732.09638972985</v>
      </c>
      <c r="AH50">
        <f t="shared" si="23"/>
        <v>-295748.1625186879</v>
      </c>
      <c r="AI50">
        <f t="shared" si="17"/>
        <v>0.1711938542692204</v>
      </c>
      <c r="AJ50">
        <f t="shared" si="18"/>
        <v>-13948.571478388407</v>
      </c>
      <c r="AK50">
        <f>0</f>
        <v>0</v>
      </c>
    </row>
    <row r="51" spans="1:37" x14ac:dyDescent="0.2">
      <c r="A51">
        <f t="shared" si="19"/>
        <v>91</v>
      </c>
      <c r="B51">
        <f>VLOOKUP('Male SPWL (before)'!A51,Table21[#All],2,FALSE)</f>
        <v>0.17771857720000001</v>
      </c>
      <c r="C51">
        <f t="shared" si="0"/>
        <v>0.82228142279999994</v>
      </c>
      <c r="D51">
        <f t="shared" si="1"/>
        <v>0.78675940940996691</v>
      </c>
      <c r="E51">
        <f t="shared" si="2"/>
        <v>0.78675115173798293</v>
      </c>
      <c r="G51">
        <f t="shared" si="20"/>
        <v>91</v>
      </c>
      <c r="H51">
        <f t="shared" si="3"/>
        <v>0.17771857720000001</v>
      </c>
      <c r="I51">
        <f>0</f>
        <v>0</v>
      </c>
      <c r="J51">
        <f t="shared" si="4"/>
        <v>0.82228142279999994</v>
      </c>
      <c r="K51">
        <f t="shared" si="21"/>
        <v>0.23133121251071598</v>
      </c>
      <c r="M51">
        <v>31</v>
      </c>
      <c r="N51">
        <f t="shared" si="5"/>
        <v>0</v>
      </c>
      <c r="O51">
        <f t="shared" si="22"/>
        <v>300</v>
      </c>
      <c r="P51">
        <f>VLOOKUP(G51,Table1[#All],3,FALSE)</f>
        <v>750957.85439999995</v>
      </c>
      <c r="Q51">
        <f t="shared" si="6"/>
        <v>0</v>
      </c>
      <c r="R51">
        <v>0</v>
      </c>
      <c r="S51">
        <f t="shared" si="7"/>
        <v>619765.43842387653</v>
      </c>
      <c r="U51">
        <v>31</v>
      </c>
      <c r="V51">
        <f t="shared" si="8"/>
        <v>619765.43842387653</v>
      </c>
      <c r="W51">
        <f t="shared" si="9"/>
        <v>6174.9869297886717</v>
      </c>
      <c r="Y51">
        <v>31</v>
      </c>
      <c r="Z51">
        <f t="shared" si="10"/>
        <v>0</v>
      </c>
      <c r="AA51">
        <f t="shared" si="11"/>
        <v>-300</v>
      </c>
      <c r="AB51">
        <f t="shared" si="12"/>
        <v>-133459.16142113277</v>
      </c>
      <c r="AC51">
        <f>0</f>
        <v>0</v>
      </c>
      <c r="AD51">
        <f t="shared" si="13"/>
        <v>-18.179099999999998</v>
      </c>
      <c r="AE51">
        <f t="shared" si="14"/>
        <v>-6174.9869297886717</v>
      </c>
      <c r="AF51">
        <f t="shared" si="15"/>
        <v>-139952.32745092144</v>
      </c>
      <c r="AG51">
        <f t="shared" si="16"/>
        <v>-143371.09034283084</v>
      </c>
      <c r="AH51">
        <f t="shared" si="23"/>
        <v>-283323.41779375228</v>
      </c>
      <c r="AI51">
        <f t="shared" si="17"/>
        <v>0.16141272723684905</v>
      </c>
      <c r="AJ51">
        <f t="shared" si="18"/>
        <v>-10579.240295852082</v>
      </c>
      <c r="AK51">
        <f>0</f>
        <v>0</v>
      </c>
    </row>
    <row r="52" spans="1:37" x14ac:dyDescent="0.2">
      <c r="A52">
        <f t="shared" si="19"/>
        <v>92</v>
      </c>
      <c r="B52">
        <f>VLOOKUP('Male SPWL (before)'!A52,Table21[#All],2,FALSE)</f>
        <v>0.1962978041</v>
      </c>
      <c r="C52">
        <f t="shared" si="0"/>
        <v>0.80370219590000003</v>
      </c>
      <c r="D52">
        <f t="shared" si="1"/>
        <v>0.79865125726148489</v>
      </c>
      <c r="E52">
        <f t="shared" si="2"/>
        <v>0.79864800092199029</v>
      </c>
      <c r="G52">
        <f t="shared" si="20"/>
        <v>92</v>
      </c>
      <c r="H52">
        <f t="shared" si="3"/>
        <v>0.1962978041</v>
      </c>
      <c r="I52">
        <f>0</f>
        <v>0</v>
      </c>
      <c r="J52">
        <f t="shared" si="4"/>
        <v>0.80370219590000003</v>
      </c>
      <c r="K52">
        <f t="shared" si="21"/>
        <v>0.19021935856136069</v>
      </c>
      <c r="M52">
        <v>32</v>
      </c>
      <c r="N52">
        <f t="shared" si="5"/>
        <v>0</v>
      </c>
      <c r="O52">
        <f t="shared" si="22"/>
        <v>300</v>
      </c>
      <c r="P52">
        <f>VLOOKUP(G52,Table1[#All],3,FALSE)</f>
        <v>750957.85439999995</v>
      </c>
      <c r="Q52">
        <f t="shared" si="6"/>
        <v>0</v>
      </c>
      <c r="R52">
        <v>0</v>
      </c>
      <c r="S52">
        <f t="shared" si="7"/>
        <v>626545.9340641629</v>
      </c>
      <c r="U52">
        <v>32</v>
      </c>
      <c r="V52">
        <f t="shared" si="8"/>
        <v>626545.9340641629</v>
      </c>
      <c r="W52">
        <f t="shared" si="9"/>
        <v>6035.4647660963246</v>
      </c>
      <c r="Y52">
        <v>32</v>
      </c>
      <c r="Z52">
        <f t="shared" si="10"/>
        <v>0</v>
      </c>
      <c r="AA52">
        <f t="shared" si="11"/>
        <v>-300</v>
      </c>
      <c r="AB52">
        <f t="shared" si="12"/>
        <v>-147411.37779036752</v>
      </c>
      <c r="AC52">
        <f>0</f>
        <v>0</v>
      </c>
      <c r="AD52">
        <f t="shared" si="13"/>
        <v>-18.179099999999998</v>
      </c>
      <c r="AE52">
        <f t="shared" si="14"/>
        <v>-6035.4647660963246</v>
      </c>
      <c r="AF52">
        <f t="shared" si="15"/>
        <v>-153765.02165646385</v>
      </c>
      <c r="AG52">
        <f t="shared" si="16"/>
        <v>-119181.16568691365</v>
      </c>
      <c r="AH52">
        <f t="shared" si="23"/>
        <v>-272946.1873433775</v>
      </c>
      <c r="AI52">
        <f t="shared" si="17"/>
        <v>0.15219044296452758</v>
      </c>
      <c r="AJ52">
        <f t="shared" si="18"/>
        <v>-7901.6743309019021</v>
      </c>
      <c r="AK52">
        <f>0</f>
        <v>0</v>
      </c>
    </row>
    <row r="53" spans="1:37" x14ac:dyDescent="0.2">
      <c r="A53">
        <f t="shared" si="19"/>
        <v>93</v>
      </c>
      <c r="B53">
        <f>VLOOKUP('Male SPWL (before)'!A53,Table21[#All],2,FALSE)</f>
        <v>0.21554927239999999</v>
      </c>
      <c r="C53">
        <f t="shared" si="0"/>
        <v>0.78445072760000001</v>
      </c>
      <c r="D53">
        <f t="shared" si="1"/>
        <v>0.80968961727053446</v>
      </c>
      <c r="E53">
        <f t="shared" si="2"/>
        <v>0.80968861952796156</v>
      </c>
      <c r="G53">
        <f t="shared" si="20"/>
        <v>93</v>
      </c>
      <c r="H53">
        <f t="shared" si="3"/>
        <v>0.21554927239999999</v>
      </c>
      <c r="I53">
        <f>0</f>
        <v>0</v>
      </c>
      <c r="J53">
        <f t="shared" si="4"/>
        <v>0.78445072760000001</v>
      </c>
      <c r="K53">
        <f t="shared" si="21"/>
        <v>0.15287971617845506</v>
      </c>
      <c r="M53">
        <v>33</v>
      </c>
      <c r="N53">
        <f t="shared" si="5"/>
        <v>0</v>
      </c>
      <c r="O53">
        <f t="shared" si="22"/>
        <v>300</v>
      </c>
      <c r="P53">
        <f>VLOOKUP(G53,Table1[#All],3,FALSE)</f>
        <v>750957.85439999995</v>
      </c>
      <c r="Q53">
        <f t="shared" si="6"/>
        <v>0</v>
      </c>
      <c r="R53">
        <v>0</v>
      </c>
      <c r="S53">
        <f t="shared" si="7"/>
        <v>632844.39416313649</v>
      </c>
      <c r="U53">
        <v>33</v>
      </c>
      <c r="V53">
        <f t="shared" si="8"/>
        <v>632844.39416313649</v>
      </c>
      <c r="W53">
        <f t="shared" si="9"/>
        <v>5890.894352810149</v>
      </c>
      <c r="Y53">
        <v>33</v>
      </c>
      <c r="Z53">
        <f t="shared" si="10"/>
        <v>0</v>
      </c>
      <c r="AA53">
        <f t="shared" si="11"/>
        <v>-300</v>
      </c>
      <c r="AB53">
        <f t="shared" si="12"/>
        <v>-161868.41911898513</v>
      </c>
      <c r="AC53">
        <f>0</f>
        <v>0</v>
      </c>
      <c r="AD53">
        <f t="shared" si="13"/>
        <v>-18.179099999999998</v>
      </c>
      <c r="AE53">
        <f t="shared" si="14"/>
        <v>-5890.894352810149</v>
      </c>
      <c r="AF53">
        <f t="shared" si="15"/>
        <v>-168077.49257179527</v>
      </c>
      <c r="AG53">
        <f t="shared" si="16"/>
        <v>-96749.071364786651</v>
      </c>
      <c r="AH53">
        <f t="shared" si="23"/>
        <v>-264826.56393658195</v>
      </c>
      <c r="AI53">
        <f t="shared" si="17"/>
        <v>0.14349507208159892</v>
      </c>
      <c r="AJ53">
        <f t="shared" si="18"/>
        <v>-5809.6290104085319</v>
      </c>
      <c r="AK53">
        <f>0</f>
        <v>0</v>
      </c>
    </row>
    <row r="54" spans="1:37" x14ac:dyDescent="0.2">
      <c r="A54">
        <f t="shared" si="19"/>
        <v>94</v>
      </c>
      <c r="B54">
        <f>VLOOKUP('Male SPWL (before)'!A54,Table21[#All],2,FALSE)</f>
        <v>0.2352042781</v>
      </c>
      <c r="C54">
        <f t="shared" si="0"/>
        <v>0.7647957219</v>
      </c>
      <c r="D54">
        <f t="shared" si="1"/>
        <v>0.81994328512657622</v>
      </c>
      <c r="E54">
        <f t="shared" si="2"/>
        <v>0.81994328512657622</v>
      </c>
      <c r="G54">
        <f t="shared" si="20"/>
        <v>94</v>
      </c>
      <c r="H54">
        <f t="shared" si="3"/>
        <v>0.2352042781</v>
      </c>
      <c r="I54">
        <f>0</f>
        <v>0</v>
      </c>
      <c r="J54">
        <f t="shared" si="4"/>
        <v>0.7647957219</v>
      </c>
      <c r="K54">
        <f t="shared" si="21"/>
        <v>0.11992660459147056</v>
      </c>
      <c r="M54">
        <v>34</v>
      </c>
      <c r="N54">
        <f t="shared" si="5"/>
        <v>0</v>
      </c>
      <c r="O54">
        <f t="shared" si="22"/>
        <v>300</v>
      </c>
      <c r="P54">
        <f>VLOOKUP(G54,Table1[#All],3,FALSE)</f>
        <v>750957.85439999995</v>
      </c>
      <c r="Q54">
        <f t="shared" si="6"/>
        <v>0</v>
      </c>
      <c r="R54">
        <v>0</v>
      </c>
      <c r="S54">
        <f t="shared" si="7"/>
        <v>638736.43543826404</v>
      </c>
      <c r="U54">
        <v>34</v>
      </c>
      <c r="V54">
        <f t="shared" si="8"/>
        <v>638736.43543826404</v>
      </c>
      <c r="W54">
        <f t="shared" si="9"/>
        <v>5743.2935437232309</v>
      </c>
      <c r="Y54">
        <v>34</v>
      </c>
      <c r="Z54">
        <f t="shared" si="10"/>
        <v>0</v>
      </c>
      <c r="AA54">
        <f t="shared" si="11"/>
        <v>-300</v>
      </c>
      <c r="AB54">
        <f t="shared" si="12"/>
        <v>-176628.5000276769</v>
      </c>
      <c r="AC54">
        <f>0</f>
        <v>0</v>
      </c>
      <c r="AD54">
        <f t="shared" si="13"/>
        <v>-18.179099999999998</v>
      </c>
      <c r="AE54">
        <f t="shared" si="14"/>
        <v>-5743.2935437232309</v>
      </c>
      <c r="AF54">
        <f t="shared" si="15"/>
        <v>-182689.97267140014</v>
      </c>
      <c r="AG54">
        <f t="shared" si="16"/>
        <v>-76601.491930970049</v>
      </c>
      <c r="AH54">
        <f t="shared" si="23"/>
        <v>-259291.46460237019</v>
      </c>
      <c r="AI54">
        <f t="shared" si="17"/>
        <v>0.13529650949568869</v>
      </c>
      <c r="AJ54">
        <f t="shared" si="18"/>
        <v>-4207.1728111119683</v>
      </c>
      <c r="AK54">
        <f>0</f>
        <v>0</v>
      </c>
    </row>
    <row r="55" spans="1:37" x14ac:dyDescent="0.2">
      <c r="A55">
        <f t="shared" si="19"/>
        <v>95</v>
      </c>
      <c r="B55">
        <f>VLOOKUP('Male SPWL (before)'!A55,Table21[#All],2,FALSE)</f>
        <v>0.25599362689999999</v>
      </c>
      <c r="C55">
        <f t="shared" si="0"/>
        <v>0.74400637309999995</v>
      </c>
      <c r="D55">
        <f t="shared" si="1"/>
        <v>0.82953538063637966</v>
      </c>
      <c r="E55">
        <f t="shared" si="2"/>
        <v>0.82953538063637966</v>
      </c>
      <c r="G55">
        <f t="shared" si="20"/>
        <v>95</v>
      </c>
      <c r="H55">
        <f t="shared" si="3"/>
        <v>0.25599362689999999</v>
      </c>
      <c r="I55">
        <f>0</f>
        <v>0</v>
      </c>
      <c r="J55">
        <f t="shared" si="4"/>
        <v>0.74400637309999995</v>
      </c>
      <c r="K55">
        <f t="shared" si="21"/>
        <v>9.1719354133549577E-2</v>
      </c>
      <c r="M55">
        <v>35</v>
      </c>
      <c r="N55">
        <f t="shared" si="5"/>
        <v>0</v>
      </c>
      <c r="O55">
        <f t="shared" si="22"/>
        <v>300</v>
      </c>
      <c r="P55">
        <f>VLOOKUP(G55,Table1[#All],3,FALSE)</f>
        <v>750957.85439999995</v>
      </c>
      <c r="Q55">
        <f t="shared" si="6"/>
        <v>0</v>
      </c>
      <c r="R55">
        <v>0</v>
      </c>
      <c r="S55">
        <f t="shared" si="7"/>
        <v>644209.76264831866</v>
      </c>
      <c r="U55">
        <v>35</v>
      </c>
      <c r="V55">
        <f t="shared" si="8"/>
        <v>644209.76264831866</v>
      </c>
      <c r="W55">
        <f t="shared" si="9"/>
        <v>5587.1742960310185</v>
      </c>
      <c r="Y55">
        <v>35</v>
      </c>
      <c r="Z55">
        <f t="shared" si="10"/>
        <v>0</v>
      </c>
      <c r="AA55">
        <f t="shared" si="11"/>
        <v>-300</v>
      </c>
      <c r="AB55">
        <f t="shared" si="12"/>
        <v>-192240.42479689809</v>
      </c>
      <c r="AC55">
        <f>0</f>
        <v>0</v>
      </c>
      <c r="AD55">
        <f t="shared" si="13"/>
        <v>-18.179099999999998</v>
      </c>
      <c r="AE55">
        <f t="shared" si="14"/>
        <v>-5587.1742960310185</v>
      </c>
      <c r="AF55">
        <f t="shared" si="15"/>
        <v>-198145.77819292911</v>
      </c>
      <c r="AG55">
        <f t="shared" si="16"/>
        <v>-59086.503356631059</v>
      </c>
      <c r="AH55">
        <f t="shared" si="23"/>
        <v>-257232.28154956017</v>
      </c>
      <c r="AI55">
        <f t="shared" si="17"/>
        <v>0.12756637016292588</v>
      </c>
      <c r="AJ55">
        <f t="shared" si="18"/>
        <v>-3009.696170684178</v>
      </c>
      <c r="AK55">
        <f>0</f>
        <v>0</v>
      </c>
    </row>
    <row r="56" spans="1:37" x14ac:dyDescent="0.2">
      <c r="A56">
        <f t="shared" si="19"/>
        <v>96</v>
      </c>
      <c r="B56">
        <f>VLOOKUP('Male SPWL (before)'!A56,Table21[#All],2,FALSE)</f>
        <v>0.277144169</v>
      </c>
      <c r="C56">
        <f t="shared" si="0"/>
        <v>0.72285583099999995</v>
      </c>
      <c r="D56">
        <f t="shared" si="1"/>
        <v>0.83844592163588605</v>
      </c>
      <c r="E56">
        <f t="shared" si="2"/>
        <v>0.83844592163588605</v>
      </c>
      <c r="G56">
        <f t="shared" si="20"/>
        <v>96</v>
      </c>
      <c r="H56">
        <f t="shared" si="3"/>
        <v>0.277144169</v>
      </c>
      <c r="I56">
        <f>0</f>
        <v>0</v>
      </c>
      <c r="J56">
        <f t="shared" si="4"/>
        <v>0.72285583099999995</v>
      </c>
      <c r="K56">
        <f t="shared" si="21"/>
        <v>6.8239784011976709E-2</v>
      </c>
      <c r="M56">
        <v>36</v>
      </c>
      <c r="N56">
        <f t="shared" si="5"/>
        <v>0</v>
      </c>
      <c r="O56">
        <f t="shared" si="22"/>
        <v>300</v>
      </c>
      <c r="P56">
        <f>VLOOKUP(G56,Table1[#All],3,FALSE)</f>
        <v>750957.85439999995</v>
      </c>
      <c r="Q56">
        <f t="shared" si="6"/>
        <v>0</v>
      </c>
      <c r="R56">
        <v>0</v>
      </c>
      <c r="S56">
        <f t="shared" si="7"/>
        <v>649336.71315286797</v>
      </c>
      <c r="U56">
        <v>36</v>
      </c>
      <c r="V56">
        <f t="shared" si="8"/>
        <v>649336.71315286797</v>
      </c>
      <c r="W56">
        <f t="shared" si="9"/>
        <v>5428.3426388828893</v>
      </c>
      <c r="Y56">
        <v>36</v>
      </c>
      <c r="Z56">
        <f t="shared" si="10"/>
        <v>0</v>
      </c>
      <c r="AA56">
        <f t="shared" si="11"/>
        <v>-300</v>
      </c>
      <c r="AB56">
        <f t="shared" si="12"/>
        <v>-208123.59051171097</v>
      </c>
      <c r="AC56">
        <f>0</f>
        <v>0</v>
      </c>
      <c r="AD56">
        <f t="shared" si="13"/>
        <v>-18.179099999999998</v>
      </c>
      <c r="AE56">
        <f t="shared" si="14"/>
        <v>-5428.3426388828893</v>
      </c>
      <c r="AF56">
        <f t="shared" si="15"/>
        <v>-213870.11225059387</v>
      </c>
      <c r="AG56">
        <f t="shared" si="16"/>
        <v>-44310.597056598584</v>
      </c>
      <c r="AH56">
        <f t="shared" si="23"/>
        <v>-258180.70930719245</v>
      </c>
      <c r="AI56">
        <f t="shared" si="17"/>
        <v>0.12027789081331164</v>
      </c>
      <c r="AJ56">
        <f t="shared" si="18"/>
        <v>-2119.0794354726449</v>
      </c>
      <c r="AK56">
        <f>0</f>
        <v>0</v>
      </c>
    </row>
    <row r="57" spans="1:37" x14ac:dyDescent="0.2">
      <c r="A57">
        <f t="shared" si="19"/>
        <v>97</v>
      </c>
      <c r="B57">
        <f>VLOOKUP('Male SPWL (before)'!A57,Table21[#All],2,FALSE)</f>
        <v>0.2993217017</v>
      </c>
      <c r="C57">
        <f t="shared" si="0"/>
        <v>0.70067829829999995</v>
      </c>
      <c r="D57">
        <f t="shared" si="1"/>
        <v>0.84679272670798433</v>
      </c>
      <c r="E57">
        <f t="shared" si="2"/>
        <v>0.84679272670798433</v>
      </c>
      <c r="G57">
        <f t="shared" si="20"/>
        <v>97</v>
      </c>
      <c r="H57">
        <f t="shared" si="3"/>
        <v>0.2993217017</v>
      </c>
      <c r="I57">
        <f>0</f>
        <v>0</v>
      </c>
      <c r="J57">
        <f t="shared" si="4"/>
        <v>0.70067829829999995</v>
      </c>
      <c r="K57">
        <f t="shared" si="21"/>
        <v>4.9327525779237935E-2</v>
      </c>
      <c r="M57">
        <v>37</v>
      </c>
      <c r="N57">
        <f t="shared" si="5"/>
        <v>0</v>
      </c>
      <c r="O57">
        <f t="shared" si="22"/>
        <v>300</v>
      </c>
      <c r="P57">
        <f>VLOOKUP(G57,Table1[#All],3,FALSE)</f>
        <v>750957.85439999995</v>
      </c>
      <c r="Q57">
        <f t="shared" si="6"/>
        <v>0</v>
      </c>
      <c r="R57">
        <v>0</v>
      </c>
      <c r="S57">
        <f t="shared" si="7"/>
        <v>654118.45974485681</v>
      </c>
      <c r="U57">
        <v>37</v>
      </c>
      <c r="V57">
        <f t="shared" si="8"/>
        <v>654118.45974485681</v>
      </c>
      <c r="W57">
        <f t="shared" si="9"/>
        <v>5261.798715160111</v>
      </c>
      <c r="Y57">
        <v>37</v>
      </c>
      <c r="Z57">
        <f t="shared" si="10"/>
        <v>0</v>
      </c>
      <c r="AA57">
        <f t="shared" si="11"/>
        <v>-300</v>
      </c>
      <c r="AB57">
        <f t="shared" si="12"/>
        <v>-224777.98288398882</v>
      </c>
      <c r="AC57">
        <f>0</f>
        <v>0</v>
      </c>
      <c r="AD57">
        <f t="shared" si="13"/>
        <v>-18.179099999999998</v>
      </c>
      <c r="AE57">
        <f t="shared" si="14"/>
        <v>-5261.798715160111</v>
      </c>
      <c r="AF57">
        <f t="shared" si="15"/>
        <v>-230357.96069914894</v>
      </c>
      <c r="AG57">
        <f t="shared" si="16"/>
        <v>-32266.045185739837</v>
      </c>
      <c r="AH57">
        <f t="shared" si="23"/>
        <v>-262624.00588488876</v>
      </c>
      <c r="AI57">
        <f t="shared" si="17"/>
        <v>0.11340583729098955</v>
      </c>
      <c r="AJ57">
        <f t="shared" si="18"/>
        <v>-1469.1264002141181</v>
      </c>
      <c r="AK57">
        <f>0</f>
        <v>0</v>
      </c>
    </row>
    <row r="58" spans="1:37" x14ac:dyDescent="0.2">
      <c r="A58">
        <f t="shared" si="19"/>
        <v>98</v>
      </c>
      <c r="B58">
        <f>VLOOKUP('Male SPWL (before)'!A58,Table21[#All],2,FALSE)</f>
        <v>0.32262095839999999</v>
      </c>
      <c r="C58">
        <f t="shared" si="0"/>
        <v>0.67737904160000006</v>
      </c>
      <c r="D58">
        <f t="shared" si="1"/>
        <v>0.85457780742045297</v>
      </c>
      <c r="E58">
        <f t="shared" si="2"/>
        <v>0.85457780742045297</v>
      </c>
      <c r="G58">
        <f t="shared" si="20"/>
        <v>98</v>
      </c>
      <c r="H58">
        <f t="shared" si="3"/>
        <v>0.32262095839999999</v>
      </c>
      <c r="I58">
        <f>0</f>
        <v>0</v>
      </c>
      <c r="J58">
        <f t="shared" si="4"/>
        <v>0.67737904160000006</v>
      </c>
      <c r="K58">
        <f t="shared" si="21"/>
        <v>3.4562726822345818E-2</v>
      </c>
      <c r="M58">
        <v>38</v>
      </c>
      <c r="N58">
        <f t="shared" si="5"/>
        <v>0</v>
      </c>
      <c r="O58">
        <f t="shared" si="22"/>
        <v>300</v>
      </c>
      <c r="P58">
        <f>VLOOKUP(G58,Table1[#All],3,FALSE)</f>
        <v>750957.85439999995</v>
      </c>
      <c r="Q58">
        <f t="shared" si="6"/>
        <v>0</v>
      </c>
      <c r="R58">
        <v>0</v>
      </c>
      <c r="S58">
        <f t="shared" si="7"/>
        <v>658532.80915641109</v>
      </c>
      <c r="U58">
        <v>38</v>
      </c>
      <c r="V58">
        <f t="shared" si="8"/>
        <v>658532.80915641109</v>
      </c>
      <c r="W58">
        <f t="shared" si="9"/>
        <v>5086.8311169546441</v>
      </c>
      <c r="Y58">
        <v>38</v>
      </c>
      <c r="Z58">
        <f t="shared" si="10"/>
        <v>0</v>
      </c>
      <c r="AA58">
        <f t="shared" si="11"/>
        <v>-300</v>
      </c>
      <c r="AB58">
        <f t="shared" si="12"/>
        <v>-242274.74270453563</v>
      </c>
      <c r="AC58">
        <f>0</f>
        <v>0</v>
      </c>
      <c r="AD58">
        <f t="shared" si="13"/>
        <v>-18.179099999999998</v>
      </c>
      <c r="AE58">
        <f t="shared" si="14"/>
        <v>-5086.8311169546441</v>
      </c>
      <c r="AF58">
        <f t="shared" si="15"/>
        <v>-247679.75292149029</v>
      </c>
      <c r="AG58">
        <f t="shared" si="16"/>
        <v>-22760.689586425029</v>
      </c>
      <c r="AH58">
        <f t="shared" si="23"/>
        <v>-270440.44250791532</v>
      </c>
      <c r="AI58">
        <f t="shared" si="17"/>
        <v>0.10692641718861129</v>
      </c>
      <c r="AJ58">
        <f t="shared" si="18"/>
        <v>-999.45823731661449</v>
      </c>
      <c r="AK58">
        <f>0</f>
        <v>0</v>
      </c>
    </row>
    <row r="59" spans="1:37" x14ac:dyDescent="0.2">
      <c r="A59">
        <f t="shared" si="19"/>
        <v>99</v>
      </c>
      <c r="B59">
        <f>VLOOKUP('Male SPWL (before)'!A59,Table21[#All],2,FALSE)</f>
        <v>0.34623078689999998</v>
      </c>
      <c r="C59">
        <f t="shared" si="0"/>
        <v>0.65376921310000002</v>
      </c>
      <c r="D59">
        <f t="shared" si="1"/>
        <v>0.86176522237517972</v>
      </c>
      <c r="E59">
        <f t="shared" si="2"/>
        <v>0.86176522237517972</v>
      </c>
      <c r="G59">
        <f t="shared" si="20"/>
        <v>99</v>
      </c>
      <c r="H59">
        <f t="shared" si="3"/>
        <v>0.34623078689999998</v>
      </c>
      <c r="I59">
        <f>0</f>
        <v>0</v>
      </c>
      <c r="J59">
        <f t="shared" si="4"/>
        <v>0.65376921310000002</v>
      </c>
      <c r="K59">
        <f t="shared" si="21"/>
        <v>2.3412066770003227E-2</v>
      </c>
      <c r="M59">
        <v>39</v>
      </c>
      <c r="N59">
        <f t="shared" si="5"/>
        <v>0</v>
      </c>
      <c r="O59">
        <f t="shared" si="22"/>
        <v>300</v>
      </c>
      <c r="P59">
        <f>VLOOKUP(G59,Table1[#All],3,FALSE)</f>
        <v>750957.85439999995</v>
      </c>
      <c r="Q59">
        <f t="shared" si="6"/>
        <v>0</v>
      </c>
      <c r="R59">
        <v>0</v>
      </c>
      <c r="S59">
        <f t="shared" si="7"/>
        <v>662627.53567982442</v>
      </c>
      <c r="U59">
        <v>39</v>
      </c>
      <c r="V59">
        <f t="shared" si="8"/>
        <v>662627.53567982442</v>
      </c>
      <c r="W59">
        <f t="shared" si="9"/>
        <v>4909.5312554235243</v>
      </c>
      <c r="Y59">
        <v>39</v>
      </c>
      <c r="Z59">
        <f t="shared" si="10"/>
        <v>0</v>
      </c>
      <c r="AA59">
        <f t="shared" si="11"/>
        <v>-300</v>
      </c>
      <c r="AB59">
        <f t="shared" si="12"/>
        <v>-260004.7288576476</v>
      </c>
      <c r="AC59">
        <f>0</f>
        <v>0</v>
      </c>
      <c r="AD59">
        <f t="shared" si="13"/>
        <v>-18.179099999999998</v>
      </c>
      <c r="AE59">
        <f t="shared" si="14"/>
        <v>-4909.5312554235243</v>
      </c>
      <c r="AF59">
        <f t="shared" si="15"/>
        <v>-265232.43921307113</v>
      </c>
      <c r="AG59">
        <f t="shared" si="16"/>
        <v>-15513.480108978745</v>
      </c>
      <c r="AH59">
        <f t="shared" si="23"/>
        <v>-280745.91932204989</v>
      </c>
      <c r="AI59">
        <f t="shared" si="17"/>
        <v>0.10081719747332049</v>
      </c>
      <c r="AJ59">
        <f t="shared" si="18"/>
        <v>-662.65553090275785</v>
      </c>
      <c r="AK59">
        <f>0</f>
        <v>0</v>
      </c>
    </row>
    <row r="60" spans="1:37" x14ac:dyDescent="0.2">
      <c r="A60">
        <f t="shared" si="19"/>
        <v>100</v>
      </c>
      <c r="B60">
        <f>VLOOKUP('Male SPWL (before)'!A60,Table21[#All],2,FALSE)</f>
        <v>0.37081257379999999</v>
      </c>
      <c r="C60">
        <f t="shared" si="0"/>
        <v>0.62918742620000001</v>
      </c>
      <c r="D60">
        <f t="shared" si="1"/>
        <v>0.86843309730555507</v>
      </c>
      <c r="E60">
        <f t="shared" si="2"/>
        <v>0.86843309730555507</v>
      </c>
      <c r="G60">
        <f t="shared" si="20"/>
        <v>100</v>
      </c>
      <c r="H60">
        <f t="shared" si="3"/>
        <v>0.37081257379999999</v>
      </c>
      <c r="I60">
        <f>0</f>
        <v>0</v>
      </c>
      <c r="J60">
        <f t="shared" si="4"/>
        <v>0.62918742620000001</v>
      </c>
      <c r="K60">
        <f t="shared" si="21"/>
        <v>1.5306088469269669E-2</v>
      </c>
      <c r="M60">
        <v>40</v>
      </c>
      <c r="N60">
        <f t="shared" si="5"/>
        <v>0</v>
      </c>
      <c r="O60">
        <f t="shared" si="22"/>
        <v>300</v>
      </c>
      <c r="P60">
        <f>VLOOKUP(G60,Table1[#All],3,FALSE)</f>
        <v>750957.85439999995</v>
      </c>
      <c r="Q60">
        <f t="shared" si="6"/>
        <v>0</v>
      </c>
      <c r="R60">
        <v>0</v>
      </c>
      <c r="S60">
        <f t="shared" si="7"/>
        <v>666372.26476424292</v>
      </c>
      <c r="U60">
        <v>40</v>
      </c>
      <c r="V60">
        <f t="shared" si="8"/>
        <v>666372.26476424292</v>
      </c>
      <c r="W60">
        <f t="shared" si="9"/>
        <v>4724.9323959461035</v>
      </c>
      <c r="Y60">
        <v>40</v>
      </c>
      <c r="Z60">
        <f t="shared" si="10"/>
        <v>0</v>
      </c>
      <c r="AA60">
        <f t="shared" si="11"/>
        <v>-300</v>
      </c>
      <c r="AB60">
        <f t="shared" si="12"/>
        <v>-278464.6148053896</v>
      </c>
      <c r="AC60">
        <f>0</f>
        <v>0</v>
      </c>
      <c r="AD60">
        <f t="shared" si="13"/>
        <v>-18.179099999999998</v>
      </c>
      <c r="AE60">
        <f t="shared" si="14"/>
        <v>-4724.9323959461035</v>
      </c>
      <c r="AF60">
        <f t="shared" si="15"/>
        <v>-283507.72630133573</v>
      </c>
      <c r="AG60">
        <f t="shared" si="16"/>
        <v>-10199.552837949093</v>
      </c>
      <c r="AH60">
        <f t="shared" si="23"/>
        <v>-293707.2791392848</v>
      </c>
      <c r="AI60">
        <f t="shared" si="17"/>
        <v>9.5057026819159868E-2</v>
      </c>
      <c r="AJ60">
        <f t="shared" si="18"/>
        <v>-427.32977647747498</v>
      </c>
      <c r="AK60">
        <f>0</f>
        <v>0</v>
      </c>
    </row>
    <row r="61" spans="1:37" x14ac:dyDescent="0.2">
      <c r="A61">
        <f t="shared" si="19"/>
        <v>101</v>
      </c>
      <c r="B61">
        <f>VLOOKUP('Male SPWL (before)'!A61,Table21[#All],2,FALSE)</f>
        <v>0.39550465779999999</v>
      </c>
      <c r="C61">
        <f t="shared" si="0"/>
        <v>0.60449534220000001</v>
      </c>
      <c r="D61">
        <f t="shared" si="1"/>
        <v>0.87453267657652345</v>
      </c>
      <c r="E61">
        <f t="shared" si="2"/>
        <v>0.87453267657652345</v>
      </c>
      <c r="G61">
        <f t="shared" si="20"/>
        <v>101</v>
      </c>
      <c r="H61">
        <f t="shared" si="3"/>
        <v>0.39550465779999999</v>
      </c>
      <c r="I61">
        <f>0</f>
        <v>0</v>
      </c>
      <c r="J61">
        <f t="shared" si="4"/>
        <v>0.60449534220000001</v>
      </c>
      <c r="K61">
        <f t="shared" si="21"/>
        <v>9.6303984091692801E-3</v>
      </c>
      <c r="M61">
        <v>41</v>
      </c>
      <c r="N61">
        <f t="shared" si="5"/>
        <v>0</v>
      </c>
      <c r="O61">
        <f t="shared" si="22"/>
        <v>300</v>
      </c>
      <c r="P61">
        <f>VLOOKUP(G61,Table1[#All],3,FALSE)</f>
        <v>750957.85439999995</v>
      </c>
      <c r="Q61">
        <f t="shared" si="6"/>
        <v>0</v>
      </c>
      <c r="R61">
        <v>0</v>
      </c>
      <c r="S61">
        <f t="shared" si="7"/>
        <v>669794.09608052147</v>
      </c>
      <c r="U61">
        <v>41</v>
      </c>
      <c r="V61">
        <f t="shared" si="8"/>
        <v>669794.09608052147</v>
      </c>
      <c r="W61">
        <f t="shared" si="9"/>
        <v>4539.5052517330578</v>
      </c>
      <c r="Y61">
        <v>41</v>
      </c>
      <c r="Z61">
        <f t="shared" si="10"/>
        <v>0</v>
      </c>
      <c r="AA61">
        <f t="shared" si="11"/>
        <v>-300</v>
      </c>
      <c r="AB61">
        <f t="shared" si="12"/>
        <v>-297007.32922669419</v>
      </c>
      <c r="AC61">
        <f>0</f>
        <v>0</v>
      </c>
      <c r="AD61">
        <f t="shared" si="13"/>
        <v>-18.179099999999998</v>
      </c>
      <c r="AE61">
        <f t="shared" si="14"/>
        <v>-4539.5052517330578</v>
      </c>
      <c r="AF61">
        <f t="shared" si="15"/>
        <v>-301865.01357842726</v>
      </c>
      <c r="AG61">
        <f t="shared" si="16"/>
        <v>-6450.3839973648301</v>
      </c>
      <c r="AH61">
        <f t="shared" si="23"/>
        <v>-308315.3975757921</v>
      </c>
      <c r="AI61">
        <f t="shared" si="17"/>
        <v>8.9625962377000754E-2</v>
      </c>
      <c r="AJ61">
        <f t="shared" si="18"/>
        <v>-266.11741773729176</v>
      </c>
      <c r="AK61">
        <f>0</f>
        <v>0</v>
      </c>
    </row>
    <row r="62" spans="1:37" x14ac:dyDescent="0.2">
      <c r="A62">
        <f t="shared" si="19"/>
        <v>102</v>
      </c>
      <c r="B62">
        <f>VLOOKUP('Male SPWL (before)'!A62,Table21[#All],2,FALSE)</f>
        <v>0.41975918010000002</v>
      </c>
      <c r="C62">
        <f t="shared" si="0"/>
        <v>0.58024081989999998</v>
      </c>
      <c r="D62">
        <f t="shared" si="1"/>
        <v>0.88010947022815789</v>
      </c>
      <c r="E62">
        <f t="shared" si="2"/>
        <v>0.88010947022815789</v>
      </c>
      <c r="G62">
        <f t="shared" si="20"/>
        <v>102</v>
      </c>
      <c r="H62">
        <f t="shared" si="3"/>
        <v>0.41975918010000002</v>
      </c>
      <c r="I62">
        <f>0</f>
        <v>0</v>
      </c>
      <c r="J62">
        <f t="shared" si="4"/>
        <v>0.58024081989999998</v>
      </c>
      <c r="K62">
        <f t="shared" si="21"/>
        <v>5.8215309818731194E-3</v>
      </c>
      <c r="M62">
        <v>42</v>
      </c>
      <c r="N62">
        <f t="shared" si="5"/>
        <v>0</v>
      </c>
      <c r="O62">
        <f t="shared" si="22"/>
        <v>300</v>
      </c>
      <c r="P62">
        <f>VLOOKUP(G62,Table1[#All],3,FALSE)</f>
        <v>750957.85439999995</v>
      </c>
      <c r="Q62">
        <f t="shared" si="6"/>
        <v>0</v>
      </c>
      <c r="R62">
        <v>0</v>
      </c>
      <c r="S62">
        <f t="shared" si="7"/>
        <v>672969.91036228137</v>
      </c>
      <c r="U62">
        <v>42</v>
      </c>
      <c r="V62">
        <f t="shared" si="8"/>
        <v>672969.91036228137</v>
      </c>
      <c r="W62">
        <f t="shared" si="9"/>
        <v>4357.3640114740083</v>
      </c>
      <c r="Y62">
        <v>42</v>
      </c>
      <c r="Z62">
        <f t="shared" si="10"/>
        <v>0</v>
      </c>
      <c r="AA62">
        <f t="shared" si="11"/>
        <v>-300</v>
      </c>
      <c r="AB62">
        <f t="shared" si="12"/>
        <v>-315221.45325259917</v>
      </c>
      <c r="AC62">
        <f>0</f>
        <v>0</v>
      </c>
      <c r="AD62">
        <f t="shared" si="13"/>
        <v>-18.179099999999998</v>
      </c>
      <c r="AE62">
        <f t="shared" si="14"/>
        <v>-4357.3640114740083</v>
      </c>
      <c r="AF62">
        <f t="shared" si="15"/>
        <v>-319896.99636407319</v>
      </c>
      <c r="AG62">
        <f t="shared" si="16"/>
        <v>-3917.7151830423968</v>
      </c>
      <c r="AH62">
        <f t="shared" si="23"/>
        <v>-323814.71154711558</v>
      </c>
      <c r="AI62">
        <f t="shared" si="17"/>
        <v>8.4505200728458366E-2</v>
      </c>
      <c r="AJ62">
        <f t="shared" si="18"/>
        <v>-159.30053212265591</v>
      </c>
      <c r="AK62">
        <f>0</f>
        <v>0</v>
      </c>
    </row>
    <row r="63" spans="1:37" x14ac:dyDescent="0.2">
      <c r="A63">
        <f t="shared" si="19"/>
        <v>103</v>
      </c>
      <c r="B63">
        <f>VLOOKUP('Male SPWL (before)'!A63,Table21[#All],2,FALSE)</f>
        <v>0.44457215589999999</v>
      </c>
      <c r="C63">
        <f t="shared" si="0"/>
        <v>0.55542784410000001</v>
      </c>
      <c r="D63">
        <f t="shared" si="1"/>
        <v>0.88529153082353407</v>
      </c>
      <c r="E63">
        <f t="shared" si="2"/>
        <v>0.88529153082353407</v>
      </c>
      <c r="G63">
        <f t="shared" si="20"/>
        <v>103</v>
      </c>
      <c r="H63">
        <f t="shared" si="3"/>
        <v>0.44457215589999999</v>
      </c>
      <c r="I63">
        <f>0</f>
        <v>0</v>
      </c>
      <c r="J63">
        <f t="shared" si="4"/>
        <v>0.55542784410000001</v>
      </c>
      <c r="K63">
        <f t="shared" si="21"/>
        <v>3.3778899099953107E-3</v>
      </c>
      <c r="M63">
        <v>43</v>
      </c>
      <c r="N63">
        <f t="shared" si="5"/>
        <v>0</v>
      </c>
      <c r="O63">
        <f t="shared" si="22"/>
        <v>300</v>
      </c>
      <c r="P63">
        <f>VLOOKUP(G63,Table1[#All],3,FALSE)</f>
        <v>750957.85439999995</v>
      </c>
      <c r="Q63">
        <f t="shared" si="6"/>
        <v>0</v>
      </c>
      <c r="R63">
        <v>0</v>
      </c>
      <c r="S63">
        <f t="shared" si="7"/>
        <v>675885.64665381808</v>
      </c>
      <c r="U63">
        <v>43</v>
      </c>
      <c r="V63">
        <f t="shared" si="8"/>
        <v>675885.64665381808</v>
      </c>
      <c r="W63">
        <f t="shared" si="9"/>
        <v>4171.0290207935368</v>
      </c>
      <c r="Y63">
        <v>43</v>
      </c>
      <c r="Z63">
        <f t="shared" si="10"/>
        <v>0</v>
      </c>
      <c r="AA63">
        <f t="shared" si="11"/>
        <v>-300</v>
      </c>
      <c r="AB63">
        <f t="shared" si="12"/>
        <v>-333854.95232064626</v>
      </c>
      <c r="AC63">
        <f>0</f>
        <v>0</v>
      </c>
      <c r="AD63">
        <f t="shared" si="13"/>
        <v>-18.179099999999998</v>
      </c>
      <c r="AE63">
        <f t="shared" si="14"/>
        <v>-4171.0290207935368</v>
      </c>
      <c r="AF63">
        <f t="shared" si="15"/>
        <v>-338344.16044143983</v>
      </c>
      <c r="AG63">
        <f t="shared" si="16"/>
        <v>-2283.0673061425878</v>
      </c>
      <c r="AH63">
        <f t="shared" si="23"/>
        <v>-340627.22774758242</v>
      </c>
      <c r="AI63">
        <f t="shared" si="17"/>
        <v>7.9677012784741388E-2</v>
      </c>
      <c r="AJ63">
        <f t="shared" si="18"/>
        <v>-91.676472552354355</v>
      </c>
      <c r="AK63">
        <f>0</f>
        <v>0</v>
      </c>
    </row>
    <row r="64" spans="1:37" x14ac:dyDescent="0.2">
      <c r="A64">
        <f t="shared" si="19"/>
        <v>104</v>
      </c>
      <c r="B64">
        <f>VLOOKUP('Male SPWL (before)'!A64,Table21[#All],2,FALSE)</f>
        <v>0.46980783050000002</v>
      </c>
      <c r="C64">
        <f t="shared" si="0"/>
        <v>0.53019216950000003</v>
      </c>
      <c r="D64">
        <f t="shared" si="1"/>
        <v>0.89006230254427332</v>
      </c>
      <c r="E64">
        <f t="shared" si="2"/>
        <v>0.89006230254427332</v>
      </c>
      <c r="G64">
        <f t="shared" si="20"/>
        <v>104</v>
      </c>
      <c r="H64">
        <f t="shared" si="3"/>
        <v>0.46980783050000002</v>
      </c>
      <c r="I64">
        <f>0</f>
        <v>0</v>
      </c>
      <c r="J64">
        <f t="shared" si="4"/>
        <v>0.53019216950000003</v>
      </c>
      <c r="K64">
        <f t="shared" si="21"/>
        <v>1.8761741103158385E-3</v>
      </c>
      <c r="M64">
        <v>44</v>
      </c>
      <c r="N64">
        <f t="shared" si="5"/>
        <v>0</v>
      </c>
      <c r="O64">
        <f t="shared" si="22"/>
        <v>300</v>
      </c>
      <c r="P64">
        <f>VLOOKUP(G64,Table1[#All],3,FALSE)</f>
        <v>750957.85439999995</v>
      </c>
      <c r="Q64">
        <f t="shared" si="6"/>
        <v>0</v>
      </c>
      <c r="R64">
        <v>0</v>
      </c>
      <c r="S64">
        <f t="shared" si="7"/>
        <v>678502.49525653652</v>
      </c>
      <c r="U64">
        <v>44</v>
      </c>
      <c r="V64">
        <f t="shared" si="8"/>
        <v>678502.49525653652</v>
      </c>
      <c r="W64">
        <f t="shared" si="9"/>
        <v>3981.5197402740114</v>
      </c>
      <c r="Y64">
        <v>44</v>
      </c>
      <c r="Z64">
        <f t="shared" si="10"/>
        <v>0</v>
      </c>
      <c r="AA64">
        <f t="shared" si="11"/>
        <v>-300</v>
      </c>
      <c r="AB64">
        <f t="shared" si="12"/>
        <v>-352805.88037259888</v>
      </c>
      <c r="AC64">
        <f>0</f>
        <v>0</v>
      </c>
      <c r="AD64">
        <f t="shared" si="13"/>
        <v>-18.179099999999998</v>
      </c>
      <c r="AE64">
        <f t="shared" si="14"/>
        <v>-3981.5197402740114</v>
      </c>
      <c r="AF64">
        <f t="shared" si="15"/>
        <v>-357105.57921287289</v>
      </c>
      <c r="AG64">
        <f t="shared" si="16"/>
        <v>-1272.9888153850088</v>
      </c>
      <c r="AH64">
        <f t="shared" si="23"/>
        <v>-358378.56802825793</v>
      </c>
      <c r="AI64">
        <f t="shared" si="17"/>
        <v>7.5124682405043011E-2</v>
      </c>
      <c r="AJ64">
        <f t="shared" si="18"/>
        <v>-50.512378356194525</v>
      </c>
      <c r="AK64">
        <f>0</f>
        <v>0</v>
      </c>
    </row>
    <row r="65" spans="1:37" x14ac:dyDescent="0.2">
      <c r="A65">
        <f t="shared" si="19"/>
        <v>105</v>
      </c>
      <c r="B65">
        <f>VLOOKUP('Male SPWL (before)'!A65,Table21[#All],2,FALSE)</f>
        <v>0.4953086874</v>
      </c>
      <c r="C65">
        <f t="shared" si="0"/>
        <v>0.5046913126</v>
      </c>
      <c r="D65">
        <f t="shared" si="1"/>
        <v>0.89437303051596384</v>
      </c>
      <c r="E65">
        <f t="shared" si="2"/>
        <v>0.89437303051596384</v>
      </c>
      <c r="G65">
        <f t="shared" si="20"/>
        <v>105</v>
      </c>
      <c r="H65">
        <f t="shared" si="3"/>
        <v>0.4953086874</v>
      </c>
      <c r="I65">
        <f>0</f>
        <v>0</v>
      </c>
      <c r="J65">
        <f t="shared" si="4"/>
        <v>0.5046913126</v>
      </c>
      <c r="K65">
        <f t="shared" si="21"/>
        <v>9.9473282190808685E-4</v>
      </c>
      <c r="M65">
        <v>45</v>
      </c>
      <c r="N65">
        <f t="shared" si="5"/>
        <v>0</v>
      </c>
      <c r="O65">
        <f t="shared" si="22"/>
        <v>300</v>
      </c>
      <c r="P65">
        <f>VLOOKUP(G65,Table1[#All],3,FALSE)</f>
        <v>750957.85439999995</v>
      </c>
      <c r="Q65">
        <f t="shared" si="6"/>
        <v>0</v>
      </c>
      <c r="R65">
        <v>0</v>
      </c>
      <c r="S65">
        <f t="shared" si="7"/>
        <v>680720.18494571641</v>
      </c>
      <c r="U65">
        <v>45</v>
      </c>
      <c r="V65">
        <f t="shared" si="8"/>
        <v>680720.18494571641</v>
      </c>
      <c r="W65">
        <f t="shared" si="9"/>
        <v>3790.0190524441568</v>
      </c>
      <c r="Y65">
        <v>45</v>
      </c>
      <c r="Z65">
        <f t="shared" si="10"/>
        <v>0</v>
      </c>
      <c r="AA65">
        <f t="shared" si="11"/>
        <v>-300</v>
      </c>
      <c r="AB65">
        <f t="shared" si="12"/>
        <v>-371955.94915558427</v>
      </c>
      <c r="AC65">
        <f>0</f>
        <v>0</v>
      </c>
      <c r="AD65">
        <f t="shared" si="13"/>
        <v>-18.179099999999998</v>
      </c>
      <c r="AE65">
        <f t="shared" si="14"/>
        <v>-3790.0190524441568</v>
      </c>
      <c r="AF65">
        <f t="shared" si="15"/>
        <v>-376064.14730802842</v>
      </c>
      <c r="AG65">
        <f t="shared" si="16"/>
        <v>-677.13471050084729</v>
      </c>
      <c r="AH65">
        <f t="shared" si="23"/>
        <v>-376741.28201852925</v>
      </c>
      <c r="AI65">
        <f t="shared" si="17"/>
        <v>7.0832448521957928E-2</v>
      </c>
      <c r="AJ65">
        <f t="shared" si="18"/>
        <v>-26.544950144384394</v>
      </c>
      <c r="AK65">
        <f>0</f>
        <v>0</v>
      </c>
    </row>
    <row r="66" spans="1:37" x14ac:dyDescent="0.2">
      <c r="A66">
        <f t="shared" si="19"/>
        <v>106</v>
      </c>
      <c r="B66">
        <f>VLOOKUP('Male SPWL (before)'!A66,Table21[#All],2,FALSE)</f>
        <v>0.52091674939999999</v>
      </c>
      <c r="C66">
        <f t="shared" si="0"/>
        <v>0.47908325060000001</v>
      </c>
      <c r="D66">
        <f t="shared" si="1"/>
        <v>0.89809484397718897</v>
      </c>
      <c r="E66">
        <f t="shared" si="2"/>
        <v>0.89809484397718897</v>
      </c>
      <c r="G66">
        <f t="shared" si="20"/>
        <v>106</v>
      </c>
      <c r="H66">
        <f t="shared" si="3"/>
        <v>0.52091674939999999</v>
      </c>
      <c r="I66">
        <f>0</f>
        <v>0</v>
      </c>
      <c r="J66">
        <f t="shared" si="4"/>
        <v>0.47908325060000001</v>
      </c>
      <c r="K66">
        <f t="shared" si="21"/>
        <v>5.0203301357509443E-4</v>
      </c>
      <c r="M66">
        <v>46</v>
      </c>
      <c r="N66">
        <f t="shared" si="5"/>
        <v>0</v>
      </c>
      <c r="O66">
        <f t="shared" si="22"/>
        <v>300</v>
      </c>
      <c r="P66">
        <f>VLOOKUP(G66,Table1[#All],3,FALSE)</f>
        <v>750957.85439999995</v>
      </c>
      <c r="Q66">
        <f t="shared" si="6"/>
        <v>0</v>
      </c>
      <c r="R66">
        <v>0</v>
      </c>
      <c r="S66">
        <f t="shared" si="7"/>
        <v>682276.76240729331</v>
      </c>
      <c r="U66">
        <v>46</v>
      </c>
      <c r="V66">
        <f t="shared" si="8"/>
        <v>682276.76240729331</v>
      </c>
      <c r="W66">
        <f t="shared" si="9"/>
        <v>3597.713299495535</v>
      </c>
      <c r="Y66">
        <v>46</v>
      </c>
      <c r="Z66">
        <f t="shared" si="10"/>
        <v>0</v>
      </c>
      <c r="AA66">
        <f t="shared" si="11"/>
        <v>-300</v>
      </c>
      <c r="AB66">
        <f t="shared" si="12"/>
        <v>-391186.52445044648</v>
      </c>
      <c r="AC66">
        <f>0</f>
        <v>0</v>
      </c>
      <c r="AD66">
        <f t="shared" si="13"/>
        <v>-18.179099999999998</v>
      </c>
      <c r="AE66">
        <f t="shared" si="14"/>
        <v>-3597.713299495535</v>
      </c>
      <c r="AF66">
        <f t="shared" si="15"/>
        <v>-395102.416849942</v>
      </c>
      <c r="AG66">
        <f t="shared" si="16"/>
        <v>-342.52545912359216</v>
      </c>
      <c r="AH66">
        <f t="shared" si="23"/>
        <v>-395444.94230906561</v>
      </c>
      <c r="AI66">
        <f t="shared" si="17"/>
        <v>6.6785450573552382E-2</v>
      </c>
      <c r="AJ66">
        <f t="shared" si="18"/>
        <v>-13.258676149353214</v>
      </c>
      <c r="AK66">
        <f>0</f>
        <v>0</v>
      </c>
    </row>
    <row r="67" spans="1:37" x14ac:dyDescent="0.2">
      <c r="A67">
        <f t="shared" si="19"/>
        <v>107</v>
      </c>
      <c r="B67">
        <f>VLOOKUP('Male SPWL (before)'!A67,Table21[#All],2,FALSE)</f>
        <v>0.54665956250000003</v>
      </c>
      <c r="C67">
        <f t="shared" si="0"/>
        <v>0.45334043749999997</v>
      </c>
      <c r="D67">
        <f t="shared" si="1"/>
        <v>0.9008871574974544</v>
      </c>
      <c r="E67">
        <f t="shared" si="2"/>
        <v>0.9008871574974544</v>
      </c>
      <c r="G67">
        <f t="shared" si="20"/>
        <v>107</v>
      </c>
      <c r="H67">
        <f t="shared" si="3"/>
        <v>0.54665956250000003</v>
      </c>
      <c r="I67">
        <f>0</f>
        <v>0</v>
      </c>
      <c r="J67">
        <f t="shared" si="4"/>
        <v>0.45334043749999997</v>
      </c>
      <c r="K67">
        <f t="shared" si="21"/>
        <v>2.4051560805207016E-4</v>
      </c>
      <c r="M67">
        <v>47</v>
      </c>
      <c r="N67">
        <f t="shared" si="5"/>
        <v>0</v>
      </c>
      <c r="O67">
        <f t="shared" si="22"/>
        <v>300</v>
      </c>
      <c r="P67">
        <f>VLOOKUP(G67,Table1[#All],3,FALSE)</f>
        <v>750957.85439999995</v>
      </c>
      <c r="Q67">
        <f t="shared" si="6"/>
        <v>0</v>
      </c>
      <c r="R67">
        <v>0</v>
      </c>
      <c r="S67">
        <f t="shared" si="7"/>
        <v>682444.79186586512</v>
      </c>
      <c r="U67">
        <v>47</v>
      </c>
      <c r="V67">
        <f t="shared" si="8"/>
        <v>682444.79186586512</v>
      </c>
      <c r="W67">
        <f t="shared" si="9"/>
        <v>3404.3956225775728</v>
      </c>
      <c r="Y67">
        <v>47</v>
      </c>
      <c r="Z67">
        <f t="shared" si="10"/>
        <v>0</v>
      </c>
      <c r="AA67">
        <f t="shared" si="11"/>
        <v>-300</v>
      </c>
      <c r="AB67">
        <f t="shared" si="12"/>
        <v>-410518.29214224272</v>
      </c>
      <c r="AC67">
        <f>0</f>
        <v>0</v>
      </c>
      <c r="AD67">
        <f t="shared" si="13"/>
        <v>-18.179099999999998</v>
      </c>
      <c r="AE67">
        <f t="shared" si="14"/>
        <v>-3404.3956225775728</v>
      </c>
      <c r="AF67">
        <f t="shared" si="15"/>
        <v>-414240.8668648203</v>
      </c>
      <c r="AG67">
        <f t="shared" si="16"/>
        <v>-164.13862407758702</v>
      </c>
      <c r="AH67">
        <f t="shared" si="23"/>
        <v>-414405.00548889791</v>
      </c>
      <c r="AI67">
        <f t="shared" si="17"/>
        <v>6.2969677053161921E-2</v>
      </c>
      <c r="AJ67">
        <f t="shared" si="18"/>
        <v>-6.276242613574806</v>
      </c>
      <c r="AK67">
        <f>0</f>
        <v>0</v>
      </c>
    </row>
    <row r="68" spans="1:37" x14ac:dyDescent="0.2">
      <c r="A68">
        <f t="shared" si="19"/>
        <v>108</v>
      </c>
      <c r="B68">
        <f>VLOOKUP('Male SPWL (before)'!A68,Table21[#All],2,FALSE)</f>
        <v>0.572584859</v>
      </c>
      <c r="C68">
        <f t="shared" si="0"/>
        <v>0.427415141</v>
      </c>
      <c r="D68">
        <f t="shared" si="1"/>
        <v>0.90179172265065721</v>
      </c>
      <c r="E68">
        <f t="shared" si="2"/>
        <v>0.90179172265065721</v>
      </c>
      <c r="G68">
        <f t="shared" si="20"/>
        <v>108</v>
      </c>
      <c r="H68">
        <f t="shared" si="3"/>
        <v>0.572584859</v>
      </c>
      <c r="I68">
        <f>0</f>
        <v>0</v>
      </c>
      <c r="J68">
        <f t="shared" si="4"/>
        <v>0.427415141</v>
      </c>
      <c r="K68">
        <f t="shared" si="21"/>
        <v>1.09035450979904E-4</v>
      </c>
      <c r="M68">
        <v>48</v>
      </c>
      <c r="N68">
        <f t="shared" si="5"/>
        <v>0</v>
      </c>
      <c r="O68">
        <f t="shared" si="22"/>
        <v>300</v>
      </c>
      <c r="P68">
        <f>VLOOKUP(G68,Table1[#All],3,FALSE)</f>
        <v>750957.85439999995</v>
      </c>
      <c r="Q68">
        <f t="shared" si="6"/>
        <v>0</v>
      </c>
      <c r="R68">
        <v>0</v>
      </c>
      <c r="S68">
        <f t="shared" si="7"/>
        <v>679161.51587563916</v>
      </c>
      <c r="U68">
        <v>48</v>
      </c>
      <c r="V68">
        <f t="shared" si="8"/>
        <v>679161.51587563916</v>
      </c>
      <c r="W68">
        <f t="shared" si="9"/>
        <v>3209.7075722343347</v>
      </c>
      <c r="Y68">
        <v>48</v>
      </c>
      <c r="Z68">
        <f t="shared" si="10"/>
        <v>0</v>
      </c>
      <c r="AA68">
        <f t="shared" si="11"/>
        <v>-300</v>
      </c>
      <c r="AB68">
        <f t="shared" si="12"/>
        <v>-429987.09717656649</v>
      </c>
      <c r="AC68">
        <f>0</f>
        <v>0</v>
      </c>
      <c r="AD68">
        <f t="shared" si="13"/>
        <v>-18.179099999999998</v>
      </c>
      <c r="AE68">
        <f t="shared" si="14"/>
        <v>-3209.7075722343347</v>
      </c>
      <c r="AF68">
        <f t="shared" si="15"/>
        <v>-433514.98384880082</v>
      </c>
      <c r="AG68">
        <f t="shared" si="16"/>
        <v>-74.052682171695551</v>
      </c>
      <c r="AH68">
        <f t="shared" si="23"/>
        <v>-433589.03653097252</v>
      </c>
      <c r="AI68">
        <f t="shared" si="17"/>
        <v>5.9371916998786467E-2</v>
      </c>
      <c r="AJ68">
        <f t="shared" si="18"/>
        <v>-2.8069009544578836</v>
      </c>
      <c r="AK68">
        <f>0</f>
        <v>0</v>
      </c>
    </row>
    <row r="69" spans="1:37" x14ac:dyDescent="0.2">
      <c r="A69">
        <f t="shared" si="19"/>
        <v>109</v>
      </c>
      <c r="B69">
        <f>VLOOKUP('Male SPWL (before)'!A69,Table21[#All],2,FALSE)</f>
        <v>0.59854595840000002</v>
      </c>
      <c r="C69">
        <f t="shared" si="0"/>
        <v>0.40145404159999998</v>
      </c>
      <c r="D69">
        <f t="shared" si="1"/>
        <v>0.89807940769257644</v>
      </c>
      <c r="E69">
        <f t="shared" si="2"/>
        <v>0.89807940769257644</v>
      </c>
      <c r="G69">
        <f t="shared" si="20"/>
        <v>109</v>
      </c>
      <c r="H69">
        <f t="shared" si="3"/>
        <v>0.59854595840000002</v>
      </c>
      <c r="I69">
        <f>0</f>
        <v>0</v>
      </c>
      <c r="J69">
        <f t="shared" si="4"/>
        <v>0.40145404159999998</v>
      </c>
      <c r="K69">
        <f t="shared" si="21"/>
        <v>4.6603402654574255E-5</v>
      </c>
      <c r="M69">
        <v>49</v>
      </c>
      <c r="N69">
        <f t="shared" si="5"/>
        <v>0</v>
      </c>
      <c r="O69">
        <f t="shared" si="22"/>
        <v>300</v>
      </c>
      <c r="P69">
        <f>VLOOKUP(G69,Table1[#All],3,FALSE)</f>
        <v>750957.85439999995</v>
      </c>
      <c r="Q69">
        <f t="shared" si="6"/>
        <v>0</v>
      </c>
      <c r="R69">
        <v>0</v>
      </c>
      <c r="S69">
        <f t="shared" si="7"/>
        <v>666330.19000125106</v>
      </c>
      <c r="U69">
        <v>49</v>
      </c>
      <c r="V69">
        <f t="shared" si="8"/>
        <v>666330.19000125106</v>
      </c>
      <c r="W69">
        <f t="shared" si="9"/>
        <v>3014.7506572014431</v>
      </c>
      <c r="Y69">
        <v>49</v>
      </c>
      <c r="Z69">
        <f t="shared" si="10"/>
        <v>0</v>
      </c>
      <c r="AA69">
        <f t="shared" si="11"/>
        <v>-300</v>
      </c>
      <c r="AB69">
        <f t="shared" si="12"/>
        <v>-449482.78867985564</v>
      </c>
      <c r="AC69">
        <f>0</f>
        <v>0</v>
      </c>
      <c r="AD69">
        <f t="shared" si="13"/>
        <v>-18.179099999999998</v>
      </c>
      <c r="AE69">
        <f t="shared" si="14"/>
        <v>-3014.7506572014431</v>
      </c>
      <c r="AF69">
        <f t="shared" si="15"/>
        <v>-452815.7184370571</v>
      </c>
      <c r="AG69">
        <f t="shared" si="16"/>
        <v>-31.053254145527273</v>
      </c>
      <c r="AH69">
        <f t="shared" si="23"/>
        <v>-452846.77169120265</v>
      </c>
      <c r="AI69">
        <f t="shared" si="17"/>
        <v>5.5979714254129009E-2</v>
      </c>
      <c r="AJ69">
        <f t="shared" si="18"/>
        <v>-1.1814071103021779</v>
      </c>
      <c r="AK69">
        <f>0</f>
        <v>0</v>
      </c>
    </row>
    <row r="70" spans="1:37" x14ac:dyDescent="0.2">
      <c r="A70">
        <f t="shared" si="19"/>
        <v>110</v>
      </c>
      <c r="B70">
        <f>VLOOKUP('Male SPWL (before)'!A70,Table21[#All],2,FALSE)</f>
        <v>0.62439198890000003</v>
      </c>
      <c r="C70">
        <f t="shared" si="0"/>
        <v>0.37560801109999997</v>
      </c>
      <c r="D70">
        <f t="shared" si="1"/>
        <v>0.88168091607655508</v>
      </c>
      <c r="E70">
        <f t="shared" si="2"/>
        <v>0.88168091607655508</v>
      </c>
      <c r="G70">
        <f t="shared" si="20"/>
        <v>110</v>
      </c>
      <c r="H70">
        <f t="shared" si="3"/>
        <v>0.62439198890000003</v>
      </c>
      <c r="I70">
        <f>0</f>
        <v>0</v>
      </c>
      <c r="J70">
        <f t="shared" si="4"/>
        <v>0.37560801109999997</v>
      </c>
      <c r="K70">
        <f t="shared" si="21"/>
        <v>1.8709124347991004E-5</v>
      </c>
      <c r="M70">
        <v>50</v>
      </c>
      <c r="N70">
        <f t="shared" si="5"/>
        <v>0</v>
      </c>
      <c r="O70">
        <f t="shared" si="22"/>
        <v>300</v>
      </c>
      <c r="P70">
        <f>VLOOKUP(G70,Table1[#All],3,FALSE)</f>
        <v>750957.85439999995</v>
      </c>
      <c r="Q70">
        <f t="shared" si="6"/>
        <v>0</v>
      </c>
      <c r="R70">
        <v>0</v>
      </c>
      <c r="S70">
        <f t="shared" si="7"/>
        <v>624792.03941226378</v>
      </c>
      <c r="U70">
        <v>50</v>
      </c>
      <c r="V70">
        <f t="shared" si="8"/>
        <v>624792.03941226378</v>
      </c>
      <c r="W70">
        <f t="shared" si="9"/>
        <v>2820.6578611110735</v>
      </c>
      <c r="Y70">
        <v>50</v>
      </c>
      <c r="Z70">
        <f t="shared" si="10"/>
        <v>0</v>
      </c>
      <c r="AA70">
        <f t="shared" si="11"/>
        <v>-300</v>
      </c>
      <c r="AB70">
        <f t="shared" si="12"/>
        <v>-468892.06828889262</v>
      </c>
      <c r="AC70">
        <f>0</f>
        <v>0</v>
      </c>
      <c r="AD70">
        <f t="shared" si="13"/>
        <v>-18.179099999999998</v>
      </c>
      <c r="AE70">
        <f t="shared" si="14"/>
        <v>-2820.6578611110735</v>
      </c>
      <c r="AF70">
        <f t="shared" si="15"/>
        <v>-472030.90525000368</v>
      </c>
      <c r="AG70">
        <f t="shared" si="16"/>
        <v>-11.689311956998939</v>
      </c>
      <c r="AH70">
        <f t="shared" si="23"/>
        <v>-472042.59456196066</v>
      </c>
      <c r="AI70">
        <f t="shared" si="17"/>
        <v>5.2781324342921029E-2</v>
      </c>
      <c r="AJ70">
        <f t="shared" si="18"/>
        <v>-0.4661384559054732</v>
      </c>
      <c r="AK70">
        <f>0</f>
        <v>0</v>
      </c>
    </row>
    <row r="71" spans="1:37" x14ac:dyDescent="0.2">
      <c r="A71">
        <f t="shared" si="19"/>
        <v>111</v>
      </c>
      <c r="B71">
        <f>VLOOKUP('Male SPWL (before)'!A71,Table21[#All],2,FALSE)</f>
        <v>0.65439899729999995</v>
      </c>
      <c r="C71">
        <f t="shared" si="0"/>
        <v>0.34560100270000005</v>
      </c>
      <c r="D71">
        <f t="shared" si="1"/>
        <v>0.82723514000164022</v>
      </c>
      <c r="E71">
        <f t="shared" si="2"/>
        <v>0.82723514000164022</v>
      </c>
      <c r="G71">
        <f t="shared" si="20"/>
        <v>111</v>
      </c>
      <c r="H71">
        <f t="shared" si="3"/>
        <v>0.65439899729999995</v>
      </c>
      <c r="I71">
        <f>0</f>
        <v>0</v>
      </c>
      <c r="J71">
        <f t="shared" si="4"/>
        <v>0.34560100270000005</v>
      </c>
      <c r="K71">
        <f t="shared" si="21"/>
        <v>7.0272969857714844E-6</v>
      </c>
      <c r="M71">
        <v>51</v>
      </c>
      <c r="N71">
        <f t="shared" si="5"/>
        <v>0</v>
      </c>
      <c r="O71">
        <f t="shared" si="22"/>
        <v>300</v>
      </c>
      <c r="P71">
        <f>VLOOKUP(G71,Table1[#All],3,FALSE)</f>
        <v>750957.85439999995</v>
      </c>
      <c r="Q71">
        <f t="shared" si="6"/>
        <v>0</v>
      </c>
      <c r="R71">
        <v>0</v>
      </c>
      <c r="S71">
        <f t="shared" si="7"/>
        <v>487015.36569919396</v>
      </c>
      <c r="U71">
        <v>51</v>
      </c>
      <c r="V71">
        <f t="shared" si="8"/>
        <v>487015.36569919396</v>
      </c>
      <c r="W71">
        <f t="shared" si="9"/>
        <v>2595.3178746608064</v>
      </c>
      <c r="Y71">
        <v>51</v>
      </c>
      <c r="Z71">
        <f t="shared" si="10"/>
        <v>0</v>
      </c>
      <c r="AA71">
        <f t="shared" si="11"/>
        <v>-300</v>
      </c>
      <c r="AB71">
        <f t="shared" si="12"/>
        <v>-491426.06693391933</v>
      </c>
      <c r="AC71">
        <f>0</f>
        <v>0</v>
      </c>
      <c r="AD71">
        <f t="shared" si="13"/>
        <v>-18.179099999999998</v>
      </c>
      <c r="AE71">
        <f t="shared" si="14"/>
        <v>-2595.3178746608064</v>
      </c>
      <c r="AF71">
        <f t="shared" si="15"/>
        <v>-494339.56390858017</v>
      </c>
      <c r="AG71">
        <f t="shared" si="16"/>
        <v>-3.4224016114023428</v>
      </c>
      <c r="AH71">
        <f t="shared" si="23"/>
        <v>-494342.98631019157</v>
      </c>
      <c r="AI71">
        <f t="shared" si="17"/>
        <v>4.9765673807224638E-2</v>
      </c>
      <c r="AJ71">
        <f t="shared" si="18"/>
        <v>-0.17288072429753354</v>
      </c>
      <c r="AK71">
        <f>0</f>
        <v>0</v>
      </c>
    </row>
    <row r="72" spans="1:37" x14ac:dyDescent="0.2">
      <c r="A72">
        <f t="shared" si="19"/>
        <v>112</v>
      </c>
      <c r="B72">
        <f>VLOOKUP('Male SPWL (before)'!A72,Table21[#All],2,FALSE)</f>
        <v>0.6842429994</v>
      </c>
      <c r="C72">
        <f t="shared" si="0"/>
        <v>0.3157570006</v>
      </c>
      <c r="D72">
        <f t="shared" si="1"/>
        <v>0.64514891084926695</v>
      </c>
      <c r="E72">
        <f t="shared" si="2"/>
        <v>0.64514891084926695</v>
      </c>
      <c r="G72">
        <f t="shared" si="20"/>
        <v>112</v>
      </c>
      <c r="H72">
        <f t="shared" si="3"/>
        <v>0.6842429994</v>
      </c>
      <c r="I72">
        <f>0</f>
        <v>0</v>
      </c>
      <c r="J72">
        <f t="shared" si="4"/>
        <v>0.3157570006</v>
      </c>
      <c r="K72">
        <f t="shared" si="21"/>
        <v>2.4286408845533128E-6</v>
      </c>
      <c r="M72">
        <v>52</v>
      </c>
      <c r="N72">
        <f t="shared" si="5"/>
        <v>0</v>
      </c>
      <c r="O72">
        <f t="shared" si="22"/>
        <v>300</v>
      </c>
      <c r="P72">
        <f>VLOOKUP(G72,Table1[#All],3,FALSE)</f>
        <v>750957.85439999995</v>
      </c>
      <c r="Q72">
        <f t="shared" si="6"/>
        <v>0</v>
      </c>
      <c r="R72">
        <v>0</v>
      </c>
      <c r="S72">
        <f t="shared" si="7"/>
        <v>0</v>
      </c>
      <c r="U72">
        <v>52</v>
      </c>
      <c r="V72">
        <f t="shared" si="8"/>
        <v>0</v>
      </c>
      <c r="W72">
        <f t="shared" si="9"/>
        <v>2371.201996823555</v>
      </c>
      <c r="Y72">
        <v>52</v>
      </c>
      <c r="Z72">
        <f t="shared" si="10"/>
        <v>0</v>
      </c>
      <c r="AA72">
        <f t="shared" si="11"/>
        <v>-300</v>
      </c>
      <c r="AB72">
        <f t="shared" si="12"/>
        <v>-513837.65471764444</v>
      </c>
      <c r="AC72">
        <f>0</f>
        <v>0</v>
      </c>
      <c r="AD72">
        <f t="shared" si="13"/>
        <v>-18.179099999999998</v>
      </c>
      <c r="AE72">
        <f t="shared" si="14"/>
        <v>-2371.201996823555</v>
      </c>
      <c r="AF72">
        <f t="shared" si="15"/>
        <v>-516527.03581446799</v>
      </c>
      <c r="AG72">
        <f t="shared" si="16"/>
        <v>0</v>
      </c>
      <c r="AH72">
        <f t="shared" si="23"/>
        <v>-516527.03581446799</v>
      </c>
      <c r="AI72">
        <f t="shared" si="17"/>
        <v>4.6922321868932915E-2</v>
      </c>
      <c r="AJ72">
        <f t="shared" si="18"/>
        <v>-5.8862113820796688E-2</v>
      </c>
      <c r="AK72">
        <f>0</f>
        <v>0</v>
      </c>
    </row>
  </sheetData>
  <mergeCells count="6">
    <mergeCell ref="Y19:AG19"/>
    <mergeCell ref="AH19:AK19"/>
    <mergeCell ref="A19:E19"/>
    <mergeCell ref="G19:K19"/>
    <mergeCell ref="M19:S19"/>
    <mergeCell ref="U19:W19"/>
  </mergeCells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2D9187-38A7-134C-BE9A-121EF8A6AE05}">
          <x14:formula1>
            <xm:f>'male lifetable'!$A$2:$A$76</xm:f>
          </x14:formula1>
          <xm:sqref>B2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E6BB4-DEE5-1E4E-AA77-BFABC96E0FEF}">
  <sheetPr codeName="Sheet8"/>
  <dimension ref="A1:AN98"/>
  <sheetViews>
    <sheetView workbookViewId="0">
      <selection activeCell="B17" sqref="B17"/>
    </sheetView>
  </sheetViews>
  <sheetFormatPr baseColWidth="10" defaultRowHeight="16" x14ac:dyDescent="0.2"/>
  <cols>
    <col min="1" max="1" width="32.1640625" customWidth="1"/>
    <col min="2" max="2" width="23.33203125" customWidth="1"/>
    <col min="3" max="3" width="16.6640625" customWidth="1"/>
    <col min="5" max="5" width="12.1640625" bestFit="1" customWidth="1"/>
  </cols>
  <sheetData>
    <row r="1" spans="1:6" ht="19" x14ac:dyDescent="0.25">
      <c r="A1" s="6" t="s">
        <v>18</v>
      </c>
      <c r="B1" s="8">
        <f>ROUNDDOWN(VLOOKUP(B2,Table2[#All],13,FALSE),0)</f>
        <v>324</v>
      </c>
    </row>
    <row r="2" spans="1:6" ht="19" x14ac:dyDescent="0.25">
      <c r="A2" s="6" t="s">
        <v>0</v>
      </c>
      <c r="B2" s="9">
        <v>61</v>
      </c>
    </row>
    <row r="3" spans="1:6" ht="19" x14ac:dyDescent="0.25">
      <c r="A3" s="6" t="s">
        <v>50</v>
      </c>
      <c r="B3" s="9">
        <f>VLOOKUP(B2,Table2[],10,FALSE)</f>
        <v>5215</v>
      </c>
    </row>
    <row r="4" spans="1:6" ht="19" x14ac:dyDescent="0.25">
      <c r="A4" s="6" t="s">
        <v>6</v>
      </c>
      <c r="B4" s="7">
        <v>6.0596999999999998E-2</v>
      </c>
    </row>
    <row r="5" spans="1:6" ht="19" x14ac:dyDescent="0.25">
      <c r="A5" s="6" t="s">
        <v>4</v>
      </c>
      <c r="B5" s="7">
        <f>(1+B4)^(-1)</f>
        <v>0.94286519761983112</v>
      </c>
    </row>
    <row r="6" spans="1:6" ht="19" x14ac:dyDescent="0.25">
      <c r="A6" s="6" t="s">
        <v>37</v>
      </c>
      <c r="B6" s="7">
        <v>0.01</v>
      </c>
    </row>
    <row r="7" spans="1:6" ht="19" x14ac:dyDescent="0.25">
      <c r="A7" s="6" t="s">
        <v>8</v>
      </c>
      <c r="B7" s="8" t="s">
        <v>9</v>
      </c>
    </row>
    <row r="8" spans="1:6" ht="19" x14ac:dyDescent="0.25">
      <c r="A8" s="6" t="s">
        <v>10</v>
      </c>
      <c r="B8" s="8" t="s">
        <v>49</v>
      </c>
    </row>
    <row r="9" spans="1:6" ht="19" x14ac:dyDescent="0.25">
      <c r="A9" s="6" t="s">
        <v>42</v>
      </c>
      <c r="B9" s="8" t="s">
        <v>87</v>
      </c>
    </row>
    <row r="10" spans="1:6" ht="19" x14ac:dyDescent="0.25">
      <c r="A10" s="6" t="s">
        <v>36</v>
      </c>
      <c r="B10" s="8">
        <v>0</v>
      </c>
    </row>
    <row r="11" spans="1:6" ht="19" x14ac:dyDescent="0.25">
      <c r="A11" s="6" t="s">
        <v>91</v>
      </c>
      <c r="B11" s="8">
        <v>300</v>
      </c>
    </row>
    <row r="12" spans="1:6" ht="19" x14ac:dyDescent="0.25">
      <c r="A12" s="6" t="s">
        <v>102</v>
      </c>
      <c r="B12" s="29">
        <f>NPV(B4,O25:O76)</f>
        <v>9352.6223598173256</v>
      </c>
    </row>
    <row r="13" spans="1:6" ht="19" x14ac:dyDescent="0.25">
      <c r="A13" s="6" t="s">
        <v>103</v>
      </c>
      <c r="B13" s="29">
        <f>B12*B1</f>
        <v>3030249.6445808136</v>
      </c>
    </row>
    <row r="14" spans="1:6" ht="19" x14ac:dyDescent="0.25">
      <c r="A14" s="6" t="s">
        <v>89</v>
      </c>
      <c r="B14" s="29">
        <f>AH25+NPV(B4,AH26:AH76)</f>
        <v>-7485450.1393848415</v>
      </c>
    </row>
    <row r="15" spans="1:6" ht="19" x14ac:dyDescent="0.25">
      <c r="A15" s="6" t="s">
        <v>90</v>
      </c>
      <c r="B15" s="29">
        <f>W25+NPV(B4,W26:W76)</f>
        <v>117849.14658516664</v>
      </c>
      <c r="F15" s="30"/>
    </row>
    <row r="16" spans="1:6" ht="19" x14ac:dyDescent="0.25">
      <c r="A16" s="6" t="s">
        <v>92</v>
      </c>
      <c r="B16" s="29">
        <f>SUM(AJ25:AJ76)</f>
        <v>-4888344.3777809637</v>
      </c>
    </row>
    <row r="17" spans="1:40" ht="19" x14ac:dyDescent="0.25">
      <c r="A17" s="6" t="s">
        <v>107</v>
      </c>
      <c r="B17" s="29">
        <f>ROUND(B16*B1,0)</f>
        <v>-1583823578</v>
      </c>
    </row>
    <row r="18" spans="1:40" ht="19" x14ac:dyDescent="0.25">
      <c r="A18" s="6" t="s">
        <v>95</v>
      </c>
      <c r="B18" s="29">
        <f>B17/-B13</f>
        <v>522.67098878551201</v>
      </c>
    </row>
    <row r="19" spans="1:40" ht="19" x14ac:dyDescent="0.25">
      <c r="A19" s="6" t="s">
        <v>127</v>
      </c>
      <c r="B19" s="29">
        <f>B17-'Male SPWL (before)'!B16</f>
        <v>725503138</v>
      </c>
    </row>
    <row r="20" spans="1:40" ht="19" x14ac:dyDescent="0.25">
      <c r="A20" s="6" t="s">
        <v>105</v>
      </c>
      <c r="B20" s="29">
        <f>B13-'Male SPWL (before)'!B12</f>
        <v>322889.14420806617</v>
      </c>
    </row>
    <row r="21" spans="1:40" ht="19" x14ac:dyDescent="0.25">
      <c r="A21" s="6" t="s">
        <v>128</v>
      </c>
      <c r="B21" s="36">
        <f>'Male SPWL(after)'!B19/ABS('Male SPWL (before)'!B16)</f>
        <v>0.31416218977306459</v>
      </c>
    </row>
    <row r="22" spans="1:40" x14ac:dyDescent="0.2">
      <c r="B22" s="35"/>
    </row>
    <row r="23" spans="1:40" ht="19" x14ac:dyDescent="0.25">
      <c r="A23" s="60" t="s">
        <v>66</v>
      </c>
      <c r="B23" s="60"/>
      <c r="C23" s="60"/>
      <c r="D23" s="60"/>
      <c r="E23" s="60"/>
      <c r="G23" s="60" t="s">
        <v>65</v>
      </c>
      <c r="H23" s="60"/>
      <c r="I23" s="60"/>
      <c r="J23" s="60"/>
      <c r="K23" s="60"/>
      <c r="M23" s="60" t="s">
        <v>67</v>
      </c>
      <c r="N23" s="60"/>
      <c r="O23" s="60"/>
      <c r="P23" s="60"/>
      <c r="Q23" s="60"/>
      <c r="R23" s="60"/>
      <c r="S23" s="60"/>
      <c r="U23" s="60" t="s">
        <v>46</v>
      </c>
      <c r="V23" s="60"/>
      <c r="W23" s="60"/>
      <c r="Y23" s="60" t="s">
        <v>68</v>
      </c>
      <c r="Z23" s="60"/>
      <c r="AA23" s="60"/>
      <c r="AB23" s="60"/>
      <c r="AC23" s="60"/>
      <c r="AD23" s="60"/>
      <c r="AE23" s="60"/>
      <c r="AF23" s="60"/>
      <c r="AG23" s="60"/>
      <c r="AH23" s="60" t="s">
        <v>69</v>
      </c>
      <c r="AI23" s="60"/>
      <c r="AJ23" s="60"/>
      <c r="AK23" s="60"/>
    </row>
    <row r="24" spans="1:40" ht="19" x14ac:dyDescent="0.25">
      <c r="A24" s="11" t="s">
        <v>5</v>
      </c>
      <c r="B24" s="11" t="s">
        <v>1</v>
      </c>
      <c r="C24" s="11" t="s">
        <v>2</v>
      </c>
      <c r="D24" s="11" t="s">
        <v>3</v>
      </c>
      <c r="E24" s="12" t="s">
        <v>7</v>
      </c>
      <c r="G24" s="11" t="s">
        <v>5</v>
      </c>
      <c r="H24" s="14" t="s">
        <v>26</v>
      </c>
      <c r="I24" s="14" t="s">
        <v>47</v>
      </c>
      <c r="J24" s="14" t="s">
        <v>27</v>
      </c>
      <c r="K24" s="15" t="s">
        <v>28</v>
      </c>
      <c r="M24" s="11" t="s">
        <v>34</v>
      </c>
      <c r="N24" s="11" t="s">
        <v>12</v>
      </c>
      <c r="O24" s="11" t="s">
        <v>13</v>
      </c>
      <c r="P24" s="11" t="s">
        <v>14</v>
      </c>
      <c r="Q24" s="11" t="s">
        <v>40</v>
      </c>
      <c r="R24" s="16" t="s">
        <v>15</v>
      </c>
      <c r="S24" s="12" t="s">
        <v>35</v>
      </c>
      <c r="U24" s="14" t="s">
        <v>34</v>
      </c>
      <c r="V24" s="11" t="s">
        <v>16</v>
      </c>
      <c r="W24" s="12" t="s">
        <v>17</v>
      </c>
      <c r="Y24" s="14" t="s">
        <v>34</v>
      </c>
      <c r="Z24" s="11" t="s">
        <v>29</v>
      </c>
      <c r="AA24" s="11" t="s">
        <v>30</v>
      </c>
      <c r="AB24" s="11" t="s">
        <v>31</v>
      </c>
      <c r="AC24" s="11" t="s">
        <v>32</v>
      </c>
      <c r="AD24" s="11" t="s">
        <v>33</v>
      </c>
      <c r="AE24" s="11" t="s">
        <v>51</v>
      </c>
      <c r="AF24" s="11" t="s">
        <v>43</v>
      </c>
      <c r="AG24" s="11" t="s">
        <v>44</v>
      </c>
      <c r="AH24" s="11" t="s">
        <v>45</v>
      </c>
      <c r="AI24" s="11" t="s">
        <v>41</v>
      </c>
      <c r="AJ24" s="11" t="s">
        <v>38</v>
      </c>
      <c r="AK24" s="12" t="s">
        <v>39</v>
      </c>
      <c r="AM24" s="44"/>
      <c r="AN24" s="44"/>
    </row>
    <row r="25" spans="1:40" x14ac:dyDescent="0.2">
      <c r="A25">
        <f>B2</f>
        <v>61</v>
      </c>
      <c r="B25">
        <f>VLOOKUP(A25,Table21[#All],3,FALSE)</f>
        <v>6.287842043614697E-3</v>
      </c>
      <c r="C25">
        <f>1-B25</f>
        <v>0.99371215795638534</v>
      </c>
      <c r="D25">
        <f>$B$5*(B25+C25*D26)</f>
        <v>0.26614162813686221</v>
      </c>
      <c r="E25">
        <f>D25-PRODUCT(C25:C44)*E44*$B$5^(20)</f>
        <v>7472981.3488820763</v>
      </c>
      <c r="G25">
        <f>B2</f>
        <v>61</v>
      </c>
      <c r="H25">
        <f>B25</f>
        <v>6.287842043614697E-3</v>
      </c>
      <c r="I25">
        <f>0</f>
        <v>0</v>
      </c>
      <c r="J25">
        <f>1-H25-I25</f>
        <v>0.99371215795638534</v>
      </c>
      <c r="K25">
        <v>1</v>
      </c>
      <c r="M25">
        <v>1</v>
      </c>
      <c r="N25">
        <f>$B$10</f>
        <v>0</v>
      </c>
      <c r="O25">
        <f>$B$3</f>
        <v>5215</v>
      </c>
      <c r="P25">
        <f>VLOOKUP(G25,Table1[#All],3,FALSE)</f>
        <v>780036.96860000002</v>
      </c>
      <c r="Q25">
        <f>I25</f>
        <v>0</v>
      </c>
      <c r="R25">
        <v>0</v>
      </c>
      <c r="S25">
        <f>ABS(MIN(AF26-S26*J26,0))*$B$5</f>
        <v>300364.28212510719</v>
      </c>
      <c r="U25">
        <v>1</v>
      </c>
      <c r="V25">
        <f>S25</f>
        <v>300364.28212510719</v>
      </c>
      <c r="W25">
        <f>$B$6*P25*J25</f>
        <v>7751.3221935326319</v>
      </c>
      <c r="Y25">
        <v>1</v>
      </c>
      <c r="Z25">
        <f>N25</f>
        <v>0</v>
      </c>
      <c r="AA25">
        <f>-O25</f>
        <v>-5215</v>
      </c>
      <c r="AB25">
        <f>-P25*H25</f>
        <v>-4904.7492467368374</v>
      </c>
      <c r="AC25">
        <f>0</f>
        <v>0</v>
      </c>
      <c r="AD25">
        <f>SUM(Z25:AA25)*$B$4</f>
        <v>-316.01335499999999</v>
      </c>
      <c r="AE25">
        <f>-W25</f>
        <v>-7751.3221935326319</v>
      </c>
      <c r="AF25">
        <f>SUM(Z25:AE25)</f>
        <v>-18187.084795269468</v>
      </c>
      <c r="AG25">
        <f>-S25*J25</f>
        <v>-298475.63896356081</v>
      </c>
      <c r="AH25">
        <f>SUM(AF25:AG25)</f>
        <v>-316662.72375883028</v>
      </c>
      <c r="AI25">
        <f>$B$5^Y25</f>
        <v>0.94286519761983112</v>
      </c>
      <c r="AJ25">
        <f>AH25*AI25*K25</f>
        <v>-298570.26161570352</v>
      </c>
      <c r="AK25">
        <f>0</f>
        <v>0</v>
      </c>
    </row>
    <row r="26" spans="1:40" x14ac:dyDescent="0.2">
      <c r="A26">
        <f>A25+1</f>
        <v>62</v>
      </c>
      <c r="B26">
        <f>VLOOKUP(A26,Table21[#All],3,FALSE)</f>
        <v>6.5280647423648468E-3</v>
      </c>
      <c r="C26">
        <f t="shared" ref="C26:C76" si="0">1-B26</f>
        <v>0.99347193525763511</v>
      </c>
      <c r="D26">
        <f t="shared" ref="D26:D76" si="1">$B$5*(B26+C26*D27)</f>
        <v>0.27772747683899218</v>
      </c>
      <c r="E26">
        <f t="shared" ref="E26:E76" si="2">D26-PRODUCT(C26:C45)*E45*$B$5^(20)</f>
        <v>46198762927203.414</v>
      </c>
      <c r="G26">
        <f>G25+1</f>
        <v>62</v>
      </c>
      <c r="H26">
        <f t="shared" ref="H26:H76" si="3">B26</f>
        <v>6.5280647423648468E-3</v>
      </c>
      <c r="I26">
        <f>0</f>
        <v>0</v>
      </c>
      <c r="J26">
        <f t="shared" ref="J26:J76" si="4">1-H26-I26</f>
        <v>0.99347193525763511</v>
      </c>
      <c r="K26">
        <f>J25*K25</f>
        <v>0.99371215795638534</v>
      </c>
      <c r="M26">
        <v>2</v>
      </c>
      <c r="N26">
        <f t="shared" ref="N26:N76" si="5">$B$10</f>
        <v>0</v>
      </c>
      <c r="O26">
        <f>$B$11</f>
        <v>300</v>
      </c>
      <c r="P26">
        <f>VLOOKUP(G26,Table1[#All],3,FALSE)</f>
        <v>715547.70319999999</v>
      </c>
      <c r="Q26">
        <f t="shared" ref="Q26:Q76" si="6">I26</f>
        <v>0</v>
      </c>
      <c r="R26">
        <v>0</v>
      </c>
      <c r="S26">
        <f t="shared" ref="S26:S76" si="7">ABS(MIN(AF27-S27*J27,0))*$B$5</f>
        <v>308481.15503348771</v>
      </c>
      <c r="U26">
        <v>2</v>
      </c>
      <c r="V26">
        <f t="shared" ref="V26:V76" si="8">S26</f>
        <v>308481.15503348771</v>
      </c>
      <c r="W26">
        <f t="shared" ref="W26:W76" si="9">$B$6*P26*J26</f>
        <v>7108.7656146725985</v>
      </c>
      <c r="Y26">
        <v>2</v>
      </c>
      <c r="Z26">
        <f t="shared" ref="Z26:Z76" si="10">N26</f>
        <v>0</v>
      </c>
      <c r="AA26">
        <f t="shared" ref="AA26:AA76" si="11">-O26</f>
        <v>-300</v>
      </c>
      <c r="AB26">
        <f t="shared" ref="AB26:AB76" si="12">-P26*H26</f>
        <v>-4671.1417327400659</v>
      </c>
      <c r="AC26">
        <f>0</f>
        <v>0</v>
      </c>
      <c r="AD26">
        <f t="shared" ref="AD26:AD76" si="13">SUM(Z26:AA26)*$B$4</f>
        <v>-18.179099999999998</v>
      </c>
      <c r="AE26">
        <f t="shared" ref="AE26:AE76" si="14">-W26</f>
        <v>-7108.7656146725985</v>
      </c>
      <c r="AF26">
        <f t="shared" ref="AF26:AF76" si="15">SUM(Z26:AE26)</f>
        <v>-12098.086447412665</v>
      </c>
      <c r="AG26">
        <f t="shared" ref="AG26:AG76" si="16">-S26*J26</f>
        <v>-306467.3700816296</v>
      </c>
      <c r="AH26">
        <f t="shared" ref="AH26:AH76" si="17">SUM(AF26:AG26)</f>
        <v>-318565.45652904228</v>
      </c>
      <c r="AI26">
        <f t="shared" ref="AI26:AI76" si="18">$B$5^Y26</f>
        <v>0.88899478088268324</v>
      </c>
      <c r="AJ26">
        <f t="shared" ref="AJ26:AJ76" si="19">AH26*AI26*K26</f>
        <v>-281422.2923160831</v>
      </c>
      <c r="AK26">
        <f>0</f>
        <v>0</v>
      </c>
    </row>
    <row r="27" spans="1:40" x14ac:dyDescent="0.2">
      <c r="A27">
        <f t="shared" ref="A27:A76" si="20">A26+1</f>
        <v>63</v>
      </c>
      <c r="B27">
        <f>VLOOKUP(A27,Table21[#All],3,FALSE)</f>
        <v>6.7875514882602579E-3</v>
      </c>
      <c r="C27">
        <f t="shared" si="0"/>
        <v>0.99321244851173973</v>
      </c>
      <c r="D27">
        <f t="shared" si="1"/>
        <v>0.28992149026932079</v>
      </c>
      <c r="E27">
        <f t="shared" si="2"/>
        <v>2.2804623996858345E+20</v>
      </c>
      <c r="G27">
        <f t="shared" ref="G27:G76" si="21">G26+1</f>
        <v>63</v>
      </c>
      <c r="H27">
        <f t="shared" si="3"/>
        <v>6.7875514882602579E-3</v>
      </c>
      <c r="I27">
        <f>0</f>
        <v>0</v>
      </c>
      <c r="J27">
        <f t="shared" si="4"/>
        <v>0.99321244851173973</v>
      </c>
      <c r="K27">
        <f t="shared" ref="K27:K76" si="22">J26*K26</f>
        <v>0.98722514065397093</v>
      </c>
      <c r="M27">
        <v>3</v>
      </c>
      <c r="N27">
        <f t="shared" si="5"/>
        <v>0</v>
      </c>
      <c r="O27">
        <f t="shared" ref="O27:O76" si="23">$B$11</f>
        <v>300</v>
      </c>
      <c r="P27">
        <f>VLOOKUP(G27,Table1[#All],3,FALSE)</f>
        <v>783783.78379999998</v>
      </c>
      <c r="Q27">
        <f t="shared" si="6"/>
        <v>0</v>
      </c>
      <c r="R27">
        <v>0</v>
      </c>
      <c r="S27">
        <f t="shared" si="7"/>
        <v>315895.55493073293</v>
      </c>
      <c r="U27">
        <v>3</v>
      </c>
      <c r="V27">
        <f t="shared" si="8"/>
        <v>315895.55493073293</v>
      </c>
      <c r="W27">
        <f t="shared" si="9"/>
        <v>7784.6381101179395</v>
      </c>
      <c r="Y27">
        <v>3</v>
      </c>
      <c r="Z27">
        <f t="shared" si="10"/>
        <v>0</v>
      </c>
      <c r="AA27">
        <f t="shared" si="11"/>
        <v>-300</v>
      </c>
      <c r="AB27">
        <f t="shared" si="12"/>
        <v>-5319.972788205946</v>
      </c>
      <c r="AC27">
        <f>0</f>
        <v>0</v>
      </c>
      <c r="AD27">
        <f t="shared" si="13"/>
        <v>-18.179099999999998</v>
      </c>
      <c r="AE27">
        <f t="shared" si="14"/>
        <v>-7784.6381101179395</v>
      </c>
      <c r="AF27">
        <f t="shared" si="15"/>
        <v>-13422.789998323886</v>
      </c>
      <c r="AG27">
        <f t="shared" si="16"/>
        <v>-313751.39758672804</v>
      </c>
      <c r="AH27">
        <f t="shared" si="17"/>
        <v>-327174.18758505193</v>
      </c>
      <c r="AI27">
        <f t="shared" si="18"/>
        <v>0.83820223975994956</v>
      </c>
      <c r="AJ27">
        <f t="shared" si="19"/>
        <v>-270734.78320017044</v>
      </c>
      <c r="AK27">
        <f>0</f>
        <v>0</v>
      </c>
    </row>
    <row r="28" spans="1:40" x14ac:dyDescent="0.2">
      <c r="A28">
        <f t="shared" si="20"/>
        <v>64</v>
      </c>
      <c r="B28">
        <f>VLOOKUP(A28,Table21[#All],3,FALSE)</f>
        <v>7.0877823654701116E-3</v>
      </c>
      <c r="C28">
        <f t="shared" si="0"/>
        <v>0.99291221763452986</v>
      </c>
      <c r="D28">
        <f t="shared" si="1"/>
        <v>0.30275729203504465</v>
      </c>
      <c r="E28">
        <f t="shared" si="2"/>
        <v>1.2407635867743943E+27</v>
      </c>
      <c r="G28">
        <f t="shared" si="21"/>
        <v>64</v>
      </c>
      <c r="H28">
        <f t="shared" si="3"/>
        <v>7.0877823654701116E-3</v>
      </c>
      <c r="I28">
        <f>0</f>
        <v>0</v>
      </c>
      <c r="J28">
        <f t="shared" si="4"/>
        <v>0.99291221763452986</v>
      </c>
      <c r="K28">
        <f t="shared" si="22"/>
        <v>0.98052429918127715</v>
      </c>
      <c r="M28">
        <v>4</v>
      </c>
      <c r="N28">
        <f t="shared" si="5"/>
        <v>0</v>
      </c>
      <c r="O28">
        <f t="shared" si="23"/>
        <v>300</v>
      </c>
      <c r="P28">
        <f>VLOOKUP(G28,Table1[#All],3,FALSE)</f>
        <v>793851.71790000005</v>
      </c>
      <c r="Q28">
        <f t="shared" si="6"/>
        <v>0</v>
      </c>
      <c r="R28">
        <v>0</v>
      </c>
      <c r="S28">
        <f t="shared" si="7"/>
        <v>323503.72385813569</v>
      </c>
      <c r="U28">
        <v>4</v>
      </c>
      <c r="V28">
        <f t="shared" si="8"/>
        <v>323503.72385813569</v>
      </c>
      <c r="W28">
        <f t="shared" si="9"/>
        <v>7882.2506969307024</v>
      </c>
      <c r="Y28">
        <v>4</v>
      </c>
      <c r="Z28">
        <f t="shared" si="10"/>
        <v>0</v>
      </c>
      <c r="AA28">
        <f t="shared" si="11"/>
        <v>-300</v>
      </c>
      <c r="AB28">
        <f t="shared" si="12"/>
        <v>-5626.6482069297745</v>
      </c>
      <c r="AC28">
        <f>0</f>
        <v>0</v>
      </c>
      <c r="AD28">
        <f t="shared" si="13"/>
        <v>-18.179099999999998</v>
      </c>
      <c r="AE28">
        <f t="shared" si="14"/>
        <v>-7882.2506969307024</v>
      </c>
      <c r="AF28">
        <f t="shared" si="15"/>
        <v>-13827.078003860477</v>
      </c>
      <c r="AG28">
        <f t="shared" si="16"/>
        <v>-321210.79986901005</v>
      </c>
      <c r="AH28">
        <f t="shared" si="17"/>
        <v>-335037.87787287054</v>
      </c>
      <c r="AI28">
        <f t="shared" si="18"/>
        <v>0.79031172043664999</v>
      </c>
      <c r="AJ28">
        <f t="shared" si="19"/>
        <v>-259627.5006637297</v>
      </c>
      <c r="AK28">
        <f>0</f>
        <v>0</v>
      </c>
    </row>
    <row r="29" spans="1:40" x14ac:dyDescent="0.2">
      <c r="A29">
        <f t="shared" si="20"/>
        <v>65</v>
      </c>
      <c r="B29">
        <f>VLOOKUP(A29,Table21[#All],3,FALSE)</f>
        <v>7.4502374618177995E-3</v>
      </c>
      <c r="C29">
        <f t="shared" si="0"/>
        <v>0.99254976253818217</v>
      </c>
      <c r="D29">
        <f t="shared" si="1"/>
        <v>0.31625725589631604</v>
      </c>
      <c r="E29">
        <f t="shared" si="2"/>
        <v>7.6921614563746272E+33</v>
      </c>
      <c r="G29">
        <f t="shared" si="21"/>
        <v>65</v>
      </c>
      <c r="H29">
        <f t="shared" si="3"/>
        <v>7.4502374618177995E-3</v>
      </c>
      <c r="I29">
        <f>0</f>
        <v>0</v>
      </c>
      <c r="J29">
        <f t="shared" si="4"/>
        <v>0.99254976253818217</v>
      </c>
      <c r="K29">
        <f t="shared" si="22"/>
        <v>0.97357455634462509</v>
      </c>
      <c r="M29">
        <v>5</v>
      </c>
      <c r="N29">
        <f t="shared" si="5"/>
        <v>0</v>
      </c>
      <c r="O29">
        <f t="shared" si="23"/>
        <v>300</v>
      </c>
      <c r="P29">
        <f>VLOOKUP(G29,Table1[#All],3,FALSE)</f>
        <v>754545.45449999999</v>
      </c>
      <c r="Q29">
        <f t="shared" si="6"/>
        <v>0</v>
      </c>
      <c r="R29">
        <v>0</v>
      </c>
      <c r="S29">
        <f t="shared" si="7"/>
        <v>332152.73473146604</v>
      </c>
      <c r="U29">
        <v>5</v>
      </c>
      <c r="V29">
        <f t="shared" si="8"/>
        <v>332152.73473146604</v>
      </c>
      <c r="W29">
        <f t="shared" si="9"/>
        <v>7489.2391168823979</v>
      </c>
      <c r="Y29">
        <v>5</v>
      </c>
      <c r="Z29">
        <f t="shared" si="10"/>
        <v>0</v>
      </c>
      <c r="AA29">
        <f t="shared" si="11"/>
        <v>-300</v>
      </c>
      <c r="AB29">
        <f t="shared" si="12"/>
        <v>-5621.5428117602378</v>
      </c>
      <c r="AC29">
        <f>0</f>
        <v>0</v>
      </c>
      <c r="AD29">
        <f t="shared" si="13"/>
        <v>-18.179099999999998</v>
      </c>
      <c r="AE29">
        <f t="shared" si="14"/>
        <v>-7489.2391168823979</v>
      </c>
      <c r="AF29">
        <f t="shared" si="15"/>
        <v>-13428.961028642636</v>
      </c>
      <c r="AG29">
        <f t="shared" si="16"/>
        <v>-329678.11798412446</v>
      </c>
      <c r="AH29">
        <f t="shared" si="17"/>
        <v>-343107.07901276712</v>
      </c>
      <c r="AI29">
        <f t="shared" si="18"/>
        <v>0.74515741647077072</v>
      </c>
      <c r="AJ29">
        <f t="shared" si="19"/>
        <v>-248912.62350889377</v>
      </c>
      <c r="AK29">
        <f>0</f>
        <v>0</v>
      </c>
    </row>
    <row r="30" spans="1:40" x14ac:dyDescent="0.2">
      <c r="A30">
        <f t="shared" si="20"/>
        <v>66</v>
      </c>
      <c r="B30">
        <f>VLOOKUP(A30,Table21[#All],3,FALSE)</f>
        <v>7.8963968556257855E-3</v>
      </c>
      <c r="C30">
        <f t="shared" si="0"/>
        <v>0.99210360314437418</v>
      </c>
      <c r="D30">
        <f t="shared" si="1"/>
        <v>0.33043306416329998</v>
      </c>
      <c r="E30">
        <f t="shared" si="2"/>
        <v>5.4139928987878436E+40</v>
      </c>
      <c r="G30">
        <f t="shared" si="21"/>
        <v>66</v>
      </c>
      <c r="H30">
        <f t="shared" si="3"/>
        <v>7.8963968556257855E-3</v>
      </c>
      <c r="I30">
        <f>0</f>
        <v>0</v>
      </c>
      <c r="J30">
        <f t="shared" si="4"/>
        <v>0.99210360314437418</v>
      </c>
      <c r="K30">
        <f t="shared" si="22"/>
        <v>0.96632119471307365</v>
      </c>
      <c r="M30">
        <v>6</v>
      </c>
      <c r="N30">
        <f t="shared" si="5"/>
        <v>0</v>
      </c>
      <c r="O30">
        <f t="shared" si="23"/>
        <v>300</v>
      </c>
      <c r="P30">
        <f>VLOOKUP(G30,Table1[#All],3,FALSE)</f>
        <v>750957.85439999995</v>
      </c>
      <c r="Q30">
        <f t="shared" si="6"/>
        <v>0</v>
      </c>
      <c r="R30">
        <v>0</v>
      </c>
      <c r="S30">
        <f t="shared" si="7"/>
        <v>341276.73022565106</v>
      </c>
      <c r="U30">
        <v>6</v>
      </c>
      <c r="V30">
        <f t="shared" si="8"/>
        <v>341276.73022565106</v>
      </c>
      <c r="W30">
        <f t="shared" si="9"/>
        <v>7450.2799315980828</v>
      </c>
      <c r="Y30">
        <v>6</v>
      </c>
      <c r="Z30">
        <f t="shared" si="10"/>
        <v>0</v>
      </c>
      <c r="AA30">
        <f t="shared" si="11"/>
        <v>-300</v>
      </c>
      <c r="AB30">
        <f t="shared" si="12"/>
        <v>-5929.8612401916462</v>
      </c>
      <c r="AC30">
        <f>0</f>
        <v>0</v>
      </c>
      <c r="AD30">
        <f t="shared" si="13"/>
        <v>-18.179099999999998</v>
      </c>
      <c r="AE30">
        <f t="shared" si="14"/>
        <v>-7450.2799315980828</v>
      </c>
      <c r="AF30">
        <f t="shared" si="15"/>
        <v>-13698.320271789729</v>
      </c>
      <c r="AG30">
        <f t="shared" si="16"/>
        <v>-338581.87372619897</v>
      </c>
      <c r="AH30">
        <f t="shared" si="17"/>
        <v>-352280.19399798871</v>
      </c>
      <c r="AI30">
        <f t="shared" si="18"/>
        <v>0.70258299473859609</v>
      </c>
      <c r="AJ30">
        <f t="shared" si="19"/>
        <v>-239170.36482319131</v>
      </c>
      <c r="AK30">
        <f>0</f>
        <v>0</v>
      </c>
    </row>
    <row r="31" spans="1:40" x14ac:dyDescent="0.2">
      <c r="A31">
        <f t="shared" si="20"/>
        <v>67</v>
      </c>
      <c r="B31">
        <f>VLOOKUP(A31,Table21[#All],3,FALSE)</f>
        <v>8.4477406339866154E-3</v>
      </c>
      <c r="C31">
        <f t="shared" si="0"/>
        <v>0.99155225936601343</v>
      </c>
      <c r="D31">
        <f t="shared" si="1"/>
        <v>0.34528643844359391</v>
      </c>
      <c r="E31">
        <f t="shared" si="2"/>
        <v>4.2828674737370121E+47</v>
      </c>
      <c r="G31">
        <f t="shared" si="21"/>
        <v>67</v>
      </c>
      <c r="H31">
        <f t="shared" si="3"/>
        <v>8.4477406339866154E-3</v>
      </c>
      <c r="I31">
        <f>0</f>
        <v>0</v>
      </c>
      <c r="J31">
        <f t="shared" si="4"/>
        <v>0.99155225936601343</v>
      </c>
      <c r="K31">
        <f t="shared" si="22"/>
        <v>0.95869073906961677</v>
      </c>
      <c r="M31">
        <v>7</v>
      </c>
      <c r="N31">
        <f t="shared" si="5"/>
        <v>0</v>
      </c>
      <c r="O31">
        <f t="shared" si="23"/>
        <v>300</v>
      </c>
      <c r="P31">
        <f>VLOOKUP(G31,Table1[#All],3,FALSE)</f>
        <v>750957.85439999995</v>
      </c>
      <c r="Q31">
        <f t="shared" si="6"/>
        <v>0</v>
      </c>
      <c r="R31">
        <v>0</v>
      </c>
      <c r="S31">
        <f t="shared" si="7"/>
        <v>350812.43283770961</v>
      </c>
      <c r="U31">
        <v>7</v>
      </c>
      <c r="V31">
        <f t="shared" si="8"/>
        <v>350812.43283770961</v>
      </c>
      <c r="W31">
        <f t="shared" si="9"/>
        <v>7446.1395721897379</v>
      </c>
      <c r="Y31">
        <v>7</v>
      </c>
      <c r="Z31">
        <f t="shared" si="10"/>
        <v>0</v>
      </c>
      <c r="AA31">
        <f t="shared" si="11"/>
        <v>-300</v>
      </c>
      <c r="AB31">
        <f t="shared" si="12"/>
        <v>-6343.8971810262838</v>
      </c>
      <c r="AC31">
        <f>0</f>
        <v>0</v>
      </c>
      <c r="AD31">
        <f t="shared" si="13"/>
        <v>-18.179099999999998</v>
      </c>
      <c r="AE31">
        <f t="shared" si="14"/>
        <v>-7446.1395721897379</v>
      </c>
      <c r="AF31">
        <f t="shared" si="15"/>
        <v>-14108.215853216021</v>
      </c>
      <c r="AG31">
        <f t="shared" si="16"/>
        <v>-347848.86039391882</v>
      </c>
      <c r="AH31">
        <f t="shared" si="17"/>
        <v>-361957.07624713483</v>
      </c>
      <c r="AI31">
        <f t="shared" si="18"/>
        <v>0.66244105417853916</v>
      </c>
      <c r="AJ31">
        <f t="shared" si="19"/>
        <v>-229870.2897332827</v>
      </c>
      <c r="AK31">
        <f>0</f>
        <v>0</v>
      </c>
    </row>
    <row r="32" spans="1:40" x14ac:dyDescent="0.2">
      <c r="A32">
        <f t="shared" si="20"/>
        <v>68</v>
      </c>
      <c r="B32">
        <f>VLOOKUP(A32,Table21[#All],3,FALSE)</f>
        <v>9.1257488788769534E-3</v>
      </c>
      <c r="C32">
        <f t="shared" si="0"/>
        <v>0.99087425112112304</v>
      </c>
      <c r="D32">
        <f t="shared" si="1"/>
        <v>0.36081004983915066</v>
      </c>
      <c r="E32">
        <f t="shared" si="2"/>
        <v>3.766529007930502E+54</v>
      </c>
      <c r="G32">
        <f t="shared" si="21"/>
        <v>68</v>
      </c>
      <c r="H32">
        <f t="shared" si="3"/>
        <v>9.1257488788769534E-3</v>
      </c>
      <c r="I32">
        <f>0</f>
        <v>0</v>
      </c>
      <c r="J32">
        <f t="shared" si="4"/>
        <v>0.99087425112112304</v>
      </c>
      <c r="K32">
        <f t="shared" si="22"/>
        <v>0.95059196835775173</v>
      </c>
      <c r="M32">
        <v>8</v>
      </c>
      <c r="N32">
        <f t="shared" si="5"/>
        <v>0</v>
      </c>
      <c r="O32">
        <f t="shared" si="23"/>
        <v>300</v>
      </c>
      <c r="P32">
        <f>VLOOKUP(G32,Table1[#All],3,FALSE)</f>
        <v>750957.85439999995</v>
      </c>
      <c r="Q32">
        <f t="shared" si="6"/>
        <v>0</v>
      </c>
      <c r="R32">
        <v>0</v>
      </c>
      <c r="S32">
        <f t="shared" si="7"/>
        <v>360750.45194890752</v>
      </c>
      <c r="U32">
        <v>8</v>
      </c>
      <c r="V32">
        <f t="shared" si="8"/>
        <v>360750.45194890752</v>
      </c>
      <c r="W32">
        <f t="shared" si="9"/>
        <v>7441.0480160212537</v>
      </c>
      <c r="Y32">
        <v>8</v>
      </c>
      <c r="Z32">
        <f t="shared" si="10"/>
        <v>0</v>
      </c>
      <c r="AA32">
        <f t="shared" si="11"/>
        <v>-300</v>
      </c>
      <c r="AB32">
        <f t="shared" si="12"/>
        <v>-6853.0527978746422</v>
      </c>
      <c r="AC32">
        <f>0</f>
        <v>0</v>
      </c>
      <c r="AD32">
        <f t="shared" si="13"/>
        <v>-18.179099999999998</v>
      </c>
      <c r="AE32">
        <f t="shared" si="14"/>
        <v>-7441.0480160212537</v>
      </c>
      <c r="AF32">
        <f t="shared" si="15"/>
        <v>-14612.279913895896</v>
      </c>
      <c r="AG32">
        <f t="shared" si="16"/>
        <v>-357458.33391648042</v>
      </c>
      <c r="AH32">
        <f t="shared" si="17"/>
        <v>-372070.6138303763</v>
      </c>
      <c r="AI32">
        <f t="shared" si="18"/>
        <v>0.62459261545953759</v>
      </c>
      <c r="AJ32">
        <f t="shared" si="19"/>
        <v>-220910.49897736395</v>
      </c>
      <c r="AK32">
        <f>0</f>
        <v>0</v>
      </c>
    </row>
    <row r="33" spans="1:37" x14ac:dyDescent="0.2">
      <c r="A33">
        <f t="shared" si="20"/>
        <v>69</v>
      </c>
      <c r="B33">
        <f>VLOOKUP(A33,Table21[#All],3,FALSE)</f>
        <v>9.9519016868902799E-3</v>
      </c>
      <c r="C33">
        <f t="shared" si="0"/>
        <v>0.99004809831310969</v>
      </c>
      <c r="D33">
        <f t="shared" si="1"/>
        <v>0.37698861094404873</v>
      </c>
      <c r="E33">
        <f t="shared" si="2"/>
        <v>3.6465088775628702E+61</v>
      </c>
      <c r="G33">
        <f t="shared" si="21"/>
        <v>69</v>
      </c>
      <c r="H33">
        <f t="shared" si="3"/>
        <v>9.9519016868902799E-3</v>
      </c>
      <c r="I33">
        <f>0</f>
        <v>0</v>
      </c>
      <c r="J33">
        <f t="shared" si="4"/>
        <v>0.99004809831310969</v>
      </c>
      <c r="K33">
        <f t="shared" si="22"/>
        <v>0.94191710476824153</v>
      </c>
      <c r="M33">
        <v>9</v>
      </c>
      <c r="N33">
        <f t="shared" si="5"/>
        <v>0</v>
      </c>
      <c r="O33">
        <f t="shared" si="23"/>
        <v>300</v>
      </c>
      <c r="P33">
        <f>VLOOKUP(G33,Table1[#All],3,FALSE)</f>
        <v>750957.85439999995</v>
      </c>
      <c r="Q33">
        <f t="shared" si="6"/>
        <v>0</v>
      </c>
      <c r="R33">
        <v>0</v>
      </c>
      <c r="S33">
        <f t="shared" si="7"/>
        <v>371077.28999935975</v>
      </c>
      <c r="U33">
        <v>9</v>
      </c>
      <c r="V33">
        <f t="shared" si="8"/>
        <v>371077.28999935975</v>
      </c>
      <c r="W33">
        <f t="shared" si="9"/>
        <v>7434.8439566201314</v>
      </c>
      <c r="Y33">
        <v>9</v>
      </c>
      <c r="Z33">
        <f t="shared" si="10"/>
        <v>0</v>
      </c>
      <c r="AA33">
        <f t="shared" si="11"/>
        <v>-300</v>
      </c>
      <c r="AB33">
        <f t="shared" si="12"/>
        <v>-7473.4587379868644</v>
      </c>
      <c r="AC33">
        <f>0</f>
        <v>0</v>
      </c>
      <c r="AD33">
        <f t="shared" si="13"/>
        <v>-18.179099999999998</v>
      </c>
      <c r="AE33">
        <f t="shared" si="14"/>
        <v>-7434.8439566201314</v>
      </c>
      <c r="AF33">
        <f t="shared" si="15"/>
        <v>-15226.481794606996</v>
      </c>
      <c r="AG33">
        <f t="shared" si="16"/>
        <v>-367384.36529104842</v>
      </c>
      <c r="AH33">
        <f t="shared" si="17"/>
        <v>-382610.84708565543</v>
      </c>
      <c r="AI33">
        <f t="shared" si="18"/>
        <v>0.58890663980714408</v>
      </c>
      <c r="AJ33">
        <f t="shared" si="19"/>
        <v>-212234.71022386866</v>
      </c>
      <c r="AK33">
        <f>0</f>
        <v>0</v>
      </c>
    </row>
    <row r="34" spans="1:37" x14ac:dyDescent="0.2">
      <c r="A34">
        <f t="shared" si="20"/>
        <v>70</v>
      </c>
      <c r="B34">
        <f>VLOOKUP(A34,Table21[#All],3,FALSE)</f>
        <v>1.230850598704134E-2</v>
      </c>
      <c r="C34">
        <f t="shared" si="0"/>
        <v>0.98769149401295864</v>
      </c>
      <c r="D34">
        <f t="shared" si="1"/>
        <v>0.39380014847645545</v>
      </c>
      <c r="E34">
        <f t="shared" si="2"/>
        <v>3.8515331613054485E+68</v>
      </c>
      <c r="G34">
        <f t="shared" si="21"/>
        <v>70</v>
      </c>
      <c r="H34">
        <f t="shared" si="3"/>
        <v>1.230850598704134E-2</v>
      </c>
      <c r="I34">
        <f>0</f>
        <v>0</v>
      </c>
      <c r="J34">
        <f t="shared" si="4"/>
        <v>0.98769149401295864</v>
      </c>
      <c r="K34">
        <f t="shared" si="22"/>
        <v>0.93254323834438768</v>
      </c>
      <c r="M34">
        <v>10</v>
      </c>
      <c r="N34">
        <f t="shared" si="5"/>
        <v>0</v>
      </c>
      <c r="O34">
        <f t="shared" si="23"/>
        <v>300</v>
      </c>
      <c r="P34">
        <f>VLOOKUP(G34,Table1[#All],3,FALSE)</f>
        <v>750957.85439999995</v>
      </c>
      <c r="Q34">
        <f t="shared" si="6"/>
        <v>0</v>
      </c>
      <c r="R34">
        <v>0</v>
      </c>
      <c r="S34">
        <f t="shared" si="7"/>
        <v>381277.92699010624</v>
      </c>
      <c r="U34">
        <v>10</v>
      </c>
      <c r="V34">
        <f t="shared" si="8"/>
        <v>381277.92699010624</v>
      </c>
      <c r="W34">
        <f t="shared" si="9"/>
        <v>7417.1468515310189</v>
      </c>
      <c r="Y34">
        <v>10</v>
      </c>
      <c r="Z34">
        <f t="shared" si="10"/>
        <v>0</v>
      </c>
      <c r="AA34">
        <f t="shared" si="11"/>
        <v>-300</v>
      </c>
      <c r="AB34">
        <f t="shared" si="12"/>
        <v>-9243.1692468981182</v>
      </c>
      <c r="AC34">
        <f>0</f>
        <v>0</v>
      </c>
      <c r="AD34">
        <f t="shared" si="13"/>
        <v>-18.179099999999998</v>
      </c>
      <c r="AE34">
        <f t="shared" si="14"/>
        <v>-7417.1468515310189</v>
      </c>
      <c r="AF34">
        <f t="shared" si="15"/>
        <v>-16978.495198429137</v>
      </c>
      <c r="AG34">
        <f t="shared" si="16"/>
        <v>-376584.96534302179</v>
      </c>
      <c r="AH34">
        <f t="shared" si="17"/>
        <v>-393563.46054145094</v>
      </c>
      <c r="AI34">
        <f t="shared" si="18"/>
        <v>0.55525957532139369</v>
      </c>
      <c r="AJ34">
        <f t="shared" si="19"/>
        <v>-203788.56193502012</v>
      </c>
      <c r="AK34">
        <f>0</f>
        <v>0</v>
      </c>
    </row>
    <row r="35" spans="1:37" x14ac:dyDescent="0.2">
      <c r="A35">
        <f t="shared" si="20"/>
        <v>71</v>
      </c>
      <c r="B35">
        <f>VLOOKUP(A35,Table21[#All],3,FALSE)</f>
        <v>1.36429208957671E-2</v>
      </c>
      <c r="C35">
        <f t="shared" si="0"/>
        <v>0.98635707910423287</v>
      </c>
      <c r="D35">
        <f t="shared" si="1"/>
        <v>0.4104062377207468</v>
      </c>
      <c r="E35">
        <f t="shared" si="2"/>
        <v>4.4118531062743427E+75</v>
      </c>
      <c r="G35">
        <f t="shared" si="21"/>
        <v>71</v>
      </c>
      <c r="H35">
        <f t="shared" si="3"/>
        <v>1.36429208957671E-2</v>
      </c>
      <c r="I35">
        <f>0</f>
        <v>0</v>
      </c>
      <c r="J35">
        <f t="shared" si="4"/>
        <v>0.98635707910423287</v>
      </c>
      <c r="K35">
        <f t="shared" si="22"/>
        <v>0.92106502431205084</v>
      </c>
      <c r="M35">
        <v>11</v>
      </c>
      <c r="N35">
        <f t="shared" si="5"/>
        <v>0</v>
      </c>
      <c r="O35">
        <f t="shared" si="23"/>
        <v>300</v>
      </c>
      <c r="P35">
        <f>VLOOKUP(G35,Table1[#All],3,FALSE)</f>
        <v>750957.85439999995</v>
      </c>
      <c r="Q35">
        <f t="shared" si="6"/>
        <v>0</v>
      </c>
      <c r="R35">
        <v>0</v>
      </c>
      <c r="S35">
        <f t="shared" si="7"/>
        <v>391756.36294033629</v>
      </c>
      <c r="U35">
        <v>11</v>
      </c>
      <c r="V35">
        <f t="shared" si="8"/>
        <v>391756.36294033629</v>
      </c>
      <c r="W35">
        <f t="shared" si="9"/>
        <v>7407.125957963658</v>
      </c>
      <c r="Y35">
        <v>11</v>
      </c>
      <c r="Z35">
        <f t="shared" si="10"/>
        <v>0</v>
      </c>
      <c r="AA35">
        <f t="shared" si="11"/>
        <v>-300</v>
      </c>
      <c r="AB35">
        <f t="shared" si="12"/>
        <v>-10245.258603634187</v>
      </c>
      <c r="AC35">
        <f>0</f>
        <v>0</v>
      </c>
      <c r="AD35">
        <f t="shared" si="13"/>
        <v>-18.179099999999998</v>
      </c>
      <c r="AE35">
        <f t="shared" si="14"/>
        <v>-7407.125957963658</v>
      </c>
      <c r="AF35">
        <f t="shared" si="15"/>
        <v>-17970.563661597844</v>
      </c>
      <c r="AG35">
        <f t="shared" si="16"/>
        <v>-386411.66187032784</v>
      </c>
      <c r="AH35">
        <f t="shared" si="17"/>
        <v>-404382.22553192568</v>
      </c>
      <c r="AI35">
        <f t="shared" si="18"/>
        <v>0.52353492921570932</v>
      </c>
      <c r="AJ35">
        <f t="shared" si="19"/>
        <v>-194997.03663552116</v>
      </c>
      <c r="AK35">
        <f>0</f>
        <v>0</v>
      </c>
    </row>
    <row r="36" spans="1:37" x14ac:dyDescent="0.2">
      <c r="A36">
        <f t="shared" si="20"/>
        <v>72</v>
      </c>
      <c r="B36">
        <f>VLOOKUP(A36,Table21[#All],3,FALSE)</f>
        <v>1.5216345486367758E-2</v>
      </c>
      <c r="C36">
        <f t="shared" si="0"/>
        <v>0.98478365451363226</v>
      </c>
      <c r="D36">
        <f t="shared" si="1"/>
        <v>0.42746456891154727</v>
      </c>
      <c r="E36">
        <f t="shared" si="2"/>
        <v>5.4486135711524955E+82</v>
      </c>
      <c r="G36">
        <f t="shared" si="21"/>
        <v>72</v>
      </c>
      <c r="H36">
        <f t="shared" si="3"/>
        <v>1.5216345486367758E-2</v>
      </c>
      <c r="I36">
        <f>0</f>
        <v>0</v>
      </c>
      <c r="J36">
        <f t="shared" si="4"/>
        <v>0.98478365451363226</v>
      </c>
      <c r="K36">
        <f t="shared" si="22"/>
        <v>0.90849900704550368</v>
      </c>
      <c r="M36">
        <v>12</v>
      </c>
      <c r="N36">
        <f t="shared" si="5"/>
        <v>0</v>
      </c>
      <c r="O36">
        <f t="shared" si="23"/>
        <v>300</v>
      </c>
      <c r="P36">
        <f>VLOOKUP(G36,Table1[#All],3,FALSE)</f>
        <v>750957.85439999995</v>
      </c>
      <c r="Q36">
        <f t="shared" si="6"/>
        <v>0</v>
      </c>
      <c r="R36">
        <v>0</v>
      </c>
      <c r="S36">
        <f t="shared" si="7"/>
        <v>402479.5679620775</v>
      </c>
      <c r="U36">
        <v>12</v>
      </c>
      <c r="V36">
        <f t="shared" si="8"/>
        <v>402479.5679620775</v>
      </c>
      <c r="W36">
        <f t="shared" si="9"/>
        <v>7395.3102024174814</v>
      </c>
      <c r="Y36">
        <v>12</v>
      </c>
      <c r="Z36">
        <f t="shared" si="10"/>
        <v>0</v>
      </c>
      <c r="AA36">
        <f t="shared" si="11"/>
        <v>-300</v>
      </c>
      <c r="AB36">
        <f t="shared" si="12"/>
        <v>-11426.834158251855</v>
      </c>
      <c r="AC36">
        <f>0</f>
        <v>0</v>
      </c>
      <c r="AD36">
        <f t="shared" si="13"/>
        <v>-18.179099999999998</v>
      </c>
      <c r="AE36">
        <f t="shared" si="14"/>
        <v>-7395.3102024174814</v>
      </c>
      <c r="AF36">
        <f t="shared" si="15"/>
        <v>-19140.323460669337</v>
      </c>
      <c r="AG36">
        <f t="shared" si="16"/>
        <v>-396355.29980476253</v>
      </c>
      <c r="AH36">
        <f t="shared" si="17"/>
        <v>-415495.62326543184</v>
      </c>
      <c r="AI36">
        <f t="shared" si="18"/>
        <v>0.49362286449585413</v>
      </c>
      <c r="AJ36">
        <f t="shared" si="19"/>
        <v>-186331.45630228048</v>
      </c>
      <c r="AK36">
        <f>0</f>
        <v>0</v>
      </c>
    </row>
    <row r="37" spans="1:37" x14ac:dyDescent="0.2">
      <c r="A37">
        <f t="shared" si="20"/>
        <v>73</v>
      </c>
      <c r="B37">
        <f>VLOOKUP(A37,Table21[#All],3,FALSE)</f>
        <v>1.7052929890985023E-2</v>
      </c>
      <c r="C37">
        <f t="shared" si="0"/>
        <v>0.98294707010901494</v>
      </c>
      <c r="D37">
        <f t="shared" si="1"/>
        <v>0.4449213712060523</v>
      </c>
      <c r="E37">
        <f t="shared" si="2"/>
        <v>7.116705379799336E+89</v>
      </c>
      <c r="G37">
        <f t="shared" si="21"/>
        <v>73</v>
      </c>
      <c r="H37">
        <f t="shared" si="3"/>
        <v>1.7052929890985023E-2</v>
      </c>
      <c r="I37">
        <f>0</f>
        <v>0</v>
      </c>
      <c r="J37">
        <f t="shared" si="4"/>
        <v>0.98294707010901494</v>
      </c>
      <c r="K37">
        <f t="shared" si="22"/>
        <v>0.89467497228027726</v>
      </c>
      <c r="M37">
        <v>13</v>
      </c>
      <c r="N37">
        <f t="shared" si="5"/>
        <v>0</v>
      </c>
      <c r="O37">
        <f t="shared" si="23"/>
        <v>300</v>
      </c>
      <c r="P37">
        <f>VLOOKUP(G37,Table1[#All],3,FALSE)</f>
        <v>750957.85439999995</v>
      </c>
      <c r="Q37">
        <f t="shared" si="6"/>
        <v>0</v>
      </c>
      <c r="R37">
        <v>0</v>
      </c>
      <c r="S37">
        <f t="shared" si="7"/>
        <v>413412.79274280893</v>
      </c>
      <c r="U37">
        <v>13</v>
      </c>
      <c r="V37">
        <f t="shared" si="8"/>
        <v>413412.79274280893</v>
      </c>
      <c r="W37">
        <f t="shared" si="9"/>
        <v>7381.5182275783227</v>
      </c>
      <c r="Y37">
        <v>13</v>
      </c>
      <c r="Z37">
        <f t="shared" si="10"/>
        <v>0</v>
      </c>
      <c r="AA37">
        <f t="shared" si="11"/>
        <v>-300</v>
      </c>
      <c r="AB37">
        <f t="shared" si="12"/>
        <v>-12806.031642167738</v>
      </c>
      <c r="AC37">
        <f>0</f>
        <v>0</v>
      </c>
      <c r="AD37">
        <f t="shared" si="13"/>
        <v>-18.179099999999998</v>
      </c>
      <c r="AE37">
        <f t="shared" si="14"/>
        <v>-7381.5182275783227</v>
      </c>
      <c r="AF37">
        <f t="shared" si="15"/>
        <v>-20505.728969746058</v>
      </c>
      <c r="AG37">
        <f t="shared" si="16"/>
        <v>-406362.89337212947</v>
      </c>
      <c r="AH37">
        <f t="shared" si="17"/>
        <v>-426868.62234187551</v>
      </c>
      <c r="AI37">
        <f t="shared" si="18"/>
        <v>0.46541981968255058</v>
      </c>
      <c r="AJ37">
        <f t="shared" si="19"/>
        <v>-177747.86565818632</v>
      </c>
      <c r="AK37">
        <f>0</f>
        <v>0</v>
      </c>
    </row>
    <row r="38" spans="1:37" x14ac:dyDescent="0.2">
      <c r="A38">
        <f t="shared" si="20"/>
        <v>74</v>
      </c>
      <c r="B38">
        <f>VLOOKUP(A38,Table21[#All],3,FALSE)</f>
        <v>1.9176824225326863E-2</v>
      </c>
      <c r="C38">
        <f t="shared" si="0"/>
        <v>0.98082317577467315</v>
      </c>
      <c r="D38">
        <f t="shared" si="1"/>
        <v>0.46272007463799353</v>
      </c>
      <c r="E38">
        <f t="shared" si="2"/>
        <v>9.8862150397840389E+96</v>
      </c>
      <c r="G38">
        <f t="shared" si="21"/>
        <v>74</v>
      </c>
      <c r="H38">
        <f t="shared" si="3"/>
        <v>1.9176824225326863E-2</v>
      </c>
      <c r="I38">
        <f>0</f>
        <v>0</v>
      </c>
      <c r="J38">
        <f t="shared" si="4"/>
        <v>0.98082317577467315</v>
      </c>
      <c r="K38">
        <f t="shared" si="22"/>
        <v>0.87941814270276264</v>
      </c>
      <c r="M38">
        <v>14</v>
      </c>
      <c r="N38">
        <f t="shared" si="5"/>
        <v>0</v>
      </c>
      <c r="O38">
        <f t="shared" si="23"/>
        <v>300</v>
      </c>
      <c r="P38">
        <f>VLOOKUP(G38,Table1[#All],3,FALSE)</f>
        <v>750957.85439999995</v>
      </c>
      <c r="Q38">
        <f t="shared" si="6"/>
        <v>0</v>
      </c>
      <c r="R38">
        <v>0</v>
      </c>
      <c r="S38">
        <f t="shared" si="7"/>
        <v>424520.58992699417</v>
      </c>
      <c r="U38">
        <v>14</v>
      </c>
      <c r="V38">
        <f t="shared" si="8"/>
        <v>424520.58992699417</v>
      </c>
      <c r="W38">
        <f t="shared" si="9"/>
        <v>7365.568676255426</v>
      </c>
      <c r="Y38">
        <v>14</v>
      </c>
      <c r="Z38">
        <f t="shared" si="10"/>
        <v>0</v>
      </c>
      <c r="AA38">
        <f t="shared" si="11"/>
        <v>-300</v>
      </c>
      <c r="AB38">
        <f t="shared" si="12"/>
        <v>-14400.986774457402</v>
      </c>
      <c r="AC38">
        <f>0</f>
        <v>0</v>
      </c>
      <c r="AD38">
        <f t="shared" si="13"/>
        <v>-18.179099999999998</v>
      </c>
      <c r="AE38">
        <f t="shared" si="14"/>
        <v>-7365.568676255426</v>
      </c>
      <c r="AF38">
        <f t="shared" si="15"/>
        <v>-22084.734550712827</v>
      </c>
      <c r="AG38">
        <f t="shared" si="16"/>
        <v>-416379.63319393212</v>
      </c>
      <c r="AH38">
        <f t="shared" si="17"/>
        <v>-438464.36774464493</v>
      </c>
      <c r="AI38">
        <f t="shared" si="18"/>
        <v>0.43882815026117428</v>
      </c>
      <c r="AJ38">
        <f t="shared" si="19"/>
        <v>-169209.29110065309</v>
      </c>
      <c r="AK38">
        <f>0</f>
        <v>0</v>
      </c>
    </row>
    <row r="39" spans="1:37" x14ac:dyDescent="0.2">
      <c r="A39">
        <f t="shared" si="20"/>
        <v>75</v>
      </c>
      <c r="B39">
        <f>VLOOKUP(A39,Table21[#All],3,FALSE)</f>
        <v>2.1612178596884402E-2</v>
      </c>
      <c r="C39">
        <f t="shared" si="0"/>
        <v>0.97838782140311564</v>
      </c>
      <c r="D39">
        <f t="shared" si="1"/>
        <v>0.48080297287331125</v>
      </c>
      <c r="E39">
        <f t="shared" si="2"/>
        <v>0.43933694087355918</v>
      </c>
      <c r="G39">
        <f t="shared" si="21"/>
        <v>75</v>
      </c>
      <c r="H39">
        <f t="shared" si="3"/>
        <v>2.1612178596884402E-2</v>
      </c>
      <c r="I39">
        <f>0</f>
        <v>0</v>
      </c>
      <c r="J39">
        <f t="shared" si="4"/>
        <v>0.97838782140311564</v>
      </c>
      <c r="K39">
        <f t="shared" si="22"/>
        <v>0.86255369555958838</v>
      </c>
      <c r="M39">
        <v>15</v>
      </c>
      <c r="N39">
        <f t="shared" si="5"/>
        <v>0</v>
      </c>
      <c r="O39">
        <f t="shared" si="23"/>
        <v>300</v>
      </c>
      <c r="P39">
        <f>VLOOKUP(G39,Table1[#All],3,FALSE)</f>
        <v>750957.85439999995</v>
      </c>
      <c r="Q39">
        <f t="shared" si="6"/>
        <v>0</v>
      </c>
      <c r="R39">
        <v>0</v>
      </c>
      <c r="S39">
        <f t="shared" si="7"/>
        <v>435767.86242496542</v>
      </c>
      <c r="U39">
        <v>15</v>
      </c>
      <c r="V39">
        <f t="shared" si="8"/>
        <v>435767.86242496542</v>
      </c>
      <c r="W39">
        <f t="shared" si="9"/>
        <v>7347.2801913197409</v>
      </c>
      <c r="Y39">
        <v>15</v>
      </c>
      <c r="Z39">
        <f t="shared" si="10"/>
        <v>0</v>
      </c>
      <c r="AA39">
        <f t="shared" si="11"/>
        <v>-300</v>
      </c>
      <c r="AB39">
        <f t="shared" si="12"/>
        <v>-16229.835268025912</v>
      </c>
      <c r="AC39">
        <f>0</f>
        <v>0</v>
      </c>
      <c r="AD39">
        <f t="shared" si="13"/>
        <v>-18.179099999999998</v>
      </c>
      <c r="AE39">
        <f t="shared" si="14"/>
        <v>-7347.2801913197409</v>
      </c>
      <c r="AF39">
        <f t="shared" si="15"/>
        <v>-23895.294559345653</v>
      </c>
      <c r="AG39">
        <f t="shared" si="16"/>
        <v>-426349.96955545456</v>
      </c>
      <c r="AH39">
        <f t="shared" si="17"/>
        <v>-450245.2641148002</v>
      </c>
      <c r="AI39">
        <f t="shared" si="18"/>
        <v>0.41375579061714701</v>
      </c>
      <c r="AJ39">
        <f t="shared" si="19"/>
        <v>-160686.49528786188</v>
      </c>
      <c r="AK39">
        <f>0</f>
        <v>0</v>
      </c>
    </row>
    <row r="40" spans="1:37" x14ac:dyDescent="0.2">
      <c r="A40">
        <f t="shared" si="20"/>
        <v>76</v>
      </c>
      <c r="B40">
        <f>VLOOKUP(A40,Table21[#All],3,FALSE)</f>
        <v>2.438314312958248E-2</v>
      </c>
      <c r="C40">
        <f t="shared" si="0"/>
        <v>0.97561685687041755</v>
      </c>
      <c r="D40">
        <f t="shared" si="1"/>
        <v>0.49911292980253752</v>
      </c>
      <c r="E40">
        <f t="shared" si="2"/>
        <v>0.46517283609938148</v>
      </c>
      <c r="G40">
        <f t="shared" si="21"/>
        <v>76</v>
      </c>
      <c r="H40">
        <f t="shared" si="3"/>
        <v>2.438314312958248E-2</v>
      </c>
      <c r="I40">
        <f>0</f>
        <v>0</v>
      </c>
      <c r="J40">
        <f t="shared" si="4"/>
        <v>0.97561685687041755</v>
      </c>
      <c r="K40">
        <f t="shared" si="22"/>
        <v>0.84391203104175194</v>
      </c>
      <c r="M40">
        <v>16</v>
      </c>
      <c r="N40">
        <f t="shared" si="5"/>
        <v>0</v>
      </c>
      <c r="O40">
        <f t="shared" si="23"/>
        <v>300</v>
      </c>
      <c r="P40">
        <f>VLOOKUP(G40,Table1[#All],3,FALSE)</f>
        <v>750957.85439999995</v>
      </c>
      <c r="Q40">
        <f t="shared" si="6"/>
        <v>0</v>
      </c>
      <c r="R40">
        <v>0</v>
      </c>
      <c r="S40">
        <f t="shared" si="7"/>
        <v>447120.93804938416</v>
      </c>
      <c r="U40">
        <v>16</v>
      </c>
      <c r="V40">
        <f t="shared" si="8"/>
        <v>447120.93804938416</v>
      </c>
      <c r="W40">
        <f t="shared" si="9"/>
        <v>7326.4714155188067</v>
      </c>
      <c r="Y40">
        <v>16</v>
      </c>
      <c r="Z40">
        <f t="shared" si="10"/>
        <v>0</v>
      </c>
      <c r="AA40">
        <f t="shared" si="11"/>
        <v>-300</v>
      </c>
      <c r="AB40">
        <f t="shared" si="12"/>
        <v>-18310.712848119358</v>
      </c>
      <c r="AC40">
        <f>0</f>
        <v>0</v>
      </c>
      <c r="AD40">
        <f t="shared" si="13"/>
        <v>-18.179099999999998</v>
      </c>
      <c r="AE40">
        <f t="shared" si="14"/>
        <v>-7326.4714155188067</v>
      </c>
      <c r="AF40">
        <f t="shared" si="15"/>
        <v>-25955.363363638164</v>
      </c>
      <c r="AG40">
        <f t="shared" si="16"/>
        <v>-436218.72422069288</v>
      </c>
      <c r="AH40">
        <f t="shared" si="17"/>
        <v>-462174.08758433105</v>
      </c>
      <c r="AI40">
        <f t="shared" si="18"/>
        <v>0.39011593528658578</v>
      </c>
      <c r="AJ40">
        <f t="shared" si="19"/>
        <v>-152158.58518499546</v>
      </c>
      <c r="AK40">
        <f>0</f>
        <v>0</v>
      </c>
    </row>
    <row r="41" spans="1:37" x14ac:dyDescent="0.2">
      <c r="A41">
        <f t="shared" si="20"/>
        <v>77</v>
      </c>
      <c r="B41">
        <f>VLOOKUP(A41,Table21[#All],3,FALSE)</f>
        <v>2.7513867947345942E-2</v>
      </c>
      <c r="C41">
        <f t="shared" si="0"/>
        <v>0.97248613205265411</v>
      </c>
      <c r="D41">
        <f t="shared" si="1"/>
        <v>0.5175951289936257</v>
      </c>
      <c r="E41">
        <f t="shared" si="2"/>
        <v>0.4903638804362872</v>
      </c>
      <c r="G41">
        <f t="shared" si="21"/>
        <v>77</v>
      </c>
      <c r="H41">
        <f t="shared" si="3"/>
        <v>2.7513867947345942E-2</v>
      </c>
      <c r="I41">
        <f>0</f>
        <v>0</v>
      </c>
      <c r="J41">
        <f t="shared" si="4"/>
        <v>0.97248613205265411</v>
      </c>
      <c r="K41">
        <f t="shared" si="22"/>
        <v>0.82333480320008423</v>
      </c>
      <c r="M41">
        <v>17</v>
      </c>
      <c r="N41">
        <f t="shared" si="5"/>
        <v>0</v>
      </c>
      <c r="O41">
        <f t="shared" si="23"/>
        <v>300</v>
      </c>
      <c r="P41">
        <f>VLOOKUP(G41,Table1[#All],3,FALSE)</f>
        <v>750957.85439999995</v>
      </c>
      <c r="Q41">
        <f t="shared" si="6"/>
        <v>0</v>
      </c>
      <c r="R41">
        <v>0</v>
      </c>
      <c r="S41">
        <f t="shared" si="7"/>
        <v>458548.67797398497</v>
      </c>
      <c r="U41">
        <v>17</v>
      </c>
      <c r="V41">
        <f t="shared" si="8"/>
        <v>458548.67797398497</v>
      </c>
      <c r="W41">
        <f t="shared" si="9"/>
        <v>7302.9609916001618</v>
      </c>
      <c r="Y41">
        <v>17</v>
      </c>
      <c r="Z41">
        <f t="shared" si="10"/>
        <v>0</v>
      </c>
      <c r="AA41">
        <f t="shared" si="11"/>
        <v>-300</v>
      </c>
      <c r="AB41">
        <f t="shared" si="12"/>
        <v>-20661.755239983839</v>
      </c>
      <c r="AC41">
        <f>0</f>
        <v>0</v>
      </c>
      <c r="AD41">
        <f t="shared" si="13"/>
        <v>-18.179099999999998</v>
      </c>
      <c r="AE41">
        <f t="shared" si="14"/>
        <v>-7302.9609916001618</v>
      </c>
      <c r="AF41">
        <f t="shared" si="15"/>
        <v>-28282.895331584001</v>
      </c>
      <c r="AG41">
        <f t="shared" si="16"/>
        <v>-445932.23020077869</v>
      </c>
      <c r="AH41">
        <f t="shared" si="17"/>
        <v>-474215.12553236267</v>
      </c>
      <c r="AI41">
        <f t="shared" si="18"/>
        <v>0.36782673841863195</v>
      </c>
      <c r="AJ41">
        <f t="shared" si="19"/>
        <v>-143613.46880251754</v>
      </c>
      <c r="AK41">
        <f>0</f>
        <v>0</v>
      </c>
    </row>
    <row r="42" spans="1:37" x14ac:dyDescent="0.2">
      <c r="A42">
        <f t="shared" si="20"/>
        <v>78</v>
      </c>
      <c r="B42">
        <f>VLOOKUP(A42,Table21[#All],3,FALSE)</f>
        <v>3.1028503165882765E-2</v>
      </c>
      <c r="C42">
        <f t="shared" si="0"/>
        <v>0.96897149683411721</v>
      </c>
      <c r="D42">
        <f t="shared" si="1"/>
        <v>0.53619887820639223</v>
      </c>
      <c r="E42">
        <f t="shared" si="2"/>
        <v>0.5148001479049219</v>
      </c>
      <c r="G42">
        <f t="shared" si="21"/>
        <v>78</v>
      </c>
      <c r="H42">
        <f t="shared" si="3"/>
        <v>3.1028503165882765E-2</v>
      </c>
      <c r="I42">
        <f>0</f>
        <v>0</v>
      </c>
      <c r="J42">
        <f t="shared" si="4"/>
        <v>0.96897149683411721</v>
      </c>
      <c r="K42">
        <f t="shared" si="22"/>
        <v>0.80068167814838309</v>
      </c>
      <c r="M42">
        <v>18</v>
      </c>
      <c r="N42">
        <f t="shared" si="5"/>
        <v>0</v>
      </c>
      <c r="O42">
        <f t="shared" si="23"/>
        <v>300</v>
      </c>
      <c r="P42">
        <f>VLOOKUP(G42,Table1[#All],3,FALSE)</f>
        <v>750957.85439999995</v>
      </c>
      <c r="Q42">
        <f t="shared" si="6"/>
        <v>0</v>
      </c>
      <c r="R42">
        <v>0</v>
      </c>
      <c r="S42">
        <f t="shared" si="7"/>
        <v>470023.637306305</v>
      </c>
      <c r="U42">
        <v>18</v>
      </c>
      <c r="V42">
        <f t="shared" si="8"/>
        <v>470023.637306305</v>
      </c>
      <c r="W42">
        <f t="shared" si="9"/>
        <v>7276.5675623730504</v>
      </c>
      <c r="Y42">
        <v>18</v>
      </c>
      <c r="Z42">
        <f t="shared" si="10"/>
        <v>0</v>
      </c>
      <c r="AA42">
        <f t="shared" si="11"/>
        <v>-300</v>
      </c>
      <c r="AB42">
        <f t="shared" si="12"/>
        <v>-23301.098162694925</v>
      </c>
      <c r="AC42">
        <f>0</f>
        <v>0</v>
      </c>
      <c r="AD42">
        <f t="shared" si="13"/>
        <v>-18.179099999999998</v>
      </c>
      <c r="AE42">
        <f t="shared" si="14"/>
        <v>-7276.5675623730504</v>
      </c>
      <c r="AF42">
        <f t="shared" si="15"/>
        <v>-30895.844825067976</v>
      </c>
      <c r="AG42">
        <f t="shared" si="16"/>
        <v>-455439.50738810655</v>
      </c>
      <c r="AH42">
        <f t="shared" si="17"/>
        <v>-486335.35221317451</v>
      </c>
      <c r="AI42">
        <f t="shared" si="18"/>
        <v>0.34681103040894135</v>
      </c>
      <c r="AJ42">
        <f t="shared" si="19"/>
        <v>-135048.14794357732</v>
      </c>
      <c r="AK42">
        <f>0</f>
        <v>0</v>
      </c>
    </row>
    <row r="43" spans="1:37" x14ac:dyDescent="0.2">
      <c r="A43">
        <f t="shared" si="20"/>
        <v>79</v>
      </c>
      <c r="B43">
        <f>VLOOKUP(A43,Table21[#All],3,FALSE)</f>
        <v>3.4951198900900919E-2</v>
      </c>
      <c r="C43">
        <f t="shared" si="0"/>
        <v>0.96504880109909907</v>
      </c>
      <c r="D43">
        <f t="shared" si="1"/>
        <v>0.55487949874672848</v>
      </c>
      <c r="E43">
        <f t="shared" si="2"/>
        <v>53.939472521666445</v>
      </c>
      <c r="G43">
        <f t="shared" si="21"/>
        <v>79</v>
      </c>
      <c r="H43">
        <f t="shared" si="3"/>
        <v>3.4951198900900919E-2</v>
      </c>
      <c r="I43">
        <f>0</f>
        <v>0</v>
      </c>
      <c r="J43">
        <f t="shared" si="4"/>
        <v>0.96504880109909907</v>
      </c>
      <c r="K43">
        <f t="shared" si="22"/>
        <v>0.7758377241630916</v>
      </c>
      <c r="M43">
        <v>19</v>
      </c>
      <c r="N43">
        <f t="shared" si="5"/>
        <v>0</v>
      </c>
      <c r="O43">
        <f t="shared" si="23"/>
        <v>300</v>
      </c>
      <c r="P43">
        <f>VLOOKUP(G43,Table1[#All],3,FALSE)</f>
        <v>750957.85439999995</v>
      </c>
      <c r="Q43">
        <f t="shared" si="6"/>
        <v>0</v>
      </c>
      <c r="R43">
        <v>0</v>
      </c>
      <c r="S43">
        <f t="shared" si="7"/>
        <v>481523.31044910726</v>
      </c>
      <c r="U43">
        <v>19</v>
      </c>
      <c r="V43">
        <f t="shared" si="8"/>
        <v>481523.31044910726</v>
      </c>
      <c r="W43">
        <f t="shared" si="9"/>
        <v>7247.1097706467181</v>
      </c>
      <c r="Y43">
        <v>19</v>
      </c>
      <c r="Z43">
        <f t="shared" si="10"/>
        <v>0</v>
      </c>
      <c r="AA43">
        <f t="shared" si="11"/>
        <v>-300</v>
      </c>
      <c r="AB43">
        <f t="shared" si="12"/>
        <v>-26246.87733532819</v>
      </c>
      <c r="AC43">
        <f>0</f>
        <v>0</v>
      </c>
      <c r="AD43">
        <f t="shared" si="13"/>
        <v>-18.179099999999998</v>
      </c>
      <c r="AE43">
        <f t="shared" si="14"/>
        <v>-7247.1097706467181</v>
      </c>
      <c r="AF43">
        <f t="shared" si="15"/>
        <v>-33812.166205974907</v>
      </c>
      <c r="AG43">
        <f t="shared" si="16"/>
        <v>-464693.49345018022</v>
      </c>
      <c r="AH43">
        <f t="shared" si="17"/>
        <v>-498505.65965615516</v>
      </c>
      <c r="AI43">
        <f t="shared" si="18"/>
        <v>0.32699605072326376</v>
      </c>
      <c r="AJ43">
        <f t="shared" si="19"/>
        <v>-126468.82792542511</v>
      </c>
      <c r="AK43">
        <f>0</f>
        <v>0</v>
      </c>
    </row>
    <row r="44" spans="1:37" x14ac:dyDescent="0.2">
      <c r="A44">
        <f t="shared" si="20"/>
        <v>80</v>
      </c>
      <c r="B44">
        <f>VLOOKUP(A44,Table21[#All],3,FALSE)</f>
        <v>3.9306105268108404E-2</v>
      </c>
      <c r="C44">
        <f t="shared" si="0"/>
        <v>0.9606938947318916</v>
      </c>
      <c r="D44">
        <f t="shared" si="1"/>
        <v>0.57360035285359601</v>
      </c>
      <c r="E44">
        <f t="shared" si="2"/>
        <v>-33697413.766245387</v>
      </c>
      <c r="G44">
        <f t="shared" si="21"/>
        <v>80</v>
      </c>
      <c r="H44">
        <f t="shared" si="3"/>
        <v>3.9306105268108404E-2</v>
      </c>
      <c r="I44">
        <f>0</f>
        <v>0</v>
      </c>
      <c r="J44">
        <f t="shared" si="4"/>
        <v>0.9606938947318916</v>
      </c>
      <c r="K44">
        <f t="shared" si="22"/>
        <v>0.74872126555104512</v>
      </c>
      <c r="M44">
        <v>20</v>
      </c>
      <c r="N44">
        <f t="shared" si="5"/>
        <v>0</v>
      </c>
      <c r="O44">
        <f t="shared" si="23"/>
        <v>300</v>
      </c>
      <c r="P44">
        <f>VLOOKUP(G44,Table1[#All],3,FALSE)</f>
        <v>750957.85439999995</v>
      </c>
      <c r="Q44">
        <f t="shared" si="6"/>
        <v>0</v>
      </c>
      <c r="R44">
        <v>0</v>
      </c>
      <c r="S44">
        <f t="shared" si="7"/>
        <v>493031.51321513084</v>
      </c>
      <c r="U44">
        <v>20</v>
      </c>
      <c r="V44">
        <f t="shared" si="8"/>
        <v>493031.51321513084</v>
      </c>
      <c r="W44">
        <f t="shared" si="9"/>
        <v>7214.4062592304081</v>
      </c>
      <c r="Y44">
        <v>20</v>
      </c>
      <c r="Z44">
        <f t="shared" si="10"/>
        <v>0</v>
      </c>
      <c r="AA44">
        <f t="shared" si="11"/>
        <v>-300</v>
      </c>
      <c r="AB44">
        <f t="shared" si="12"/>
        <v>-29517.228476959222</v>
      </c>
      <c r="AC44">
        <f>0</f>
        <v>0</v>
      </c>
      <c r="AD44">
        <f t="shared" si="13"/>
        <v>-18.179099999999998</v>
      </c>
      <c r="AE44">
        <f t="shared" si="14"/>
        <v>-7214.4062592304081</v>
      </c>
      <c r="AF44">
        <f t="shared" si="15"/>
        <v>-37049.813836189634</v>
      </c>
      <c r="AG44">
        <f t="shared" si="16"/>
        <v>-473652.36465620215</v>
      </c>
      <c r="AH44">
        <f t="shared" si="17"/>
        <v>-510702.17849239177</v>
      </c>
      <c r="AI44">
        <f t="shared" si="18"/>
        <v>0.30831319598609441</v>
      </c>
      <c r="AJ44">
        <f t="shared" si="19"/>
        <v>-117890.82094223695</v>
      </c>
      <c r="AK44">
        <f>0</f>
        <v>0</v>
      </c>
    </row>
    <row r="45" spans="1:37" x14ac:dyDescent="0.2">
      <c r="A45">
        <f t="shared" si="20"/>
        <v>81</v>
      </c>
      <c r="B45">
        <f>VLOOKUP(A45,Table21[#All],3,FALSE)</f>
        <v>4.4016352285025623E-2</v>
      </c>
      <c r="C45">
        <f t="shared" si="0"/>
        <v>0.95598364771497435</v>
      </c>
      <c r="D45">
        <f t="shared" si="1"/>
        <v>0.59233509371491011</v>
      </c>
      <c r="E45">
        <f t="shared" si="2"/>
        <v>-216542513744208.16</v>
      </c>
      <c r="G45">
        <f t="shared" si="21"/>
        <v>81</v>
      </c>
      <c r="H45">
        <f t="shared" si="3"/>
        <v>4.4016352285025623E-2</v>
      </c>
      <c r="I45">
        <f>0</f>
        <v>0</v>
      </c>
      <c r="J45">
        <f t="shared" si="4"/>
        <v>0.95598364771497435</v>
      </c>
      <c r="K45">
        <f t="shared" si="22"/>
        <v>0.71929194867082435</v>
      </c>
      <c r="M45">
        <v>21</v>
      </c>
      <c r="N45">
        <f t="shared" si="5"/>
        <v>0</v>
      </c>
      <c r="O45">
        <f t="shared" si="23"/>
        <v>300</v>
      </c>
      <c r="P45">
        <f>VLOOKUP(G45,Table1[#All],3,FALSE)</f>
        <v>750957.85439999995</v>
      </c>
      <c r="Q45">
        <f t="shared" si="6"/>
        <v>0</v>
      </c>
      <c r="R45">
        <v>0</v>
      </c>
      <c r="S45">
        <f t="shared" si="7"/>
        <v>504565.22568623425</v>
      </c>
      <c r="U45">
        <v>21</v>
      </c>
      <c r="V45">
        <f t="shared" si="8"/>
        <v>504565.22568623425</v>
      </c>
      <c r="W45">
        <f t="shared" si="9"/>
        <v>7179.0342892952258</v>
      </c>
      <c r="Y45">
        <v>21</v>
      </c>
      <c r="Z45">
        <f t="shared" si="10"/>
        <v>0</v>
      </c>
      <c r="AA45">
        <f t="shared" si="11"/>
        <v>-300</v>
      </c>
      <c r="AB45">
        <f t="shared" si="12"/>
        <v>-33054.425470477378</v>
      </c>
      <c r="AC45">
        <f>0</f>
        <v>0</v>
      </c>
      <c r="AD45">
        <f t="shared" si="13"/>
        <v>-18.179099999999998</v>
      </c>
      <c r="AE45">
        <f t="shared" si="14"/>
        <v>-7179.0342892952258</v>
      </c>
      <c r="AF45">
        <f t="shared" si="15"/>
        <v>-40551.638859772604</v>
      </c>
      <c r="AG45">
        <f t="shared" si="16"/>
        <v>-482356.10496165551</v>
      </c>
      <c r="AH45">
        <f t="shared" si="17"/>
        <v>-522907.7438214281</v>
      </c>
      <c r="AI45">
        <f t="shared" si="18"/>
        <v>0.29069778246223066</v>
      </c>
      <c r="AJ45">
        <f t="shared" si="19"/>
        <v>-109338.21797155958</v>
      </c>
      <c r="AK45">
        <f>0</f>
        <v>0</v>
      </c>
    </row>
    <row r="46" spans="1:37" x14ac:dyDescent="0.2">
      <c r="A46">
        <f t="shared" si="20"/>
        <v>82</v>
      </c>
      <c r="B46">
        <f>VLOOKUP(A46,Table21[#All],3,FALSE)</f>
        <v>4.9575850796594122E-2</v>
      </c>
      <c r="C46">
        <f t="shared" si="0"/>
        <v>0.9504241492034059</v>
      </c>
      <c r="D46">
        <f t="shared" si="1"/>
        <v>0.61111136419554035</v>
      </c>
      <c r="E46">
        <f t="shared" si="2"/>
        <v>-1.1173105098092317E+21</v>
      </c>
      <c r="G46">
        <f t="shared" si="21"/>
        <v>82</v>
      </c>
      <c r="H46">
        <f t="shared" si="3"/>
        <v>4.9575850796594122E-2</v>
      </c>
      <c r="I46">
        <f>0</f>
        <v>0</v>
      </c>
      <c r="J46">
        <f t="shared" si="4"/>
        <v>0.9504241492034059</v>
      </c>
      <c r="K46">
        <f t="shared" si="22"/>
        <v>0.68763134086234678</v>
      </c>
      <c r="M46">
        <v>22</v>
      </c>
      <c r="N46">
        <f t="shared" si="5"/>
        <v>0</v>
      </c>
      <c r="O46">
        <f t="shared" si="23"/>
        <v>300</v>
      </c>
      <c r="P46">
        <f>VLOOKUP(G46,Table1[#All],3,FALSE)</f>
        <v>750957.85439999995</v>
      </c>
      <c r="Q46">
        <f t="shared" si="6"/>
        <v>0</v>
      </c>
      <c r="R46">
        <v>0</v>
      </c>
      <c r="S46">
        <f t="shared" si="7"/>
        <v>516038.57776067039</v>
      </c>
      <c r="U46">
        <v>22</v>
      </c>
      <c r="V46">
        <f t="shared" si="8"/>
        <v>516038.57776067039</v>
      </c>
      <c r="W46">
        <f t="shared" si="9"/>
        <v>7137.2847985573517</v>
      </c>
      <c r="Y46">
        <v>22</v>
      </c>
      <c r="Z46">
        <f t="shared" si="10"/>
        <v>0</v>
      </c>
      <c r="AA46">
        <f t="shared" si="11"/>
        <v>-300</v>
      </c>
      <c r="AB46">
        <f t="shared" si="12"/>
        <v>-37229.374544264851</v>
      </c>
      <c r="AC46">
        <f>0</f>
        <v>0</v>
      </c>
      <c r="AD46">
        <f t="shared" si="13"/>
        <v>-18.179099999999998</v>
      </c>
      <c r="AE46">
        <f t="shared" si="14"/>
        <v>-7137.2847985573517</v>
      </c>
      <c r="AF46">
        <f t="shared" si="15"/>
        <v>-44684.838442822205</v>
      </c>
      <c r="AG46">
        <f t="shared" si="16"/>
        <v>-490455.52622432075</v>
      </c>
      <c r="AH46">
        <f t="shared" si="17"/>
        <v>-535140.36466714297</v>
      </c>
      <c r="AI46">
        <f t="shared" si="18"/>
        <v>0.27408882210889779</v>
      </c>
      <c r="AJ46">
        <f t="shared" si="19"/>
        <v>-100859.00919880152</v>
      </c>
      <c r="AK46">
        <f>0</f>
        <v>0</v>
      </c>
    </row>
    <row r="47" spans="1:37" x14ac:dyDescent="0.2">
      <c r="A47">
        <f t="shared" si="20"/>
        <v>83</v>
      </c>
      <c r="B47">
        <f>VLOOKUP(A47,Table21[#All],3,FALSE)</f>
        <v>5.6131484348632688E-2</v>
      </c>
      <c r="C47">
        <f t="shared" si="0"/>
        <v>0.94386851565136731</v>
      </c>
      <c r="D47">
        <f t="shared" si="1"/>
        <v>0.62978937270984736</v>
      </c>
      <c r="E47">
        <f t="shared" si="2"/>
        <v>-6.3969162075373706E+27</v>
      </c>
      <c r="G47">
        <f t="shared" si="21"/>
        <v>83</v>
      </c>
      <c r="H47">
        <f t="shared" si="3"/>
        <v>5.6131484348632688E-2</v>
      </c>
      <c r="I47">
        <f>0</f>
        <v>0</v>
      </c>
      <c r="J47">
        <f t="shared" si="4"/>
        <v>0.94386851565136731</v>
      </c>
      <c r="K47">
        <f t="shared" si="22"/>
        <v>0.65354143210469318</v>
      </c>
      <c r="M47">
        <v>23</v>
      </c>
      <c r="N47">
        <f t="shared" si="5"/>
        <v>0</v>
      </c>
      <c r="O47">
        <f t="shared" si="23"/>
        <v>300</v>
      </c>
      <c r="P47">
        <f>VLOOKUP(G47,Table1[#All],3,FALSE)</f>
        <v>750957.85439999995</v>
      </c>
      <c r="Q47">
        <f t="shared" si="6"/>
        <v>0</v>
      </c>
      <c r="R47">
        <v>0</v>
      </c>
      <c r="S47">
        <f t="shared" si="7"/>
        <v>527351.36970799929</v>
      </c>
      <c r="U47">
        <v>23</v>
      </c>
      <c r="V47">
        <f t="shared" si="8"/>
        <v>527351.36970799929</v>
      </c>
      <c r="W47">
        <f t="shared" si="9"/>
        <v>7088.0547534926363</v>
      </c>
      <c r="Y47">
        <v>23</v>
      </c>
      <c r="Z47">
        <f t="shared" si="10"/>
        <v>0</v>
      </c>
      <c r="AA47">
        <f t="shared" si="11"/>
        <v>-300</v>
      </c>
      <c r="AB47">
        <f t="shared" si="12"/>
        <v>-42152.379050736381</v>
      </c>
      <c r="AC47">
        <f>0</f>
        <v>0</v>
      </c>
      <c r="AD47">
        <f t="shared" si="13"/>
        <v>-18.179099999999998</v>
      </c>
      <c r="AE47">
        <f t="shared" si="14"/>
        <v>-7088.0547534926363</v>
      </c>
      <c r="AF47">
        <f t="shared" si="15"/>
        <v>-49558.612904229019</v>
      </c>
      <c r="AG47">
        <f t="shared" si="16"/>
        <v>-497750.35455300473</v>
      </c>
      <c r="AH47">
        <f t="shared" si="17"/>
        <v>-547308.9674572337</v>
      </c>
      <c r="AI47">
        <f t="shared" si="18"/>
        <v>0.25842881142309265</v>
      </c>
      <c r="AJ47">
        <f t="shared" si="19"/>
        <v>-92437.165456263348</v>
      </c>
      <c r="AK47">
        <f>0</f>
        <v>0</v>
      </c>
    </row>
    <row r="48" spans="1:37" x14ac:dyDescent="0.2">
      <c r="A48">
        <f t="shared" si="20"/>
        <v>84</v>
      </c>
      <c r="B48">
        <f>VLOOKUP(A48,Table21[#All],3,FALSE)</f>
        <v>6.3860547882855515E-2</v>
      </c>
      <c r="C48">
        <f t="shared" si="0"/>
        <v>0.93613945211714444</v>
      </c>
      <c r="D48">
        <f t="shared" si="1"/>
        <v>0.64820599991842409</v>
      </c>
      <c r="E48">
        <f t="shared" si="2"/>
        <v>-4.2063007375250216E+34</v>
      </c>
      <c r="G48">
        <f t="shared" si="21"/>
        <v>84</v>
      </c>
      <c r="H48">
        <f t="shared" si="3"/>
        <v>6.3860547882855515E-2</v>
      </c>
      <c r="I48">
        <f>0</f>
        <v>0</v>
      </c>
      <c r="J48">
        <f t="shared" si="4"/>
        <v>0.93613945211714444</v>
      </c>
      <c r="K48">
        <f t="shared" si="22"/>
        <v>0.6168571814373256</v>
      </c>
      <c r="M48">
        <v>24</v>
      </c>
      <c r="N48">
        <f t="shared" si="5"/>
        <v>0</v>
      </c>
      <c r="O48">
        <f t="shared" si="23"/>
        <v>300</v>
      </c>
      <c r="P48">
        <f>VLOOKUP(G48,Table1[#All],3,FALSE)</f>
        <v>750957.85439999995</v>
      </c>
      <c r="Q48">
        <f t="shared" si="6"/>
        <v>0</v>
      </c>
      <c r="R48">
        <v>0</v>
      </c>
      <c r="S48">
        <f t="shared" si="7"/>
        <v>538384.00641659717</v>
      </c>
      <c r="U48">
        <v>24</v>
      </c>
      <c r="V48">
        <f t="shared" si="8"/>
        <v>538384.00641659717</v>
      </c>
      <c r="W48">
        <f t="shared" si="9"/>
        <v>7030.0127438108229</v>
      </c>
      <c r="Y48">
        <v>24</v>
      </c>
      <c r="Z48">
        <f t="shared" si="10"/>
        <v>0</v>
      </c>
      <c r="AA48">
        <f t="shared" si="11"/>
        <v>-300</v>
      </c>
      <c r="AB48">
        <f t="shared" si="12"/>
        <v>-47956.580018917637</v>
      </c>
      <c r="AC48">
        <f>0</f>
        <v>0</v>
      </c>
      <c r="AD48">
        <f t="shared" si="13"/>
        <v>-18.179099999999998</v>
      </c>
      <c r="AE48">
        <f t="shared" si="14"/>
        <v>-7030.0127438108229</v>
      </c>
      <c r="AF48">
        <f t="shared" si="15"/>
        <v>-55304.771862728463</v>
      </c>
      <c r="AG48">
        <f t="shared" si="16"/>
        <v>-504002.50879546645</v>
      </c>
      <c r="AH48">
        <f t="shared" si="17"/>
        <v>-559307.28065819491</v>
      </c>
      <c r="AI48">
        <f t="shared" si="18"/>
        <v>0.24366353235309232</v>
      </c>
      <c r="AJ48">
        <f t="shared" si="19"/>
        <v>-84067.016284225378</v>
      </c>
      <c r="AK48">
        <f>0</f>
        <v>0</v>
      </c>
    </row>
    <row r="49" spans="1:37" x14ac:dyDescent="0.2">
      <c r="A49">
        <f t="shared" si="20"/>
        <v>85</v>
      </c>
      <c r="B49">
        <f>VLOOKUP(A49,Table21[#All],3,FALSE)</f>
        <v>7.2583746843583083E-2</v>
      </c>
      <c r="C49">
        <f t="shared" si="0"/>
        <v>0.92741625315641696</v>
      </c>
      <c r="D49">
        <f t="shared" si="1"/>
        <v>0.66616655200489028</v>
      </c>
      <c r="E49">
        <f t="shared" si="2"/>
        <v>-3.1684524773480605E+41</v>
      </c>
      <c r="G49">
        <f t="shared" si="21"/>
        <v>85</v>
      </c>
      <c r="H49">
        <f t="shared" si="3"/>
        <v>7.2583746843583083E-2</v>
      </c>
      <c r="I49">
        <f>0</f>
        <v>0</v>
      </c>
      <c r="J49">
        <f t="shared" si="4"/>
        <v>0.92741625315641696</v>
      </c>
      <c r="K49">
        <f t="shared" si="22"/>
        <v>0.57746434386526391</v>
      </c>
      <c r="M49">
        <v>25</v>
      </c>
      <c r="N49">
        <f t="shared" si="5"/>
        <v>0</v>
      </c>
      <c r="O49">
        <f t="shared" si="23"/>
        <v>300</v>
      </c>
      <c r="P49">
        <f>VLOOKUP(G49,Table1[#All],3,FALSE)</f>
        <v>750957.85439999995</v>
      </c>
      <c r="Q49">
        <f t="shared" si="6"/>
        <v>0</v>
      </c>
      <c r="R49">
        <v>0</v>
      </c>
      <c r="S49">
        <f t="shared" si="7"/>
        <v>549072.15743771242</v>
      </c>
      <c r="U49">
        <v>25</v>
      </c>
      <c r="V49">
        <f t="shared" si="8"/>
        <v>549072.15743771242</v>
      </c>
      <c r="W49">
        <f t="shared" si="9"/>
        <v>6964.5051960603014</v>
      </c>
      <c r="Y49">
        <v>25</v>
      </c>
      <c r="Z49">
        <f t="shared" si="10"/>
        <v>0</v>
      </c>
      <c r="AA49">
        <f t="shared" si="11"/>
        <v>-300</v>
      </c>
      <c r="AB49">
        <f t="shared" si="12"/>
        <v>-54507.334793969923</v>
      </c>
      <c r="AC49">
        <f>0</f>
        <v>0</v>
      </c>
      <c r="AD49">
        <f t="shared" si="13"/>
        <v>-18.179099999999998</v>
      </c>
      <c r="AE49">
        <f t="shared" si="14"/>
        <v>-6964.5051960603014</v>
      </c>
      <c r="AF49">
        <f t="shared" si="15"/>
        <v>-61790.019090030226</v>
      </c>
      <c r="AG49">
        <f t="shared" si="16"/>
        <v>-509218.44296339352</v>
      </c>
      <c r="AH49">
        <f t="shared" si="17"/>
        <v>-571008.46205342375</v>
      </c>
      <c r="AI49">
        <f t="shared" si="18"/>
        <v>0.2297418645848445</v>
      </c>
      <c r="AJ49">
        <f t="shared" si="19"/>
        <v>-75754.399378348447</v>
      </c>
      <c r="AK49">
        <f>0</f>
        <v>0</v>
      </c>
    </row>
    <row r="50" spans="1:37" x14ac:dyDescent="0.2">
      <c r="A50">
        <f t="shared" si="20"/>
        <v>86</v>
      </c>
      <c r="B50">
        <f>VLOOKUP(A50,Table21[#All],3,FALSE)</f>
        <v>8.2084706763254606E-2</v>
      </c>
      <c r="C50">
        <f t="shared" si="0"/>
        <v>0.91791529323674537</v>
      </c>
      <c r="D50">
        <f t="shared" si="1"/>
        <v>0.68356630321662715</v>
      </c>
      <c r="E50">
        <f t="shared" si="2"/>
        <v>-2.7090596842380329E+48</v>
      </c>
      <c r="G50">
        <f t="shared" si="21"/>
        <v>86</v>
      </c>
      <c r="H50">
        <f t="shared" si="3"/>
        <v>8.2084706763254606E-2</v>
      </c>
      <c r="I50">
        <f>0</f>
        <v>0</v>
      </c>
      <c r="J50">
        <f t="shared" si="4"/>
        <v>0.91791529323674537</v>
      </c>
      <c r="K50">
        <f t="shared" si="22"/>
        <v>0.53554981811895186</v>
      </c>
      <c r="M50">
        <v>26</v>
      </c>
      <c r="N50">
        <f t="shared" si="5"/>
        <v>0</v>
      </c>
      <c r="O50">
        <f t="shared" si="23"/>
        <v>300</v>
      </c>
      <c r="P50">
        <f>VLOOKUP(G50,Table1[#All],3,FALSE)</f>
        <v>750957.85439999995</v>
      </c>
      <c r="Q50">
        <f t="shared" si="6"/>
        <v>0</v>
      </c>
      <c r="R50">
        <v>0</v>
      </c>
      <c r="S50">
        <f t="shared" si="7"/>
        <v>559409.77929457021</v>
      </c>
      <c r="U50">
        <v>26</v>
      </c>
      <c r="V50">
        <f t="shared" si="8"/>
        <v>559409.77929457021</v>
      </c>
      <c r="W50">
        <f t="shared" si="9"/>
        <v>6893.1569913001313</v>
      </c>
      <c r="Y50">
        <v>26</v>
      </c>
      <c r="Z50">
        <f t="shared" si="10"/>
        <v>0</v>
      </c>
      <c r="AA50">
        <f t="shared" si="11"/>
        <v>-300</v>
      </c>
      <c r="AB50">
        <f t="shared" si="12"/>
        <v>-61642.155269986841</v>
      </c>
      <c r="AC50">
        <f>0</f>
        <v>0</v>
      </c>
      <c r="AD50">
        <f t="shared" si="13"/>
        <v>-18.179099999999998</v>
      </c>
      <c r="AE50">
        <f t="shared" si="14"/>
        <v>-6893.1569913001313</v>
      </c>
      <c r="AF50">
        <f t="shared" si="15"/>
        <v>-68853.491361286971</v>
      </c>
      <c r="AG50">
        <f t="shared" si="16"/>
        <v>-513490.79160067841</v>
      </c>
      <c r="AH50">
        <f t="shared" si="17"/>
        <v>-582344.28296196542</v>
      </c>
      <c r="AI50">
        <f t="shared" si="18"/>
        <v>0.21661560855333792</v>
      </c>
      <c r="AJ50">
        <f t="shared" si="19"/>
        <v>-67556.857494452561</v>
      </c>
      <c r="AK50">
        <f>0</f>
        <v>0</v>
      </c>
    </row>
    <row r="51" spans="1:37" x14ac:dyDescent="0.2">
      <c r="A51">
        <f t="shared" si="20"/>
        <v>87</v>
      </c>
      <c r="B51">
        <f>VLOOKUP(A51,Table21[#All],3,FALSE)</f>
        <v>9.2728503052127612E-2</v>
      </c>
      <c r="C51">
        <f t="shared" si="0"/>
        <v>0.90727149694787235</v>
      </c>
      <c r="D51">
        <f t="shared" si="1"/>
        <v>0.70039541607634492</v>
      </c>
      <c r="E51">
        <f t="shared" si="2"/>
        <v>-2.6037758518930333E+55</v>
      </c>
      <c r="G51">
        <f t="shared" si="21"/>
        <v>87</v>
      </c>
      <c r="H51">
        <f t="shared" si="3"/>
        <v>9.2728503052127612E-2</v>
      </c>
      <c r="I51">
        <f>0</f>
        <v>0</v>
      </c>
      <c r="J51">
        <f t="shared" si="4"/>
        <v>0.90727149694787235</v>
      </c>
      <c r="K51">
        <f t="shared" si="22"/>
        <v>0.49158936834154332</v>
      </c>
      <c r="M51">
        <v>27</v>
      </c>
      <c r="N51">
        <f t="shared" si="5"/>
        <v>0</v>
      </c>
      <c r="O51">
        <f t="shared" si="23"/>
        <v>300</v>
      </c>
      <c r="P51">
        <f>VLOOKUP(G51,Table1[#All],3,FALSE)</f>
        <v>750957.85439999995</v>
      </c>
      <c r="Q51">
        <f t="shared" si="6"/>
        <v>0</v>
      </c>
      <c r="R51">
        <v>0</v>
      </c>
      <c r="S51">
        <f t="shared" si="7"/>
        <v>569335.34456593788</v>
      </c>
      <c r="U51">
        <v>27</v>
      </c>
      <c r="V51">
        <f t="shared" si="8"/>
        <v>569335.34456593788</v>
      </c>
      <c r="W51">
        <f t="shared" si="9"/>
        <v>6813.2265670625038</v>
      </c>
      <c r="Y51">
        <v>27</v>
      </c>
      <c r="Z51">
        <f t="shared" si="10"/>
        <v>0</v>
      </c>
      <c r="AA51">
        <f t="shared" si="11"/>
        <v>-300</v>
      </c>
      <c r="AB51">
        <f t="shared" si="12"/>
        <v>-69635.197693749593</v>
      </c>
      <c r="AC51">
        <f>0</f>
        <v>0</v>
      </c>
      <c r="AD51">
        <f t="shared" si="13"/>
        <v>-18.179099999999998</v>
      </c>
      <c r="AE51">
        <f t="shared" si="14"/>
        <v>-6813.2265670625038</v>
      </c>
      <c r="AF51">
        <f t="shared" si="15"/>
        <v>-76766.603360812092</v>
      </c>
      <c r="AG51">
        <f t="shared" si="16"/>
        <v>-516541.73032967118</v>
      </c>
      <c r="AH51">
        <f t="shared" si="17"/>
        <v>-593308.33369048324</v>
      </c>
      <c r="AI51">
        <f t="shared" si="18"/>
        <v>0.20423931856618294</v>
      </c>
      <c r="AJ51">
        <f t="shared" si="19"/>
        <v>-59569.270700896297</v>
      </c>
      <c r="AK51">
        <f>0</f>
        <v>0</v>
      </c>
    </row>
    <row r="52" spans="1:37" x14ac:dyDescent="0.2">
      <c r="A52">
        <f t="shared" si="20"/>
        <v>88</v>
      </c>
      <c r="B52">
        <f>VLOOKUP(A52,Table21[#All],3,FALSE)</f>
        <v>0.10443426456882982</v>
      </c>
      <c r="C52">
        <f t="shared" si="0"/>
        <v>0.89556573543117013</v>
      </c>
      <c r="D52">
        <f t="shared" si="1"/>
        <v>0.71655372866799949</v>
      </c>
      <c r="E52">
        <f t="shared" si="2"/>
        <v>-2.7890777917515047E+62</v>
      </c>
      <c r="G52">
        <f t="shared" si="21"/>
        <v>88</v>
      </c>
      <c r="H52">
        <f t="shared" si="3"/>
        <v>0.10443426456882982</v>
      </c>
      <c r="I52">
        <f>0</f>
        <v>0</v>
      </c>
      <c r="J52">
        <f t="shared" si="4"/>
        <v>0.89556573543117013</v>
      </c>
      <c r="K52">
        <f t="shared" si="22"/>
        <v>0.44600502209889104</v>
      </c>
      <c r="M52">
        <v>28</v>
      </c>
      <c r="N52">
        <f t="shared" si="5"/>
        <v>0</v>
      </c>
      <c r="O52">
        <f t="shared" si="23"/>
        <v>300</v>
      </c>
      <c r="P52">
        <f>VLOOKUP(G52,Table1[#All],3,FALSE)</f>
        <v>750957.85439999995</v>
      </c>
      <c r="Q52">
        <f t="shared" si="6"/>
        <v>0</v>
      </c>
      <c r="R52">
        <v>0</v>
      </c>
      <c r="S52">
        <f t="shared" si="7"/>
        <v>578814.15774917603</v>
      </c>
      <c r="U52">
        <v>28</v>
      </c>
      <c r="V52">
        <f t="shared" si="8"/>
        <v>578814.15774917603</v>
      </c>
      <c r="W52">
        <f t="shared" si="9"/>
        <v>6725.3212315354958</v>
      </c>
      <c r="Y52">
        <v>28</v>
      </c>
      <c r="Z52">
        <f t="shared" si="10"/>
        <v>0</v>
      </c>
      <c r="AA52">
        <f t="shared" si="11"/>
        <v>-300</v>
      </c>
      <c r="AB52">
        <f t="shared" si="12"/>
        <v>-78425.731246450378</v>
      </c>
      <c r="AC52">
        <f>0</f>
        <v>0</v>
      </c>
      <c r="AD52">
        <f t="shared" si="13"/>
        <v>-18.179099999999998</v>
      </c>
      <c r="AE52">
        <f t="shared" si="14"/>
        <v>-6725.3212315354958</v>
      </c>
      <c r="AF52">
        <f t="shared" si="15"/>
        <v>-85469.231577985862</v>
      </c>
      <c r="AG52">
        <f t="shared" si="16"/>
        <v>-518366.12686261412</v>
      </c>
      <c r="AH52">
        <f t="shared" si="17"/>
        <v>-603835.35844059999</v>
      </c>
      <c r="AI52">
        <f t="shared" si="18"/>
        <v>0.19257014546164372</v>
      </c>
      <c r="AJ52">
        <f t="shared" si="19"/>
        <v>-51861.759586154134</v>
      </c>
      <c r="AK52">
        <f>0</f>
        <v>0</v>
      </c>
    </row>
    <row r="53" spans="1:37" x14ac:dyDescent="0.2">
      <c r="A53">
        <f t="shared" si="20"/>
        <v>89</v>
      </c>
      <c r="B53">
        <f>VLOOKUP(A53,Table21[#All],3,FALSE)</f>
        <v>0.11740906292318641</v>
      </c>
      <c r="C53">
        <f t="shared" si="0"/>
        <v>0.88259093707681358</v>
      </c>
      <c r="D53">
        <f t="shared" si="1"/>
        <v>0.73198476053759953</v>
      </c>
      <c r="E53">
        <f t="shared" si="2"/>
        <v>-3.3045613889088686E+69</v>
      </c>
      <c r="G53">
        <f t="shared" si="21"/>
        <v>89</v>
      </c>
      <c r="H53">
        <f t="shared" si="3"/>
        <v>0.11740906292318641</v>
      </c>
      <c r="I53">
        <f>0</f>
        <v>0</v>
      </c>
      <c r="J53">
        <f t="shared" si="4"/>
        <v>0.88259093707681358</v>
      </c>
      <c r="K53">
        <f t="shared" si="22"/>
        <v>0.39942681562198862</v>
      </c>
      <c r="M53">
        <v>29</v>
      </c>
      <c r="N53">
        <f t="shared" si="5"/>
        <v>0</v>
      </c>
      <c r="O53">
        <f t="shared" si="23"/>
        <v>300</v>
      </c>
      <c r="P53">
        <f>VLOOKUP(G53,Table1[#All],3,FALSE)</f>
        <v>750957.85439999995</v>
      </c>
      <c r="Q53">
        <f t="shared" si="6"/>
        <v>0</v>
      </c>
      <c r="R53">
        <v>0</v>
      </c>
      <c r="S53">
        <f t="shared" si="7"/>
        <v>587784.4587214943</v>
      </c>
      <c r="U53">
        <v>29</v>
      </c>
      <c r="V53">
        <f t="shared" si="8"/>
        <v>587784.4587214943</v>
      </c>
      <c r="W53">
        <f t="shared" si="9"/>
        <v>6627.8859642008929</v>
      </c>
      <c r="Y53">
        <v>29</v>
      </c>
      <c r="Z53">
        <f t="shared" si="10"/>
        <v>0</v>
      </c>
      <c r="AA53">
        <f t="shared" si="11"/>
        <v>-300</v>
      </c>
      <c r="AB53">
        <f t="shared" si="12"/>
        <v>-88169.257979910661</v>
      </c>
      <c r="AC53">
        <f>0</f>
        <v>0</v>
      </c>
      <c r="AD53">
        <f t="shared" si="13"/>
        <v>-18.179099999999998</v>
      </c>
      <c r="AE53">
        <f t="shared" si="14"/>
        <v>-6627.8859642008929</v>
      </c>
      <c r="AF53">
        <f t="shared" si="15"/>
        <v>-95115.323044111545</v>
      </c>
      <c r="AG53">
        <f t="shared" si="16"/>
        <v>-518773.23622219131</v>
      </c>
      <c r="AH53">
        <f t="shared" si="17"/>
        <v>-613888.55926630285</v>
      </c>
      <c r="AI53">
        <f t="shared" si="18"/>
        <v>0.18156768825637232</v>
      </c>
      <c r="AJ53">
        <f t="shared" si="19"/>
        <v>-44521.042156890049</v>
      </c>
      <c r="AK53">
        <f>0</f>
        <v>0</v>
      </c>
    </row>
    <row r="54" spans="1:37" x14ac:dyDescent="0.2">
      <c r="A54">
        <f t="shared" si="20"/>
        <v>90</v>
      </c>
      <c r="B54">
        <f>VLOOKUP(A54,Table21[#All],3,FALSE)</f>
        <v>0.13173124160253022</v>
      </c>
      <c r="C54">
        <f t="shared" si="0"/>
        <v>0.86826875839746975</v>
      </c>
      <c r="D54">
        <f t="shared" si="1"/>
        <v>0.74658797237497787</v>
      </c>
      <c r="E54">
        <f t="shared" si="2"/>
        <v>-4.305943884034976E+76</v>
      </c>
      <c r="G54">
        <f t="shared" si="21"/>
        <v>90</v>
      </c>
      <c r="H54">
        <f t="shared" si="3"/>
        <v>0.13173124160253022</v>
      </c>
      <c r="I54">
        <f>0</f>
        <v>0</v>
      </c>
      <c r="J54">
        <f t="shared" si="4"/>
        <v>0.86826875839746975</v>
      </c>
      <c r="K54">
        <f t="shared" si="22"/>
        <v>0.35253048749341859</v>
      </c>
      <c r="M54">
        <v>30</v>
      </c>
      <c r="N54">
        <f t="shared" si="5"/>
        <v>0</v>
      </c>
      <c r="O54">
        <f t="shared" si="23"/>
        <v>300</v>
      </c>
      <c r="P54">
        <f>VLOOKUP(G54,Table1[#All],3,FALSE)</f>
        <v>750957.85439999995</v>
      </c>
      <c r="Q54">
        <f t="shared" si="6"/>
        <v>0</v>
      </c>
      <c r="R54">
        <v>0</v>
      </c>
      <c r="S54">
        <f t="shared" si="7"/>
        <v>596174.06070472521</v>
      </c>
      <c r="U54">
        <v>30</v>
      </c>
      <c r="V54">
        <f t="shared" si="8"/>
        <v>596174.06070472521</v>
      </c>
      <c r="W54">
        <f t="shared" si="9"/>
        <v>6520.3324384871585</v>
      </c>
      <c r="Y54">
        <v>30</v>
      </c>
      <c r="Z54">
        <f t="shared" si="10"/>
        <v>0</v>
      </c>
      <c r="AA54">
        <f t="shared" si="11"/>
        <v>-300</v>
      </c>
      <c r="AB54">
        <f t="shared" si="12"/>
        <v>-98924.610551284102</v>
      </c>
      <c r="AC54">
        <f>0</f>
        <v>0</v>
      </c>
      <c r="AD54">
        <f t="shared" si="13"/>
        <v>-18.179099999999998</v>
      </c>
      <c r="AE54">
        <f t="shared" si="14"/>
        <v>-6520.3324384871585</v>
      </c>
      <c r="AF54">
        <f t="shared" si="15"/>
        <v>-105763.12208977125</v>
      </c>
      <c r="AG54">
        <f t="shared" si="16"/>
        <v>-517639.31147686951</v>
      </c>
      <c r="AH54">
        <f t="shared" si="17"/>
        <v>-623402.43356664071</v>
      </c>
      <c r="AI54">
        <f t="shared" si="18"/>
        <v>0.1711938542692204</v>
      </c>
      <c r="AJ54">
        <f t="shared" si="19"/>
        <v>-37622.993247045277</v>
      </c>
      <c r="AK54">
        <f>0</f>
        <v>0</v>
      </c>
    </row>
    <row r="55" spans="1:37" x14ac:dyDescent="0.2">
      <c r="A55">
        <f t="shared" si="20"/>
        <v>91</v>
      </c>
      <c r="B55">
        <f>VLOOKUP(A55,Table21[#All],3,FALSE)</f>
        <v>0.14602886682515923</v>
      </c>
      <c r="C55">
        <f t="shared" si="0"/>
        <v>0.85397113317484075</v>
      </c>
      <c r="D55">
        <f t="shared" si="1"/>
        <v>0.76024585216306884</v>
      </c>
      <c r="E55">
        <f t="shared" si="2"/>
        <v>-6.1422049663585824E+83</v>
      </c>
      <c r="G55">
        <f t="shared" si="21"/>
        <v>91</v>
      </c>
      <c r="H55">
        <f t="shared" si="3"/>
        <v>0.14602886682515923</v>
      </c>
      <c r="I55">
        <f>0</f>
        <v>0</v>
      </c>
      <c r="J55">
        <f t="shared" si="4"/>
        <v>0.85397113317484075</v>
      </c>
      <c r="K55">
        <f t="shared" si="22"/>
        <v>0.3060912086731653</v>
      </c>
      <c r="M55">
        <v>31</v>
      </c>
      <c r="N55">
        <f t="shared" si="5"/>
        <v>0</v>
      </c>
      <c r="O55">
        <f t="shared" si="23"/>
        <v>300</v>
      </c>
      <c r="P55">
        <f>VLOOKUP(G55,Table1[#All],3,FALSE)</f>
        <v>750957.85439999995</v>
      </c>
      <c r="Q55">
        <f t="shared" si="6"/>
        <v>0</v>
      </c>
      <c r="R55">
        <v>0</v>
      </c>
      <c r="S55">
        <f t="shared" si="7"/>
        <v>604127.86019226385</v>
      </c>
      <c r="U55">
        <v>31</v>
      </c>
      <c r="V55">
        <f t="shared" si="8"/>
        <v>604127.86019226385</v>
      </c>
      <c r="W55">
        <f t="shared" si="9"/>
        <v>6412.9632988851508</v>
      </c>
      <c r="Y55">
        <v>31</v>
      </c>
      <c r="Z55">
        <f t="shared" si="10"/>
        <v>0</v>
      </c>
      <c r="AA55">
        <f t="shared" si="11"/>
        <v>-300</v>
      </c>
      <c r="AB55">
        <f t="shared" si="12"/>
        <v>-109661.52451148491</v>
      </c>
      <c r="AC55">
        <f>0</f>
        <v>0</v>
      </c>
      <c r="AD55">
        <f t="shared" si="13"/>
        <v>-18.179099999999998</v>
      </c>
      <c r="AE55">
        <f t="shared" si="14"/>
        <v>-6412.9632988851508</v>
      </c>
      <c r="AF55">
        <f t="shared" si="15"/>
        <v>-116392.66691037006</v>
      </c>
      <c r="AG55">
        <f t="shared" si="16"/>
        <v>-515907.7533508793</v>
      </c>
      <c r="AH55">
        <f t="shared" si="17"/>
        <v>-632300.42026124941</v>
      </c>
      <c r="AI55">
        <f t="shared" si="18"/>
        <v>0.16141272723684905</v>
      </c>
      <c r="AJ55">
        <f t="shared" si="19"/>
        <v>-31240.077470787684</v>
      </c>
      <c r="AK55">
        <f>0</f>
        <v>0</v>
      </c>
    </row>
    <row r="56" spans="1:37" x14ac:dyDescent="0.2">
      <c r="A56">
        <f t="shared" si="20"/>
        <v>92</v>
      </c>
      <c r="B56">
        <f>VLOOKUP(A56,Table21[#All],3,FALSE)</f>
        <v>0.1612951574597126</v>
      </c>
      <c r="C56">
        <f t="shared" si="0"/>
        <v>0.83870484254028743</v>
      </c>
      <c r="D56">
        <f t="shared" si="1"/>
        <v>0.77319428911685373</v>
      </c>
      <c r="E56">
        <f t="shared" si="2"/>
        <v>-9.41995797131481E+90</v>
      </c>
      <c r="G56">
        <f t="shared" si="21"/>
        <v>92</v>
      </c>
      <c r="H56">
        <f t="shared" si="3"/>
        <v>0.1612951574597126</v>
      </c>
      <c r="I56">
        <f>0</f>
        <v>0</v>
      </c>
      <c r="J56">
        <f t="shared" si="4"/>
        <v>0.83870484254028743</v>
      </c>
      <c r="K56">
        <f t="shared" si="22"/>
        <v>0.2613930563254796</v>
      </c>
      <c r="M56">
        <v>32</v>
      </c>
      <c r="N56">
        <f t="shared" si="5"/>
        <v>0</v>
      </c>
      <c r="O56">
        <f t="shared" si="23"/>
        <v>300</v>
      </c>
      <c r="P56">
        <f>VLOOKUP(G56,Table1[#All],3,FALSE)</f>
        <v>750957.85439999995</v>
      </c>
      <c r="Q56">
        <f t="shared" si="6"/>
        <v>0</v>
      </c>
      <c r="R56">
        <v>0</v>
      </c>
      <c r="S56">
        <f t="shared" si="7"/>
        <v>611650.01768825168</v>
      </c>
      <c r="U56">
        <v>32</v>
      </c>
      <c r="V56">
        <f t="shared" si="8"/>
        <v>611650.01768825168</v>
      </c>
      <c r="W56">
        <f t="shared" si="9"/>
        <v>6298.319890289441</v>
      </c>
      <c r="Y56">
        <v>32</v>
      </c>
      <c r="Z56">
        <f t="shared" si="10"/>
        <v>0</v>
      </c>
      <c r="AA56">
        <f t="shared" si="11"/>
        <v>-300</v>
      </c>
      <c r="AB56">
        <f t="shared" si="12"/>
        <v>-121125.86537105592</v>
      </c>
      <c r="AC56">
        <f>0</f>
        <v>0</v>
      </c>
      <c r="AD56">
        <f t="shared" si="13"/>
        <v>-18.179099999999998</v>
      </c>
      <c r="AE56">
        <f t="shared" si="14"/>
        <v>-6298.319890289441</v>
      </c>
      <c r="AF56">
        <f t="shared" si="15"/>
        <v>-127742.36436134535</v>
      </c>
      <c r="AG56">
        <f t="shared" si="16"/>
        <v>-512993.83177498914</v>
      </c>
      <c r="AH56">
        <f t="shared" si="17"/>
        <v>-640736.19613633445</v>
      </c>
      <c r="AI56">
        <f t="shared" si="18"/>
        <v>0.15219044296452758</v>
      </c>
      <c r="AJ56">
        <f t="shared" si="19"/>
        <v>-25489.463024241526</v>
      </c>
      <c r="AK56">
        <f>0</f>
        <v>0</v>
      </c>
    </row>
    <row r="57" spans="1:37" x14ac:dyDescent="0.2">
      <c r="A57">
        <f t="shared" si="20"/>
        <v>93</v>
      </c>
      <c r="B57">
        <f>VLOOKUP(A57,Table21[#All],3,FALSE)</f>
        <v>0.17711381944126642</v>
      </c>
      <c r="C57">
        <f t="shared" si="0"/>
        <v>0.82288618055873353</v>
      </c>
      <c r="D57">
        <f t="shared" si="1"/>
        <v>0.78544006494526919</v>
      </c>
      <c r="E57">
        <f t="shared" si="2"/>
        <v>-1.5631130697517612E+98</v>
      </c>
      <c r="G57">
        <f t="shared" si="21"/>
        <v>93</v>
      </c>
      <c r="H57">
        <f t="shared" si="3"/>
        <v>0.17711381944126642</v>
      </c>
      <c r="I57">
        <f>0</f>
        <v>0</v>
      </c>
      <c r="J57">
        <f t="shared" si="4"/>
        <v>0.82288618055873353</v>
      </c>
      <c r="K57">
        <f t="shared" si="22"/>
        <v>0.21923162214658584</v>
      </c>
      <c r="M57">
        <v>33</v>
      </c>
      <c r="N57">
        <f t="shared" si="5"/>
        <v>0</v>
      </c>
      <c r="O57">
        <f t="shared" si="23"/>
        <v>300</v>
      </c>
      <c r="P57">
        <f>VLOOKUP(G57,Table1[#All],3,FALSE)</f>
        <v>750957.85439999995</v>
      </c>
      <c r="Q57">
        <f t="shared" si="6"/>
        <v>0</v>
      </c>
      <c r="R57">
        <v>0</v>
      </c>
      <c r="S57">
        <f t="shared" si="7"/>
        <v>618811.52521783218</v>
      </c>
      <c r="U57">
        <v>33</v>
      </c>
      <c r="V57">
        <f t="shared" si="8"/>
        <v>618811.52521783218</v>
      </c>
      <c r="W57">
        <f t="shared" si="9"/>
        <v>6179.5284056779756</v>
      </c>
      <c r="Y57">
        <v>33</v>
      </c>
      <c r="Z57">
        <f t="shared" si="10"/>
        <v>0</v>
      </c>
      <c r="AA57">
        <f t="shared" si="11"/>
        <v>-300</v>
      </c>
      <c r="AB57">
        <f t="shared" si="12"/>
        <v>-133005.01383220241</v>
      </c>
      <c r="AC57">
        <f>0</f>
        <v>0</v>
      </c>
      <c r="AD57">
        <f t="shared" si="13"/>
        <v>-18.179099999999998</v>
      </c>
      <c r="AE57">
        <f t="shared" si="14"/>
        <v>-6179.5284056779756</v>
      </c>
      <c r="AF57">
        <f t="shared" si="15"/>
        <v>-139502.72133788039</v>
      </c>
      <c r="AG57">
        <f t="shared" si="16"/>
        <v>-509211.45247222634</v>
      </c>
      <c r="AH57">
        <f t="shared" si="17"/>
        <v>-648714.1738101067</v>
      </c>
      <c r="AI57">
        <f t="shared" si="18"/>
        <v>0.14349507208159892</v>
      </c>
      <c r="AJ57">
        <f t="shared" si="19"/>
        <v>-20407.676959005908</v>
      </c>
      <c r="AK57">
        <f>0</f>
        <v>0</v>
      </c>
    </row>
    <row r="58" spans="1:37" x14ac:dyDescent="0.2">
      <c r="A58">
        <f t="shared" si="20"/>
        <v>94</v>
      </c>
      <c r="B58">
        <f>VLOOKUP(A58,Table21[#All],3,FALSE)</f>
        <v>0.19326406245487662</v>
      </c>
      <c r="C58">
        <f t="shared" si="0"/>
        <v>0.8067359375451234</v>
      </c>
      <c r="D58">
        <f t="shared" si="1"/>
        <v>0.79709876361531007</v>
      </c>
      <c r="E58">
        <f t="shared" si="2"/>
        <v>0.79709876361531007</v>
      </c>
      <c r="G58">
        <f t="shared" si="21"/>
        <v>94</v>
      </c>
      <c r="H58">
        <f t="shared" si="3"/>
        <v>0.19326406245487662</v>
      </c>
      <c r="I58">
        <f>0</f>
        <v>0</v>
      </c>
      <c r="J58">
        <f t="shared" si="4"/>
        <v>0.8067359375451234</v>
      </c>
      <c r="K58">
        <f t="shared" si="22"/>
        <v>0.18040267220589948</v>
      </c>
      <c r="M58">
        <v>34</v>
      </c>
      <c r="N58">
        <f t="shared" si="5"/>
        <v>0</v>
      </c>
      <c r="O58">
        <f t="shared" si="23"/>
        <v>300</v>
      </c>
      <c r="P58">
        <f>VLOOKUP(G58,Table1[#All],3,FALSE)</f>
        <v>750957.85439999995</v>
      </c>
      <c r="Q58">
        <f t="shared" si="6"/>
        <v>0</v>
      </c>
      <c r="R58">
        <v>0</v>
      </c>
      <c r="S58">
        <f t="shared" si="7"/>
        <v>625731.45939989516</v>
      </c>
      <c r="U58">
        <v>34</v>
      </c>
      <c r="V58">
        <f t="shared" si="8"/>
        <v>625731.45939989516</v>
      </c>
      <c r="W58">
        <f t="shared" si="9"/>
        <v>6058.2468872625823</v>
      </c>
      <c r="Y58">
        <v>34</v>
      </c>
      <c r="Z58">
        <f t="shared" si="10"/>
        <v>0</v>
      </c>
      <c r="AA58">
        <f t="shared" si="11"/>
        <v>-300</v>
      </c>
      <c r="AB58">
        <f t="shared" si="12"/>
        <v>-145133.16567374175</v>
      </c>
      <c r="AC58">
        <f>0</f>
        <v>0</v>
      </c>
      <c r="AD58">
        <f t="shared" si="13"/>
        <v>-18.179099999999998</v>
      </c>
      <c r="AE58">
        <f t="shared" si="14"/>
        <v>-6058.2468872625823</v>
      </c>
      <c r="AF58">
        <f t="shared" si="15"/>
        <v>-151509.59166100435</v>
      </c>
      <c r="AG58">
        <f t="shared" si="16"/>
        <v>-504800.05555045273</v>
      </c>
      <c r="AH58">
        <f t="shared" si="17"/>
        <v>-656309.64721145714</v>
      </c>
      <c r="AI58">
        <f t="shared" si="18"/>
        <v>0.13529650949568869</v>
      </c>
      <c r="AJ58">
        <f t="shared" si="19"/>
        <v>-16019.108638932417</v>
      </c>
      <c r="AK58">
        <f>0</f>
        <v>0</v>
      </c>
    </row>
    <row r="59" spans="1:37" x14ac:dyDescent="0.2">
      <c r="A59">
        <f t="shared" si="20"/>
        <v>95</v>
      </c>
      <c r="B59">
        <f>VLOOKUP(A59,Table21[#All],3,FALSE)</f>
        <v>0.21034637931295341</v>
      </c>
      <c r="C59">
        <f t="shared" si="0"/>
        <v>0.78965362068704659</v>
      </c>
      <c r="D59">
        <f t="shared" si="1"/>
        <v>0.80836425475684759</v>
      </c>
      <c r="E59">
        <f t="shared" si="2"/>
        <v>0.80836425475684759</v>
      </c>
      <c r="G59">
        <f t="shared" si="21"/>
        <v>95</v>
      </c>
      <c r="H59">
        <f t="shared" si="3"/>
        <v>0.21034637931295341</v>
      </c>
      <c r="I59">
        <f>0</f>
        <v>0</v>
      </c>
      <c r="J59">
        <f t="shared" si="4"/>
        <v>0.78965362068704659</v>
      </c>
      <c r="K59">
        <f t="shared" si="22"/>
        <v>0.14553731889767188</v>
      </c>
      <c r="M59">
        <v>35</v>
      </c>
      <c r="N59">
        <f t="shared" si="5"/>
        <v>0</v>
      </c>
      <c r="O59">
        <f t="shared" si="23"/>
        <v>300</v>
      </c>
      <c r="P59">
        <f>VLOOKUP(G59,Table1[#All],3,FALSE)</f>
        <v>750957.85439999995</v>
      </c>
      <c r="Q59">
        <f t="shared" si="6"/>
        <v>0</v>
      </c>
      <c r="R59">
        <v>0</v>
      </c>
      <c r="S59">
        <f t="shared" si="7"/>
        <v>632479.20972468983</v>
      </c>
      <c r="U59">
        <v>35</v>
      </c>
      <c r="V59">
        <f t="shared" si="8"/>
        <v>632479.20972468983</v>
      </c>
      <c r="W59">
        <f t="shared" si="9"/>
        <v>5929.9658871033598</v>
      </c>
      <c r="Y59">
        <v>35</v>
      </c>
      <c r="Z59">
        <f t="shared" si="10"/>
        <v>0</v>
      </c>
      <c r="AA59">
        <f t="shared" si="11"/>
        <v>-300</v>
      </c>
      <c r="AB59">
        <f t="shared" si="12"/>
        <v>-157961.26568966403</v>
      </c>
      <c r="AC59">
        <f>0</f>
        <v>0</v>
      </c>
      <c r="AD59">
        <f t="shared" si="13"/>
        <v>-18.179099999999998</v>
      </c>
      <c r="AE59">
        <f t="shared" si="14"/>
        <v>-5929.9658871033598</v>
      </c>
      <c r="AF59">
        <f t="shared" si="15"/>
        <v>-164209.41067676738</v>
      </c>
      <c r="AG59">
        <f t="shared" si="16"/>
        <v>-499439.49796838319</v>
      </c>
      <c r="AH59">
        <f t="shared" si="17"/>
        <v>-663648.9086451506</v>
      </c>
      <c r="AI59">
        <f t="shared" si="18"/>
        <v>0.12756637016292588</v>
      </c>
      <c r="AJ59">
        <f t="shared" si="19"/>
        <v>-12321.084971338902</v>
      </c>
      <c r="AK59">
        <f>0</f>
        <v>0</v>
      </c>
    </row>
    <row r="60" spans="1:37" x14ac:dyDescent="0.2">
      <c r="A60">
        <f t="shared" si="20"/>
        <v>96</v>
      </c>
      <c r="B60">
        <f>VLOOKUP(A60,Table21[#All],3,FALSE)</f>
        <v>0.22772548364893402</v>
      </c>
      <c r="C60">
        <f t="shared" si="0"/>
        <v>0.77227451635106603</v>
      </c>
      <c r="D60">
        <f t="shared" si="1"/>
        <v>0.81934953154075774</v>
      </c>
      <c r="E60">
        <f t="shared" si="2"/>
        <v>0.81934953154075774</v>
      </c>
      <c r="G60">
        <f t="shared" si="21"/>
        <v>96</v>
      </c>
      <c r="H60">
        <f t="shared" si="3"/>
        <v>0.22772548364893402</v>
      </c>
      <c r="I60">
        <f>0</f>
        <v>0</v>
      </c>
      <c r="J60">
        <f t="shared" si="4"/>
        <v>0.77227451635106603</v>
      </c>
      <c r="K60">
        <f t="shared" si="22"/>
        <v>0.11492407081263192</v>
      </c>
      <c r="M60">
        <v>36</v>
      </c>
      <c r="N60">
        <f t="shared" si="5"/>
        <v>0</v>
      </c>
      <c r="O60">
        <f t="shared" si="23"/>
        <v>300</v>
      </c>
      <c r="P60">
        <f>VLOOKUP(G60,Table1[#All],3,FALSE)</f>
        <v>750957.85439999995</v>
      </c>
      <c r="Q60">
        <f t="shared" si="6"/>
        <v>0</v>
      </c>
      <c r="R60">
        <v>0</v>
      </c>
      <c r="S60">
        <f t="shared" si="7"/>
        <v>639248.95372396894</v>
      </c>
      <c r="U60">
        <v>36</v>
      </c>
      <c r="V60">
        <f t="shared" si="8"/>
        <v>639248.95372396894</v>
      </c>
      <c r="W60">
        <f t="shared" si="9"/>
        <v>5799.4561380679424</v>
      </c>
      <c r="Y60">
        <v>36</v>
      </c>
      <c r="Z60">
        <f t="shared" si="10"/>
        <v>0</v>
      </c>
      <c r="AA60">
        <f t="shared" si="11"/>
        <v>-300</v>
      </c>
      <c r="AB60">
        <f t="shared" si="12"/>
        <v>-171012.24059320576</v>
      </c>
      <c r="AC60">
        <f>0</f>
        <v>0</v>
      </c>
      <c r="AD60">
        <f t="shared" si="13"/>
        <v>-18.179099999999998</v>
      </c>
      <c r="AE60">
        <f t="shared" si="14"/>
        <v>-5799.4561380679424</v>
      </c>
      <c r="AF60">
        <f t="shared" si="15"/>
        <v>-177129.8758312737</v>
      </c>
      <c r="AG60">
        <f t="shared" si="16"/>
        <v>-493675.67656510312</v>
      </c>
      <c r="AH60">
        <f t="shared" si="17"/>
        <v>-670805.55239637685</v>
      </c>
      <c r="AI60">
        <f t="shared" si="18"/>
        <v>0.12027789081331164</v>
      </c>
      <c r="AJ60">
        <f t="shared" si="19"/>
        <v>-9272.4276531608193</v>
      </c>
      <c r="AK60">
        <f>0</f>
        <v>0</v>
      </c>
    </row>
    <row r="61" spans="1:37" x14ac:dyDescent="0.2">
      <c r="A61">
        <f t="shared" si="20"/>
        <v>97</v>
      </c>
      <c r="B61">
        <f>VLOOKUP(A61,Table21[#All],3,FALSE)</f>
        <v>0.24594845178306621</v>
      </c>
      <c r="C61">
        <f t="shared" si="0"/>
        <v>0.75405154821693376</v>
      </c>
      <c r="D61">
        <f t="shared" si="1"/>
        <v>0.83037075272736838</v>
      </c>
      <c r="E61">
        <f t="shared" si="2"/>
        <v>0.83037074782753384</v>
      </c>
      <c r="G61">
        <f t="shared" si="21"/>
        <v>97</v>
      </c>
      <c r="H61">
        <f t="shared" si="3"/>
        <v>0.24594845178306621</v>
      </c>
      <c r="I61">
        <f>0</f>
        <v>0</v>
      </c>
      <c r="J61">
        <f t="shared" si="4"/>
        <v>0.75405154821693376</v>
      </c>
      <c r="K61">
        <f t="shared" si="22"/>
        <v>8.8752931203920984E-2</v>
      </c>
      <c r="M61">
        <v>37</v>
      </c>
      <c r="N61">
        <f t="shared" si="5"/>
        <v>0</v>
      </c>
      <c r="O61">
        <f t="shared" si="23"/>
        <v>300</v>
      </c>
      <c r="P61">
        <f>VLOOKUP(G61,Table1[#All],3,FALSE)</f>
        <v>750957.85439999995</v>
      </c>
      <c r="Q61">
        <f t="shared" si="6"/>
        <v>0</v>
      </c>
      <c r="R61">
        <v>0</v>
      </c>
      <c r="S61">
        <f t="shared" si="7"/>
        <v>646252.65163040697</v>
      </c>
      <c r="U61">
        <v>37</v>
      </c>
      <c r="V61">
        <f t="shared" si="8"/>
        <v>646252.65163040697</v>
      </c>
      <c r="W61">
        <f t="shared" si="9"/>
        <v>5662.6093275598669</v>
      </c>
      <c r="Y61">
        <v>37</v>
      </c>
      <c r="Z61">
        <f t="shared" si="10"/>
        <v>0</v>
      </c>
      <c r="AA61">
        <f t="shared" si="11"/>
        <v>-300</v>
      </c>
      <c r="AB61">
        <f t="shared" si="12"/>
        <v>-184696.92164401323</v>
      </c>
      <c r="AC61">
        <f>0</f>
        <v>0</v>
      </c>
      <c r="AD61">
        <f t="shared" si="13"/>
        <v>-18.179099999999998</v>
      </c>
      <c r="AE61">
        <f t="shared" si="14"/>
        <v>-5662.6093275598669</v>
      </c>
      <c r="AF61">
        <f t="shared" si="15"/>
        <v>-190677.71007157309</v>
      </c>
      <c r="AG61">
        <f t="shared" si="16"/>
        <v>-487307.81250120711</v>
      </c>
      <c r="AH61">
        <f t="shared" si="17"/>
        <v>-677985.52257278026</v>
      </c>
      <c r="AI61">
        <f t="shared" si="18"/>
        <v>0.11340583729098955</v>
      </c>
      <c r="AJ61">
        <f t="shared" si="19"/>
        <v>-6823.9924054329613</v>
      </c>
      <c r="AK61">
        <f>0</f>
        <v>0</v>
      </c>
    </row>
    <row r="62" spans="1:37" x14ac:dyDescent="0.2">
      <c r="A62">
        <f t="shared" si="20"/>
        <v>98</v>
      </c>
      <c r="B62">
        <f>VLOOKUP(A62,Table21[#All],3,FALSE)</f>
        <v>0.26509312482386244</v>
      </c>
      <c r="C62">
        <f t="shared" si="0"/>
        <v>0.73490687517613762</v>
      </c>
      <c r="D62">
        <f t="shared" si="1"/>
        <v>0.84177305775481737</v>
      </c>
      <c r="E62">
        <f t="shared" si="2"/>
        <v>-2731.358235107391</v>
      </c>
      <c r="G62">
        <f t="shared" si="21"/>
        <v>98</v>
      </c>
      <c r="H62">
        <f t="shared" si="3"/>
        <v>0.26509312482386244</v>
      </c>
      <c r="I62">
        <f>0</f>
        <v>0</v>
      </c>
      <c r="J62">
        <f t="shared" si="4"/>
        <v>0.73490687517613762</v>
      </c>
      <c r="K62">
        <f t="shared" si="22"/>
        <v>6.6924285183107626E-2</v>
      </c>
      <c r="M62">
        <v>38</v>
      </c>
      <c r="N62">
        <f t="shared" si="5"/>
        <v>0</v>
      </c>
      <c r="O62">
        <f t="shared" si="23"/>
        <v>300</v>
      </c>
      <c r="P62">
        <f>VLOOKUP(G62,Table1[#All],3,FALSE)</f>
        <v>750957.85439999995</v>
      </c>
      <c r="Q62">
        <f t="shared" si="6"/>
        <v>0</v>
      </c>
      <c r="R62">
        <v>0</v>
      </c>
      <c r="S62">
        <f t="shared" si="7"/>
        <v>653828.19994779746</v>
      </c>
      <c r="U62">
        <v>38</v>
      </c>
      <c r="V62">
        <f t="shared" si="8"/>
        <v>653828.19994779746</v>
      </c>
      <c r="W62">
        <f t="shared" si="9"/>
        <v>5518.8409016608093</v>
      </c>
      <c r="Y62">
        <v>38</v>
      </c>
      <c r="Z62">
        <f t="shared" si="10"/>
        <v>0</v>
      </c>
      <c r="AA62">
        <f t="shared" si="11"/>
        <v>-300</v>
      </c>
      <c r="AB62">
        <f t="shared" si="12"/>
        <v>-199073.76423391909</v>
      </c>
      <c r="AC62">
        <f>0</f>
        <v>0</v>
      </c>
      <c r="AD62">
        <f t="shared" si="13"/>
        <v>-18.179099999999998</v>
      </c>
      <c r="AE62">
        <f t="shared" si="14"/>
        <v>-5518.8409016608093</v>
      </c>
      <c r="AF62">
        <f t="shared" si="15"/>
        <v>-204910.78423557992</v>
      </c>
      <c r="AG62">
        <f t="shared" si="16"/>
        <v>-480502.83932567475</v>
      </c>
      <c r="AH62">
        <f t="shared" si="17"/>
        <v>-685413.6235612547</v>
      </c>
      <c r="AI62">
        <f t="shared" si="18"/>
        <v>0.10692641718861129</v>
      </c>
      <c r="AJ62">
        <f t="shared" si="19"/>
        <v>-4904.8020951795679</v>
      </c>
      <c r="AK62">
        <f>0</f>
        <v>0</v>
      </c>
    </row>
    <row r="63" spans="1:37" x14ac:dyDescent="0.2">
      <c r="A63">
        <f t="shared" si="20"/>
        <v>99</v>
      </c>
      <c r="B63">
        <f>VLOOKUP(A63,Table21[#All],3,FALSE)</f>
        <v>0.28449299036471343</v>
      </c>
      <c r="C63">
        <f t="shared" si="0"/>
        <v>0.71550700963528657</v>
      </c>
      <c r="D63">
        <f t="shared" si="1"/>
        <v>0.8541066577466474</v>
      </c>
      <c r="E63">
        <f t="shared" si="2"/>
        <v>2325384047.8827071</v>
      </c>
      <c r="G63">
        <f t="shared" si="21"/>
        <v>99</v>
      </c>
      <c r="H63">
        <f t="shared" si="3"/>
        <v>0.28449299036471343</v>
      </c>
      <c r="I63">
        <f>0</f>
        <v>0</v>
      </c>
      <c r="J63">
        <f t="shared" si="4"/>
        <v>0.71550700963528657</v>
      </c>
      <c r="K63">
        <f t="shared" si="22"/>
        <v>4.918311729731431E-2</v>
      </c>
      <c r="M63">
        <v>39</v>
      </c>
      <c r="N63">
        <f t="shared" si="5"/>
        <v>0</v>
      </c>
      <c r="O63">
        <f t="shared" si="23"/>
        <v>300</v>
      </c>
      <c r="P63">
        <f>VLOOKUP(G63,Table1[#All],3,FALSE)</f>
        <v>750957.85439999995</v>
      </c>
      <c r="Q63">
        <f t="shared" si="6"/>
        <v>0</v>
      </c>
      <c r="R63">
        <v>0</v>
      </c>
      <c r="S63">
        <f t="shared" si="7"/>
        <v>662627.53567982442</v>
      </c>
      <c r="U63">
        <v>39</v>
      </c>
      <c r="V63">
        <f t="shared" si="8"/>
        <v>662627.53567982442</v>
      </c>
      <c r="W63">
        <f t="shared" si="9"/>
        <v>5373.1560876387493</v>
      </c>
      <c r="Y63">
        <v>39</v>
      </c>
      <c r="Z63">
        <f t="shared" si="10"/>
        <v>0</v>
      </c>
      <c r="AA63">
        <f t="shared" si="11"/>
        <v>-300</v>
      </c>
      <c r="AB63">
        <f t="shared" si="12"/>
        <v>-213642.24563612507</v>
      </c>
      <c r="AC63">
        <f>0</f>
        <v>0</v>
      </c>
      <c r="AD63">
        <f t="shared" si="13"/>
        <v>-18.179099999999998</v>
      </c>
      <c r="AE63">
        <f t="shared" si="14"/>
        <v>-5373.1560876387493</v>
      </c>
      <c r="AF63">
        <f t="shared" si="15"/>
        <v>-219333.58082376383</v>
      </c>
      <c r="AG63">
        <f t="shared" si="16"/>
        <v>-474114.64655627031</v>
      </c>
      <c r="AH63">
        <f t="shared" si="17"/>
        <v>-693448.22738003416</v>
      </c>
      <c r="AI63">
        <f t="shared" si="18"/>
        <v>0.10081719747332049</v>
      </c>
      <c r="AJ63">
        <f t="shared" si="19"/>
        <v>-3438.4658431780922</v>
      </c>
      <c r="AK63">
        <f>0</f>
        <v>0</v>
      </c>
    </row>
    <row r="64" spans="1:37" x14ac:dyDescent="0.2">
      <c r="A64">
        <f t="shared" si="20"/>
        <v>100</v>
      </c>
      <c r="B64">
        <f>VLOOKUP(A64,Table21[#All],3,FALSE)</f>
        <v>0.37081257379999999</v>
      </c>
      <c r="C64">
        <f t="shared" si="0"/>
        <v>0.62918742620000001</v>
      </c>
      <c r="D64">
        <f t="shared" si="1"/>
        <v>0.86843309730555507</v>
      </c>
      <c r="E64">
        <f t="shared" si="2"/>
        <v>2.2816355798563444E+16</v>
      </c>
      <c r="G64">
        <f t="shared" si="21"/>
        <v>100</v>
      </c>
      <c r="H64">
        <f t="shared" si="3"/>
        <v>0.37081257379999999</v>
      </c>
      <c r="I64">
        <f>0</f>
        <v>0</v>
      </c>
      <c r="J64">
        <f t="shared" si="4"/>
        <v>0.62918742620000001</v>
      </c>
      <c r="K64">
        <f t="shared" si="22"/>
        <v>3.51908651819429E-2</v>
      </c>
      <c r="M64">
        <v>40</v>
      </c>
      <c r="N64">
        <f t="shared" si="5"/>
        <v>0</v>
      </c>
      <c r="O64">
        <f t="shared" si="23"/>
        <v>300</v>
      </c>
      <c r="P64">
        <f>VLOOKUP(G64,Table1[#All],3,FALSE)</f>
        <v>750957.85439999995</v>
      </c>
      <c r="Q64">
        <f t="shared" si="6"/>
        <v>0</v>
      </c>
      <c r="R64">
        <v>0</v>
      </c>
      <c r="S64">
        <f t="shared" si="7"/>
        <v>666372.26476424292</v>
      </c>
      <c r="U64">
        <v>40</v>
      </c>
      <c r="V64">
        <f t="shared" si="8"/>
        <v>666372.26476424292</v>
      </c>
      <c r="W64">
        <f t="shared" si="9"/>
        <v>4724.9323959461035</v>
      </c>
      <c r="Y64">
        <v>40</v>
      </c>
      <c r="Z64">
        <f t="shared" si="10"/>
        <v>0</v>
      </c>
      <c r="AA64">
        <f t="shared" si="11"/>
        <v>-300</v>
      </c>
      <c r="AB64">
        <f t="shared" si="12"/>
        <v>-278464.6148053896</v>
      </c>
      <c r="AC64">
        <f>0</f>
        <v>0</v>
      </c>
      <c r="AD64">
        <f t="shared" si="13"/>
        <v>-18.179099999999998</v>
      </c>
      <c r="AE64">
        <f t="shared" si="14"/>
        <v>-4724.9323959461035</v>
      </c>
      <c r="AF64">
        <f t="shared" si="15"/>
        <v>-283507.72630133573</v>
      </c>
      <c r="AG64">
        <f t="shared" si="16"/>
        <v>-419273.05015807896</v>
      </c>
      <c r="AH64">
        <f t="shared" si="17"/>
        <v>-702780.77645941474</v>
      </c>
      <c r="AI64">
        <f t="shared" si="18"/>
        <v>9.5057026819159868E-2</v>
      </c>
      <c r="AJ64">
        <f t="shared" si="19"/>
        <v>-2350.8993946000342</v>
      </c>
      <c r="AK64">
        <f>0</f>
        <v>0</v>
      </c>
    </row>
    <row r="65" spans="1:37" x14ac:dyDescent="0.2">
      <c r="A65">
        <f t="shared" si="20"/>
        <v>101</v>
      </c>
      <c r="B65">
        <f>VLOOKUP(A65,Table21[#All],3,FALSE)</f>
        <v>0.39550465779999999</v>
      </c>
      <c r="C65">
        <f t="shared" si="0"/>
        <v>0.60449534220000001</v>
      </c>
      <c r="D65">
        <f t="shared" si="1"/>
        <v>0.87453267657652345</v>
      </c>
      <c r="E65">
        <f t="shared" si="2"/>
        <v>1.861806299064965E+23</v>
      </c>
      <c r="G65">
        <f t="shared" si="21"/>
        <v>101</v>
      </c>
      <c r="H65">
        <f t="shared" si="3"/>
        <v>0.39550465779999999</v>
      </c>
      <c r="I65">
        <f>0</f>
        <v>0</v>
      </c>
      <c r="J65">
        <f t="shared" si="4"/>
        <v>0.60449534220000001</v>
      </c>
      <c r="K65">
        <f t="shared" si="22"/>
        <v>2.2141649889577848E-2</v>
      </c>
      <c r="M65">
        <v>41</v>
      </c>
      <c r="N65">
        <f t="shared" si="5"/>
        <v>0</v>
      </c>
      <c r="O65">
        <f t="shared" si="23"/>
        <v>300</v>
      </c>
      <c r="P65">
        <f>VLOOKUP(G65,Table1[#All],3,FALSE)</f>
        <v>750957.85439999995</v>
      </c>
      <c r="Q65">
        <f t="shared" si="6"/>
        <v>0</v>
      </c>
      <c r="R65">
        <v>0</v>
      </c>
      <c r="S65">
        <f t="shared" si="7"/>
        <v>669794.09608052147</v>
      </c>
      <c r="U65">
        <v>41</v>
      </c>
      <c r="V65">
        <f t="shared" si="8"/>
        <v>669794.09608052147</v>
      </c>
      <c r="W65">
        <f t="shared" si="9"/>
        <v>4539.5052517330578</v>
      </c>
      <c r="Y65">
        <v>41</v>
      </c>
      <c r="Z65">
        <f t="shared" si="10"/>
        <v>0</v>
      </c>
      <c r="AA65">
        <f t="shared" si="11"/>
        <v>-300</v>
      </c>
      <c r="AB65">
        <f t="shared" si="12"/>
        <v>-297007.32922669419</v>
      </c>
      <c r="AC65">
        <f>0</f>
        <v>0</v>
      </c>
      <c r="AD65">
        <f t="shared" si="13"/>
        <v>-18.179099999999998</v>
      </c>
      <c r="AE65">
        <f t="shared" si="14"/>
        <v>-4539.5052517330578</v>
      </c>
      <c r="AF65">
        <f t="shared" si="15"/>
        <v>-301865.01357842726</v>
      </c>
      <c r="AG65">
        <f t="shared" si="16"/>
        <v>-404887.41131373448</v>
      </c>
      <c r="AH65">
        <f t="shared" si="17"/>
        <v>-706752.42489216174</v>
      </c>
      <c r="AI65">
        <f t="shared" si="18"/>
        <v>8.9625962377000754E-2</v>
      </c>
      <c r="AJ65">
        <f t="shared" si="19"/>
        <v>-1402.5266381851006</v>
      </c>
      <c r="AK65">
        <f>0</f>
        <v>0</v>
      </c>
    </row>
    <row r="66" spans="1:37" x14ac:dyDescent="0.2">
      <c r="A66">
        <f t="shared" si="20"/>
        <v>102</v>
      </c>
      <c r="B66">
        <f>VLOOKUP(A66,Table21[#All],3,FALSE)</f>
        <v>0.41975918010000002</v>
      </c>
      <c r="C66">
        <f t="shared" si="0"/>
        <v>0.58024081989999998</v>
      </c>
      <c r="D66">
        <f t="shared" si="1"/>
        <v>0.88010947022815789</v>
      </c>
      <c r="E66">
        <f t="shared" si="2"/>
        <v>1.7459847976830658E+30</v>
      </c>
      <c r="G66">
        <f t="shared" si="21"/>
        <v>102</v>
      </c>
      <c r="H66">
        <f t="shared" si="3"/>
        <v>0.41975918010000002</v>
      </c>
      <c r="I66">
        <f>0</f>
        <v>0</v>
      </c>
      <c r="J66">
        <f t="shared" si="4"/>
        <v>0.58024081989999998</v>
      </c>
      <c r="K66">
        <f t="shared" si="22"/>
        <v>1.3384524226872955E-2</v>
      </c>
      <c r="M66">
        <v>42</v>
      </c>
      <c r="N66">
        <f t="shared" si="5"/>
        <v>0</v>
      </c>
      <c r="O66">
        <f t="shared" si="23"/>
        <v>300</v>
      </c>
      <c r="P66">
        <f>VLOOKUP(G66,Table1[#All],3,FALSE)</f>
        <v>750957.85439999995</v>
      </c>
      <c r="Q66">
        <f t="shared" si="6"/>
        <v>0</v>
      </c>
      <c r="R66">
        <v>0</v>
      </c>
      <c r="S66">
        <f t="shared" si="7"/>
        <v>672969.91036228137</v>
      </c>
      <c r="U66">
        <v>42</v>
      </c>
      <c r="V66">
        <f t="shared" si="8"/>
        <v>672969.91036228137</v>
      </c>
      <c r="W66">
        <f t="shared" si="9"/>
        <v>4357.3640114740083</v>
      </c>
      <c r="Y66">
        <v>42</v>
      </c>
      <c r="Z66">
        <f t="shared" si="10"/>
        <v>0</v>
      </c>
      <c r="AA66">
        <f t="shared" si="11"/>
        <v>-300</v>
      </c>
      <c r="AB66">
        <f t="shared" si="12"/>
        <v>-315221.45325259917</v>
      </c>
      <c r="AC66">
        <f>0</f>
        <v>0</v>
      </c>
      <c r="AD66">
        <f t="shared" si="13"/>
        <v>-18.179099999999998</v>
      </c>
      <c r="AE66">
        <f t="shared" si="14"/>
        <v>-4357.3640114740083</v>
      </c>
      <c r="AF66">
        <f t="shared" si="15"/>
        <v>-319896.99636407319</v>
      </c>
      <c r="AG66">
        <f t="shared" si="16"/>
        <v>-390484.61255663965</v>
      </c>
      <c r="AH66">
        <f t="shared" si="17"/>
        <v>-710381.60892071284</v>
      </c>
      <c r="AI66">
        <f t="shared" si="18"/>
        <v>8.4505200728458366E-2</v>
      </c>
      <c r="AJ66">
        <f t="shared" si="19"/>
        <v>-803.48557689061579</v>
      </c>
      <c r="AK66">
        <f>0</f>
        <v>0</v>
      </c>
    </row>
    <row r="67" spans="1:37" x14ac:dyDescent="0.2">
      <c r="A67">
        <f t="shared" si="20"/>
        <v>103</v>
      </c>
      <c r="B67">
        <f>VLOOKUP(A67,Table21[#All],3,FALSE)</f>
        <v>0.44457215589999999</v>
      </c>
      <c r="C67">
        <f t="shared" si="0"/>
        <v>0.55542784410000001</v>
      </c>
      <c r="D67">
        <f t="shared" si="1"/>
        <v>0.88529153082353407</v>
      </c>
      <c r="E67">
        <f t="shared" si="2"/>
        <v>1.9509851705512884E+37</v>
      </c>
      <c r="G67">
        <f t="shared" si="21"/>
        <v>103</v>
      </c>
      <c r="H67">
        <f t="shared" si="3"/>
        <v>0.44457215589999999</v>
      </c>
      <c r="I67">
        <f>0</f>
        <v>0</v>
      </c>
      <c r="J67">
        <f t="shared" si="4"/>
        <v>0.55542784410000001</v>
      </c>
      <c r="K67">
        <f t="shared" si="22"/>
        <v>7.7662473113721767E-3</v>
      </c>
      <c r="M67">
        <v>43</v>
      </c>
      <c r="N67">
        <f t="shared" si="5"/>
        <v>0</v>
      </c>
      <c r="O67">
        <f t="shared" si="23"/>
        <v>300</v>
      </c>
      <c r="P67">
        <f>VLOOKUP(G67,Table1[#All],3,FALSE)</f>
        <v>750957.85439999995</v>
      </c>
      <c r="Q67">
        <f t="shared" si="6"/>
        <v>0</v>
      </c>
      <c r="R67">
        <v>0</v>
      </c>
      <c r="S67">
        <f t="shared" si="7"/>
        <v>675885.64665381808</v>
      </c>
      <c r="U67">
        <v>43</v>
      </c>
      <c r="V67">
        <f t="shared" si="8"/>
        <v>675885.64665381808</v>
      </c>
      <c r="W67">
        <f t="shared" si="9"/>
        <v>4171.0290207935368</v>
      </c>
      <c r="Y67">
        <v>43</v>
      </c>
      <c r="Z67">
        <f t="shared" si="10"/>
        <v>0</v>
      </c>
      <c r="AA67">
        <f t="shared" si="11"/>
        <v>-300</v>
      </c>
      <c r="AB67">
        <f t="shared" si="12"/>
        <v>-333854.95232064626</v>
      </c>
      <c r="AC67">
        <f>0</f>
        <v>0</v>
      </c>
      <c r="AD67">
        <f t="shared" si="13"/>
        <v>-18.179099999999998</v>
      </c>
      <c r="AE67">
        <f t="shared" si="14"/>
        <v>-4171.0290207935368</v>
      </c>
      <c r="AF67">
        <f t="shared" si="15"/>
        <v>-338344.16044143983</v>
      </c>
      <c r="AG67">
        <f t="shared" si="16"/>
        <v>-375405.70757906459</v>
      </c>
      <c r="AH67">
        <f t="shared" si="17"/>
        <v>-713749.86802050448</v>
      </c>
      <c r="AI67">
        <f t="shared" si="18"/>
        <v>7.9677012784741388E-2</v>
      </c>
      <c r="AJ67">
        <f t="shared" si="19"/>
        <v>-441.66227031645792</v>
      </c>
      <c r="AK67">
        <f>0</f>
        <v>0</v>
      </c>
    </row>
    <row r="68" spans="1:37" x14ac:dyDescent="0.2">
      <c r="A68">
        <f t="shared" si="20"/>
        <v>104</v>
      </c>
      <c r="B68">
        <f>VLOOKUP(A68,Table21[#All],3,FALSE)</f>
        <v>0.46980783050000002</v>
      </c>
      <c r="C68">
        <f t="shared" si="0"/>
        <v>0.53019216950000003</v>
      </c>
      <c r="D68">
        <f t="shared" si="1"/>
        <v>0.89006230254427332</v>
      </c>
      <c r="E68">
        <f t="shared" si="2"/>
        <v>2.5948250675744916E+44</v>
      </c>
      <c r="G68">
        <f t="shared" si="21"/>
        <v>104</v>
      </c>
      <c r="H68">
        <f t="shared" si="3"/>
        <v>0.46980783050000002</v>
      </c>
      <c r="I68">
        <f>0</f>
        <v>0</v>
      </c>
      <c r="J68">
        <f t="shared" si="4"/>
        <v>0.53019216950000003</v>
      </c>
      <c r="K68">
        <f t="shared" si="22"/>
        <v>4.3135900009028698E-3</v>
      </c>
      <c r="M68">
        <v>44</v>
      </c>
      <c r="N68">
        <f t="shared" si="5"/>
        <v>0</v>
      </c>
      <c r="O68">
        <f t="shared" si="23"/>
        <v>300</v>
      </c>
      <c r="P68">
        <f>VLOOKUP(G68,Table1[#All],3,FALSE)</f>
        <v>750957.85439999995</v>
      </c>
      <c r="Q68">
        <f t="shared" si="6"/>
        <v>0</v>
      </c>
      <c r="R68">
        <v>0</v>
      </c>
      <c r="S68">
        <f t="shared" si="7"/>
        <v>678502.49525653652</v>
      </c>
      <c r="U68">
        <v>44</v>
      </c>
      <c r="V68">
        <f t="shared" si="8"/>
        <v>678502.49525653652</v>
      </c>
      <c r="W68">
        <f t="shared" si="9"/>
        <v>3981.5197402740114</v>
      </c>
      <c r="Y68">
        <v>44</v>
      </c>
      <c r="Z68">
        <f t="shared" si="10"/>
        <v>0</v>
      </c>
      <c r="AA68">
        <f t="shared" si="11"/>
        <v>-300</v>
      </c>
      <c r="AB68">
        <f t="shared" si="12"/>
        <v>-352805.88037259888</v>
      </c>
      <c r="AC68">
        <f>0</f>
        <v>0</v>
      </c>
      <c r="AD68">
        <f t="shared" si="13"/>
        <v>-18.179099999999998</v>
      </c>
      <c r="AE68">
        <f t="shared" si="14"/>
        <v>-3981.5197402740114</v>
      </c>
      <c r="AF68">
        <f t="shared" si="15"/>
        <v>-357105.57921287289</v>
      </c>
      <c r="AG68">
        <f t="shared" si="16"/>
        <v>-359736.70997122658</v>
      </c>
      <c r="AH68">
        <f t="shared" si="17"/>
        <v>-716842.28918409953</v>
      </c>
      <c r="AI68">
        <f t="shared" si="18"/>
        <v>7.5124682405043011E-2</v>
      </c>
      <c r="AJ68">
        <f t="shared" si="19"/>
        <v>-232.29781822441316</v>
      </c>
      <c r="AK68">
        <f>0</f>
        <v>0</v>
      </c>
    </row>
    <row r="69" spans="1:37" x14ac:dyDescent="0.2">
      <c r="A69">
        <f t="shared" si="20"/>
        <v>105</v>
      </c>
      <c r="B69">
        <f>VLOOKUP(A69,Table21[#All],3,FALSE)</f>
        <v>0.4953086874</v>
      </c>
      <c r="C69">
        <f t="shared" si="0"/>
        <v>0.5046913126</v>
      </c>
      <c r="D69">
        <f t="shared" si="1"/>
        <v>0.89437303051596384</v>
      </c>
      <c r="E69">
        <f t="shared" si="2"/>
        <v>4.0768838062432006E+51</v>
      </c>
      <c r="G69">
        <f t="shared" si="21"/>
        <v>105</v>
      </c>
      <c r="H69">
        <f t="shared" si="3"/>
        <v>0.4953086874</v>
      </c>
      <c r="I69">
        <f>0</f>
        <v>0</v>
      </c>
      <c r="J69">
        <f t="shared" si="4"/>
        <v>0.5046913126</v>
      </c>
      <c r="K69">
        <f t="shared" si="22"/>
        <v>2.2870316409121997E-3</v>
      </c>
      <c r="M69">
        <v>45</v>
      </c>
      <c r="N69">
        <f t="shared" si="5"/>
        <v>0</v>
      </c>
      <c r="O69">
        <f t="shared" si="23"/>
        <v>300</v>
      </c>
      <c r="P69">
        <f>VLOOKUP(G69,Table1[#All],3,FALSE)</f>
        <v>750957.85439999995</v>
      </c>
      <c r="Q69">
        <f t="shared" si="6"/>
        <v>0</v>
      </c>
      <c r="R69">
        <v>0</v>
      </c>
      <c r="S69">
        <f t="shared" si="7"/>
        <v>680720.18494571641</v>
      </c>
      <c r="U69">
        <v>45</v>
      </c>
      <c r="V69">
        <f t="shared" si="8"/>
        <v>680720.18494571641</v>
      </c>
      <c r="W69">
        <f t="shared" si="9"/>
        <v>3790.0190524441568</v>
      </c>
      <c r="Y69">
        <v>45</v>
      </c>
      <c r="Z69">
        <f t="shared" si="10"/>
        <v>0</v>
      </c>
      <c r="AA69">
        <f t="shared" si="11"/>
        <v>-300</v>
      </c>
      <c r="AB69">
        <f t="shared" si="12"/>
        <v>-371955.94915558427</v>
      </c>
      <c r="AC69">
        <f>0</f>
        <v>0</v>
      </c>
      <c r="AD69">
        <f t="shared" si="13"/>
        <v>-18.179099999999998</v>
      </c>
      <c r="AE69">
        <f t="shared" si="14"/>
        <v>-3790.0190524441568</v>
      </c>
      <c r="AF69">
        <f t="shared" si="15"/>
        <v>-376064.14730802842</v>
      </c>
      <c r="AG69">
        <f t="shared" si="16"/>
        <v>-343553.56365356839</v>
      </c>
      <c r="AH69">
        <f t="shared" si="17"/>
        <v>-719617.71096159681</v>
      </c>
      <c r="AI69">
        <f t="shared" si="18"/>
        <v>7.0832448521957928E-2</v>
      </c>
      <c r="AJ69">
        <f t="shared" si="19"/>
        <v>-116.57522738601011</v>
      </c>
      <c r="AK69">
        <f>0</f>
        <v>0</v>
      </c>
    </row>
    <row r="70" spans="1:37" x14ac:dyDescent="0.2">
      <c r="A70">
        <f t="shared" si="20"/>
        <v>106</v>
      </c>
      <c r="B70">
        <f>VLOOKUP(A70,Table21[#All],3,FALSE)</f>
        <v>0.52091674939999999</v>
      </c>
      <c r="C70">
        <f t="shared" si="0"/>
        <v>0.47908325060000001</v>
      </c>
      <c r="D70">
        <f t="shared" si="1"/>
        <v>0.89809484397718897</v>
      </c>
      <c r="E70">
        <f t="shared" si="2"/>
        <v>7.5076665208930302E+58</v>
      </c>
      <c r="G70">
        <f t="shared" si="21"/>
        <v>106</v>
      </c>
      <c r="H70">
        <f t="shared" si="3"/>
        <v>0.52091674939999999</v>
      </c>
      <c r="I70">
        <f>0</f>
        <v>0</v>
      </c>
      <c r="J70">
        <f t="shared" si="4"/>
        <v>0.47908325060000001</v>
      </c>
      <c r="K70">
        <f t="shared" si="22"/>
        <v>1.1542450008097099E-3</v>
      </c>
      <c r="M70">
        <v>46</v>
      </c>
      <c r="N70">
        <f t="shared" si="5"/>
        <v>0</v>
      </c>
      <c r="O70">
        <f t="shared" si="23"/>
        <v>300</v>
      </c>
      <c r="P70">
        <f>VLOOKUP(G70,Table1[#All],3,FALSE)</f>
        <v>750957.85439999995</v>
      </c>
      <c r="Q70">
        <f t="shared" si="6"/>
        <v>0</v>
      </c>
      <c r="R70">
        <v>0</v>
      </c>
      <c r="S70">
        <f t="shared" si="7"/>
        <v>682276.76240729331</v>
      </c>
      <c r="U70">
        <v>46</v>
      </c>
      <c r="V70">
        <f t="shared" si="8"/>
        <v>682276.76240729331</v>
      </c>
      <c r="W70">
        <f t="shared" si="9"/>
        <v>3597.713299495535</v>
      </c>
      <c r="Y70">
        <v>46</v>
      </c>
      <c r="Z70">
        <f t="shared" si="10"/>
        <v>0</v>
      </c>
      <c r="AA70">
        <f t="shared" si="11"/>
        <v>-300</v>
      </c>
      <c r="AB70">
        <f t="shared" si="12"/>
        <v>-391186.52445044648</v>
      </c>
      <c r="AC70">
        <f>0</f>
        <v>0</v>
      </c>
      <c r="AD70">
        <f t="shared" si="13"/>
        <v>-18.179099999999998</v>
      </c>
      <c r="AE70">
        <f t="shared" si="14"/>
        <v>-3597.713299495535</v>
      </c>
      <c r="AF70">
        <f t="shared" si="15"/>
        <v>-395102.416849942</v>
      </c>
      <c r="AG70">
        <f t="shared" si="16"/>
        <v>-326867.36914292997</v>
      </c>
      <c r="AH70">
        <f t="shared" si="17"/>
        <v>-721969.78599287197</v>
      </c>
      <c r="AI70">
        <f t="shared" si="18"/>
        <v>6.6785450573552382E-2</v>
      </c>
      <c r="AJ70">
        <f t="shared" si="19"/>
        <v>-55.654320609580076</v>
      </c>
      <c r="AK70">
        <f>0</f>
        <v>0</v>
      </c>
    </row>
    <row r="71" spans="1:37" x14ac:dyDescent="0.2">
      <c r="A71">
        <f t="shared" si="20"/>
        <v>107</v>
      </c>
      <c r="B71">
        <f>VLOOKUP(A71,Table21[#All],3,FALSE)</f>
        <v>0.54665956250000003</v>
      </c>
      <c r="C71">
        <f t="shared" si="0"/>
        <v>0.45334043749999997</v>
      </c>
      <c r="D71">
        <f t="shared" si="1"/>
        <v>0.9008871574974544</v>
      </c>
      <c r="E71">
        <f t="shared" si="2"/>
        <v>1.6094400864603671E+66</v>
      </c>
      <c r="G71">
        <f t="shared" si="21"/>
        <v>107</v>
      </c>
      <c r="H71">
        <f t="shared" si="3"/>
        <v>0.54665956250000003</v>
      </c>
      <c r="I71">
        <f>0</f>
        <v>0</v>
      </c>
      <c r="J71">
        <f t="shared" si="4"/>
        <v>0.45334043749999997</v>
      </c>
      <c r="K71">
        <f t="shared" si="22"/>
        <v>5.529794469767154E-4</v>
      </c>
      <c r="M71">
        <v>47</v>
      </c>
      <c r="N71">
        <f t="shared" si="5"/>
        <v>0</v>
      </c>
      <c r="O71">
        <f t="shared" si="23"/>
        <v>300</v>
      </c>
      <c r="P71">
        <f>VLOOKUP(G71,Table1[#All],3,FALSE)</f>
        <v>750957.85439999995</v>
      </c>
      <c r="Q71">
        <f t="shared" si="6"/>
        <v>0</v>
      </c>
      <c r="R71">
        <v>0</v>
      </c>
      <c r="S71">
        <f t="shared" si="7"/>
        <v>682444.79186586512</v>
      </c>
      <c r="U71">
        <v>47</v>
      </c>
      <c r="V71">
        <f t="shared" si="8"/>
        <v>682444.79186586512</v>
      </c>
      <c r="W71">
        <f t="shared" si="9"/>
        <v>3404.3956225775728</v>
      </c>
      <c r="Y71">
        <v>47</v>
      </c>
      <c r="Z71">
        <f t="shared" si="10"/>
        <v>0</v>
      </c>
      <c r="AA71">
        <f t="shared" si="11"/>
        <v>-300</v>
      </c>
      <c r="AB71">
        <f t="shared" si="12"/>
        <v>-410518.29214224272</v>
      </c>
      <c r="AC71">
        <f>0</f>
        <v>0</v>
      </c>
      <c r="AD71">
        <f t="shared" si="13"/>
        <v>-18.179099999999998</v>
      </c>
      <c r="AE71">
        <f t="shared" si="14"/>
        <v>-3404.3956225775728</v>
      </c>
      <c r="AF71">
        <f t="shared" si="15"/>
        <v>-414240.8668648203</v>
      </c>
      <c r="AG71">
        <f t="shared" si="16"/>
        <v>-309379.82051406772</v>
      </c>
      <c r="AH71">
        <f t="shared" si="17"/>
        <v>-723620.68737888802</v>
      </c>
      <c r="AI71">
        <f t="shared" si="18"/>
        <v>6.2969677053161921E-2</v>
      </c>
      <c r="AJ71">
        <f t="shared" si="19"/>
        <v>-25.197150506891415</v>
      </c>
      <c r="AK71">
        <f>0</f>
        <v>0</v>
      </c>
    </row>
    <row r="72" spans="1:37" x14ac:dyDescent="0.2">
      <c r="A72">
        <f t="shared" si="20"/>
        <v>108</v>
      </c>
      <c r="B72">
        <f>VLOOKUP(A72,Table21[#All],3,FALSE)</f>
        <v>0.572584859</v>
      </c>
      <c r="C72">
        <f t="shared" si="0"/>
        <v>0.427415141</v>
      </c>
      <c r="D72">
        <f t="shared" si="1"/>
        <v>0.90179172265065721</v>
      </c>
      <c r="E72">
        <f t="shared" si="2"/>
        <v>3.9955408659096722E+73</v>
      </c>
      <c r="G72">
        <f t="shared" si="21"/>
        <v>108</v>
      </c>
      <c r="H72">
        <f t="shared" si="3"/>
        <v>0.572584859</v>
      </c>
      <c r="I72">
        <f>0</f>
        <v>0</v>
      </c>
      <c r="J72">
        <f t="shared" si="4"/>
        <v>0.427415141</v>
      </c>
      <c r="K72">
        <f t="shared" si="22"/>
        <v>2.5068794442093217E-4</v>
      </c>
      <c r="M72">
        <v>48</v>
      </c>
      <c r="N72">
        <f t="shared" si="5"/>
        <v>0</v>
      </c>
      <c r="O72">
        <f t="shared" si="23"/>
        <v>300</v>
      </c>
      <c r="P72">
        <f>VLOOKUP(G72,Table1[#All],3,FALSE)</f>
        <v>750957.85439999995</v>
      </c>
      <c r="Q72">
        <f t="shared" si="6"/>
        <v>0</v>
      </c>
      <c r="R72">
        <v>0</v>
      </c>
      <c r="S72">
        <f t="shared" si="7"/>
        <v>679161.51587563916</v>
      </c>
      <c r="U72">
        <v>48</v>
      </c>
      <c r="V72">
        <f t="shared" si="8"/>
        <v>679161.51587563916</v>
      </c>
      <c r="W72">
        <f t="shared" si="9"/>
        <v>3209.7075722343347</v>
      </c>
      <c r="Y72">
        <v>48</v>
      </c>
      <c r="Z72">
        <f t="shared" si="10"/>
        <v>0</v>
      </c>
      <c r="AA72">
        <f t="shared" si="11"/>
        <v>-300</v>
      </c>
      <c r="AB72">
        <f t="shared" si="12"/>
        <v>-429987.09717656649</v>
      </c>
      <c r="AC72">
        <f>0</f>
        <v>0</v>
      </c>
      <c r="AD72">
        <f t="shared" si="13"/>
        <v>-18.179099999999998</v>
      </c>
      <c r="AE72">
        <f t="shared" si="14"/>
        <v>-3209.7075722343347</v>
      </c>
      <c r="AF72">
        <f t="shared" si="15"/>
        <v>-433514.98384880082</v>
      </c>
      <c r="AG72">
        <f t="shared" si="16"/>
        <v>-290283.91506976006</v>
      </c>
      <c r="AH72">
        <f t="shared" si="17"/>
        <v>-723798.89891856094</v>
      </c>
      <c r="AI72">
        <f t="shared" si="18"/>
        <v>5.9371916998786467E-2</v>
      </c>
      <c r="AJ72">
        <f t="shared" si="19"/>
        <v>-10.772895298951418</v>
      </c>
      <c r="AK72">
        <f>0</f>
        <v>0</v>
      </c>
    </row>
    <row r="73" spans="1:37" x14ac:dyDescent="0.2">
      <c r="A73">
        <f t="shared" si="20"/>
        <v>109</v>
      </c>
      <c r="B73">
        <f>VLOOKUP(A73,Table21[#All],3,FALSE)</f>
        <v>0.59854595840000002</v>
      </c>
      <c r="C73">
        <f t="shared" si="0"/>
        <v>0.40145404159999998</v>
      </c>
      <c r="D73">
        <f t="shared" si="1"/>
        <v>0.89807940769257644</v>
      </c>
      <c r="E73">
        <f t="shared" si="2"/>
        <v>1.1446000157165859E+81</v>
      </c>
      <c r="G73">
        <f t="shared" si="21"/>
        <v>109</v>
      </c>
      <c r="H73">
        <f t="shared" si="3"/>
        <v>0.59854595840000002</v>
      </c>
      <c r="I73">
        <f>0</f>
        <v>0</v>
      </c>
      <c r="J73">
        <f t="shared" si="4"/>
        <v>0.40145404159999998</v>
      </c>
      <c r="K73">
        <f t="shared" si="22"/>
        <v>1.0714782311167289E-4</v>
      </c>
      <c r="M73">
        <v>49</v>
      </c>
      <c r="N73">
        <f t="shared" si="5"/>
        <v>0</v>
      </c>
      <c r="O73">
        <f t="shared" si="23"/>
        <v>300</v>
      </c>
      <c r="P73">
        <f>VLOOKUP(G73,Table1[#All],3,FALSE)</f>
        <v>750957.85439999995</v>
      </c>
      <c r="Q73">
        <f t="shared" si="6"/>
        <v>0</v>
      </c>
      <c r="R73">
        <v>0</v>
      </c>
      <c r="S73">
        <f t="shared" si="7"/>
        <v>666330.19000125106</v>
      </c>
      <c r="U73">
        <v>49</v>
      </c>
      <c r="V73">
        <f t="shared" si="8"/>
        <v>666330.19000125106</v>
      </c>
      <c r="W73">
        <f t="shared" si="9"/>
        <v>3014.7506572014431</v>
      </c>
      <c r="Y73">
        <v>49</v>
      </c>
      <c r="Z73">
        <f t="shared" si="10"/>
        <v>0</v>
      </c>
      <c r="AA73">
        <f t="shared" si="11"/>
        <v>-300</v>
      </c>
      <c r="AB73">
        <f t="shared" si="12"/>
        <v>-449482.78867985564</v>
      </c>
      <c r="AC73">
        <f>0</f>
        <v>0</v>
      </c>
      <c r="AD73">
        <f t="shared" si="13"/>
        <v>-18.179099999999998</v>
      </c>
      <c r="AE73">
        <f t="shared" si="14"/>
        <v>-3014.7506572014431</v>
      </c>
      <c r="AF73">
        <f t="shared" si="15"/>
        <v>-452815.7184370571</v>
      </c>
      <c r="AG73">
        <f t="shared" si="16"/>
        <v>-267500.94781609811</v>
      </c>
      <c r="AH73">
        <f t="shared" si="17"/>
        <v>-720316.66625315521</v>
      </c>
      <c r="AI73">
        <f t="shared" si="18"/>
        <v>5.5979714254129009E-2</v>
      </c>
      <c r="AJ73">
        <f t="shared" si="19"/>
        <v>-4.3205346522198713</v>
      </c>
      <c r="AK73">
        <f>0</f>
        <v>0</v>
      </c>
    </row>
    <row r="74" spans="1:37" x14ac:dyDescent="0.2">
      <c r="A74">
        <f t="shared" si="20"/>
        <v>110</v>
      </c>
      <c r="B74">
        <f>VLOOKUP(A74,Table21[#All],3,FALSE)</f>
        <v>0.62439198890000003</v>
      </c>
      <c r="C74">
        <f t="shared" si="0"/>
        <v>0.37560801109999997</v>
      </c>
      <c r="D74">
        <f t="shared" si="1"/>
        <v>0.88168091607655508</v>
      </c>
      <c r="E74">
        <f t="shared" si="2"/>
        <v>3.774235671038995E+88</v>
      </c>
      <c r="G74">
        <f t="shared" si="21"/>
        <v>110</v>
      </c>
      <c r="H74">
        <f t="shared" si="3"/>
        <v>0.62439198890000003</v>
      </c>
      <c r="I74">
        <f>0</f>
        <v>0</v>
      </c>
      <c r="J74">
        <f t="shared" si="4"/>
        <v>0.37560801109999997</v>
      </c>
      <c r="K74">
        <f t="shared" si="22"/>
        <v>4.301492663682297E-5</v>
      </c>
      <c r="M74">
        <v>50</v>
      </c>
      <c r="N74">
        <f t="shared" si="5"/>
        <v>0</v>
      </c>
      <c r="O74">
        <f t="shared" si="23"/>
        <v>300</v>
      </c>
      <c r="P74">
        <f>VLOOKUP(G74,Table1[#All],3,FALSE)</f>
        <v>750957.85439999995</v>
      </c>
      <c r="Q74">
        <f t="shared" si="6"/>
        <v>0</v>
      </c>
      <c r="R74">
        <v>0</v>
      </c>
      <c r="S74">
        <f t="shared" si="7"/>
        <v>624792.03941226378</v>
      </c>
      <c r="U74">
        <v>50</v>
      </c>
      <c r="V74">
        <f t="shared" si="8"/>
        <v>624792.03941226378</v>
      </c>
      <c r="W74">
        <f t="shared" si="9"/>
        <v>2820.6578611110735</v>
      </c>
      <c r="Y74">
        <v>50</v>
      </c>
      <c r="Z74">
        <f t="shared" si="10"/>
        <v>0</v>
      </c>
      <c r="AA74">
        <f t="shared" si="11"/>
        <v>-300</v>
      </c>
      <c r="AB74">
        <f t="shared" si="12"/>
        <v>-468892.06828889262</v>
      </c>
      <c r="AC74">
        <f>0</f>
        <v>0</v>
      </c>
      <c r="AD74">
        <f t="shared" si="13"/>
        <v>-18.179099999999998</v>
      </c>
      <c r="AE74">
        <f t="shared" si="14"/>
        <v>-2820.6578611110735</v>
      </c>
      <c r="AF74">
        <f t="shared" si="15"/>
        <v>-472030.90525000368</v>
      </c>
      <c r="AG74">
        <f t="shared" si="16"/>
        <v>-234676.89527475319</v>
      </c>
      <c r="AH74">
        <f t="shared" si="17"/>
        <v>-706707.80052475689</v>
      </c>
      <c r="AI74">
        <f t="shared" si="18"/>
        <v>5.2781324342921029E-2</v>
      </c>
      <c r="AJ74">
        <f t="shared" si="19"/>
        <v>-1.6044986443988851</v>
      </c>
      <c r="AK74">
        <f>0</f>
        <v>0</v>
      </c>
    </row>
    <row r="75" spans="1:37" x14ac:dyDescent="0.2">
      <c r="A75">
        <f t="shared" si="20"/>
        <v>111</v>
      </c>
      <c r="B75">
        <f>VLOOKUP(A75,Table21[#All],3,FALSE)</f>
        <v>0.65439899729999995</v>
      </c>
      <c r="C75">
        <f t="shared" si="0"/>
        <v>0.34560100270000005</v>
      </c>
      <c r="D75">
        <f t="shared" si="1"/>
        <v>0.82723514000164022</v>
      </c>
      <c r="E75">
        <f t="shared" si="2"/>
        <v>1.4302826544815306E+96</v>
      </c>
      <c r="G75">
        <f t="shared" si="21"/>
        <v>111</v>
      </c>
      <c r="H75">
        <f t="shared" si="3"/>
        <v>0.65439899729999995</v>
      </c>
      <c r="I75">
        <f>0</f>
        <v>0</v>
      </c>
      <c r="J75">
        <f t="shared" si="4"/>
        <v>0.34560100270000005</v>
      </c>
      <c r="K75">
        <f t="shared" si="22"/>
        <v>1.6156751041669488E-5</v>
      </c>
      <c r="M75">
        <v>51</v>
      </c>
      <c r="N75">
        <f t="shared" si="5"/>
        <v>0</v>
      </c>
      <c r="O75">
        <f t="shared" si="23"/>
        <v>300</v>
      </c>
      <c r="P75">
        <f>VLOOKUP(G75,Table1[#All],3,FALSE)</f>
        <v>750957.85439999995</v>
      </c>
      <c r="Q75">
        <f t="shared" si="6"/>
        <v>0</v>
      </c>
      <c r="R75">
        <v>0</v>
      </c>
      <c r="S75">
        <f t="shared" si="7"/>
        <v>487015.36569919396</v>
      </c>
      <c r="U75">
        <v>51</v>
      </c>
      <c r="V75">
        <f t="shared" si="8"/>
        <v>487015.36569919396</v>
      </c>
      <c r="W75">
        <f t="shared" si="9"/>
        <v>2595.3178746608064</v>
      </c>
      <c r="Y75">
        <v>51</v>
      </c>
      <c r="Z75">
        <f t="shared" si="10"/>
        <v>0</v>
      </c>
      <c r="AA75">
        <f t="shared" si="11"/>
        <v>-300</v>
      </c>
      <c r="AB75">
        <f t="shared" si="12"/>
        <v>-491426.06693391933</v>
      </c>
      <c r="AC75">
        <f>0</f>
        <v>0</v>
      </c>
      <c r="AD75">
        <f t="shared" si="13"/>
        <v>-18.179099999999998</v>
      </c>
      <c r="AE75">
        <f t="shared" si="14"/>
        <v>-2595.3178746608064</v>
      </c>
      <c r="AF75">
        <f t="shared" si="15"/>
        <v>-494339.56390858017</v>
      </c>
      <c r="AG75">
        <f t="shared" si="16"/>
        <v>-168312.99871594863</v>
      </c>
      <c r="AH75">
        <f t="shared" si="17"/>
        <v>-662652.56262452877</v>
      </c>
      <c r="AI75">
        <f t="shared" si="18"/>
        <v>4.9765673807224638E-2</v>
      </c>
      <c r="AJ75">
        <f t="shared" si="19"/>
        <v>-0.53280685462999933</v>
      </c>
      <c r="AK75">
        <f>0</f>
        <v>0</v>
      </c>
    </row>
    <row r="76" spans="1:37" x14ac:dyDescent="0.2">
      <c r="A76">
        <f t="shared" si="20"/>
        <v>112</v>
      </c>
      <c r="B76">
        <f>VLOOKUP(A76,Table21[#All],3,FALSE)</f>
        <v>0.6842429994</v>
      </c>
      <c r="C76">
        <f t="shared" si="0"/>
        <v>0.3157570006</v>
      </c>
      <c r="D76">
        <f t="shared" si="1"/>
        <v>0.64514891084926695</v>
      </c>
      <c r="E76">
        <f t="shared" si="2"/>
        <v>6.3040473088625095E+103</v>
      </c>
      <c r="G76">
        <f t="shared" si="21"/>
        <v>112</v>
      </c>
      <c r="H76">
        <f t="shared" si="3"/>
        <v>0.6842429994</v>
      </c>
      <c r="I76">
        <f>0</f>
        <v>0</v>
      </c>
      <c r="J76">
        <f t="shared" si="4"/>
        <v>0.3157570006</v>
      </c>
      <c r="K76">
        <f t="shared" si="22"/>
        <v>5.5837893603752451E-6</v>
      </c>
      <c r="M76">
        <v>52</v>
      </c>
      <c r="N76">
        <f t="shared" si="5"/>
        <v>0</v>
      </c>
      <c r="O76">
        <f t="shared" si="23"/>
        <v>300</v>
      </c>
      <c r="P76">
        <f>VLOOKUP(G76,Table1[#All],3,FALSE)</f>
        <v>750957.85439999995</v>
      </c>
      <c r="Q76">
        <f t="shared" si="6"/>
        <v>0</v>
      </c>
      <c r="R76">
        <v>0</v>
      </c>
      <c r="S76">
        <f t="shared" si="7"/>
        <v>0</v>
      </c>
      <c r="U76">
        <v>52</v>
      </c>
      <c r="V76">
        <f t="shared" si="8"/>
        <v>0</v>
      </c>
      <c r="W76">
        <f t="shared" si="9"/>
        <v>2371.201996823555</v>
      </c>
      <c r="Y76">
        <v>52</v>
      </c>
      <c r="Z76">
        <f t="shared" si="10"/>
        <v>0</v>
      </c>
      <c r="AA76">
        <f t="shared" si="11"/>
        <v>-300</v>
      </c>
      <c r="AB76">
        <f t="shared" si="12"/>
        <v>-513837.65471764444</v>
      </c>
      <c r="AC76">
        <f>0</f>
        <v>0</v>
      </c>
      <c r="AD76">
        <f t="shared" si="13"/>
        <v>-18.179099999999998</v>
      </c>
      <c r="AE76">
        <f t="shared" si="14"/>
        <v>-2371.201996823555</v>
      </c>
      <c r="AF76">
        <f t="shared" si="15"/>
        <v>-516527.03581446799</v>
      </c>
      <c r="AG76">
        <f t="shared" si="16"/>
        <v>0</v>
      </c>
      <c r="AH76">
        <f t="shared" si="17"/>
        <v>-516527.03581446799</v>
      </c>
      <c r="AI76">
        <f t="shared" si="18"/>
        <v>4.6922321868932915E-2</v>
      </c>
      <c r="AJ76">
        <f t="shared" si="19"/>
        <v>-0.13533233627589714</v>
      </c>
      <c r="AK76">
        <f>0</f>
        <v>0</v>
      </c>
    </row>
    <row r="79" spans="1:37" ht="19" x14ac:dyDescent="0.25">
      <c r="A79" s="61" t="s">
        <v>129</v>
      </c>
      <c r="B79" s="61"/>
      <c r="C79" s="61"/>
    </row>
    <row r="80" spans="1:37" ht="19" x14ac:dyDescent="0.25">
      <c r="A80" s="43">
        <f>B20</f>
        <v>322889.14420806617</v>
      </c>
      <c r="B80" s="1">
        <v>0.01</v>
      </c>
      <c r="C80" s="1">
        <v>0.02</v>
      </c>
      <c r="D80" s="1">
        <v>0.03</v>
      </c>
      <c r="E80" s="1">
        <v>0.04</v>
      </c>
      <c r="F80" s="1">
        <v>0.05</v>
      </c>
      <c r="G80" s="1">
        <v>0.06</v>
      </c>
      <c r="H80" s="1">
        <v>7.0000000000000007E-2</v>
      </c>
      <c r="I80" s="1">
        <v>0.08</v>
      </c>
      <c r="J80" s="1">
        <v>0.09</v>
      </c>
      <c r="K80" s="1">
        <v>0.1</v>
      </c>
      <c r="L80" s="1">
        <v>0.11</v>
      </c>
      <c r="M80" s="1">
        <v>0.12</v>
      </c>
      <c r="N80" s="1">
        <v>0.13</v>
      </c>
      <c r="O80" s="1">
        <v>0.14000000000000001</v>
      </c>
      <c r="P80" s="1">
        <v>0.15</v>
      </c>
    </row>
    <row r="81" spans="1:16" x14ac:dyDescent="0.2">
      <c r="A81" s="1">
        <v>100</v>
      </c>
      <c r="B81">
        <f t="dataTable" ref="B81:P95" dt2D="1" dtr="1" r1="B4" r2="B11"/>
        <v>242262.87773508811</v>
      </c>
      <c r="C81">
        <v>-41099.417179436889</v>
      </c>
      <c r="D81">
        <v>-250584.03338522231</v>
      </c>
      <c r="E81">
        <v>-409219.61503614113</v>
      </c>
      <c r="F81">
        <v>-532272.07867488218</v>
      </c>
      <c r="G81">
        <v>-629998.55250964174</v>
      </c>
      <c r="H81">
        <v>-709386.54637964745</v>
      </c>
      <c r="I81">
        <v>-775263.70473217708</v>
      </c>
      <c r="J81">
        <v>-831013.45382612874</v>
      </c>
      <c r="K81">
        <v>-879041.50088064792</v>
      </c>
      <c r="L81">
        <v>-921083.28021459677</v>
      </c>
      <c r="M81">
        <v>-958408.84936534194</v>
      </c>
      <c r="N81">
        <v>-991960.99582883436</v>
      </c>
      <c r="O81">
        <v>-1022449.397580923</v>
      </c>
      <c r="P81">
        <v>-1050415.5665216823</v>
      </c>
    </row>
    <row r="82" spans="1:16" x14ac:dyDescent="0.2">
      <c r="A82" s="1">
        <v>200</v>
      </c>
      <c r="B82">
        <v>1518955.5627736175</v>
      </c>
      <c r="C82">
        <v>968632.25424916856</v>
      </c>
      <c r="D82">
        <v>565745.83166055614</v>
      </c>
      <c r="E82">
        <v>264248.1933773905</v>
      </c>
      <c r="F82">
        <v>33616.343022984453</v>
      </c>
      <c r="G82">
        <v>-146655.47257106379</v>
      </c>
      <c r="H82">
        <v>-290534.0877136495</v>
      </c>
      <c r="I82">
        <v>-407666.90909160627</v>
      </c>
      <c r="J82">
        <v>-504813.1962703364</v>
      </c>
      <c r="K82">
        <v>-586777.04684309335</v>
      </c>
      <c r="L82">
        <v>-657022.27627266129</v>
      </c>
      <c r="M82">
        <v>-718082.19835793646</v>
      </c>
      <c r="N82">
        <v>-771835.82756810705</v>
      </c>
      <c r="O82">
        <v>-819696.18952593999</v>
      </c>
      <c r="P82">
        <v>-862740.19788800576</v>
      </c>
    </row>
    <row r="83" spans="1:16" x14ac:dyDescent="0.2">
      <c r="A83" s="1">
        <v>300</v>
      </c>
      <c r="B83">
        <v>2795648.2478121449</v>
      </c>
      <c r="C83">
        <v>1978363.9256777749</v>
      </c>
      <c r="D83">
        <v>1382075.6967063337</v>
      </c>
      <c r="E83">
        <v>937716.001790924</v>
      </c>
      <c r="F83">
        <v>599504.76472084876</v>
      </c>
      <c r="G83">
        <v>336687.6073675137</v>
      </c>
      <c r="H83">
        <v>128318.37095234683</v>
      </c>
      <c r="I83">
        <v>-40070.113451036625</v>
      </c>
      <c r="J83">
        <v>-178612.93871454149</v>
      </c>
      <c r="K83">
        <v>-294512.59280553786</v>
      </c>
      <c r="L83">
        <v>-392961.27233072603</v>
      </c>
      <c r="M83">
        <v>-477755.54735053144</v>
      </c>
      <c r="N83">
        <v>-551710.65930737974</v>
      </c>
      <c r="O83">
        <v>-616942.98147095717</v>
      </c>
      <c r="P83">
        <v>-675064.82925433153</v>
      </c>
    </row>
    <row r="84" spans="1:16" x14ac:dyDescent="0.2">
      <c r="A84" s="1">
        <v>400</v>
      </c>
      <c r="B84">
        <v>4072340.9328506761</v>
      </c>
      <c r="C84">
        <v>2988095.5971063818</v>
      </c>
      <c r="D84">
        <v>2198405.561752113</v>
      </c>
      <c r="E84">
        <v>1611183.810204457</v>
      </c>
      <c r="F84">
        <v>1165393.1864187145</v>
      </c>
      <c r="G84">
        <v>820030.68730609398</v>
      </c>
      <c r="H84">
        <v>547170.82961834455</v>
      </c>
      <c r="I84">
        <v>327526.68218953582</v>
      </c>
      <c r="J84">
        <v>147587.31884124875</v>
      </c>
      <c r="K84">
        <v>-2248.1387679846957</v>
      </c>
      <c r="L84">
        <v>-128900.26838879194</v>
      </c>
      <c r="M84">
        <v>-237428.89634312596</v>
      </c>
      <c r="N84">
        <v>-331585.49104665313</v>
      </c>
      <c r="O84">
        <v>-414189.77341597434</v>
      </c>
      <c r="P84">
        <v>-487389.46062065661</v>
      </c>
    </row>
    <row r="85" spans="1:16" x14ac:dyDescent="0.2">
      <c r="A85" s="1">
        <v>500</v>
      </c>
      <c r="B85">
        <v>5349033.6178891975</v>
      </c>
      <c r="C85">
        <v>3997827.2685349905</v>
      </c>
      <c r="D85">
        <v>3014735.4267978906</v>
      </c>
      <c r="E85">
        <v>2284651.6186179849</v>
      </c>
      <c r="F85">
        <v>1731281.6081165816</v>
      </c>
      <c r="G85">
        <v>1303373.7672446729</v>
      </c>
      <c r="H85">
        <v>966023.28828434134</v>
      </c>
      <c r="I85">
        <v>695123.47783010313</v>
      </c>
      <c r="J85">
        <v>473787.57639704272</v>
      </c>
      <c r="K85">
        <v>290016.31526957313</v>
      </c>
      <c r="L85">
        <v>135160.73555314541</v>
      </c>
      <c r="M85">
        <v>2897.7546642813832</v>
      </c>
      <c r="N85">
        <v>-111460.32278592559</v>
      </c>
      <c r="O85">
        <v>-211436.56536098896</v>
      </c>
      <c r="P85">
        <v>-299714.09198697982</v>
      </c>
    </row>
    <row r="86" spans="1:16" x14ac:dyDescent="0.2">
      <c r="A86" s="1">
        <v>600</v>
      </c>
      <c r="B86">
        <v>6625726.3029277325</v>
      </c>
      <c r="C86">
        <v>5007558.9399635941</v>
      </c>
      <c r="D86">
        <v>3831065.2918436662</v>
      </c>
      <c r="E86">
        <v>2958119.4270315156</v>
      </c>
      <c r="F86">
        <v>2297170.0298144459</v>
      </c>
      <c r="G86">
        <v>1786716.8471832494</v>
      </c>
      <c r="H86">
        <v>1384875.7469503395</v>
      </c>
      <c r="I86">
        <v>1062720.2734706746</v>
      </c>
      <c r="J86">
        <v>799987.83395283576</v>
      </c>
      <c r="K86">
        <v>582280.76930712629</v>
      </c>
      <c r="L86">
        <v>399221.7394950795</v>
      </c>
      <c r="M86">
        <v>243224.40567168593</v>
      </c>
      <c r="N86">
        <v>108664.84547480149</v>
      </c>
      <c r="O86">
        <v>-8683.3573060086928</v>
      </c>
      <c r="P86">
        <v>-112038.7233533063</v>
      </c>
    </row>
    <row r="87" spans="1:16" x14ac:dyDescent="0.2">
      <c r="A87" s="1">
        <v>700</v>
      </c>
      <c r="B87">
        <v>7902418.9879662544</v>
      </c>
      <c r="C87">
        <v>6017290.6113921981</v>
      </c>
      <c r="D87">
        <v>4647395.1568894386</v>
      </c>
      <c r="E87">
        <v>3631587.2354450473</v>
      </c>
      <c r="F87">
        <v>2863058.4515123139</v>
      </c>
      <c r="G87">
        <v>2270059.9271218288</v>
      </c>
      <c r="H87">
        <v>1803728.2056163368</v>
      </c>
      <c r="I87">
        <v>1430317.0691112448</v>
      </c>
      <c r="J87">
        <v>1126188.0915086297</v>
      </c>
      <c r="K87">
        <v>874545.22334468178</v>
      </c>
      <c r="L87">
        <v>663282.74343701359</v>
      </c>
      <c r="M87">
        <v>483551.05667909188</v>
      </c>
      <c r="N87">
        <v>328790.0137355295</v>
      </c>
      <c r="O87">
        <v>194069.8507489753</v>
      </c>
      <c r="P87">
        <v>75636.645280369557</v>
      </c>
    </row>
    <row r="88" spans="1:16" x14ac:dyDescent="0.2">
      <c r="A88" s="1">
        <v>800</v>
      </c>
      <c r="B88">
        <v>9179111.6730047893</v>
      </c>
      <c r="C88">
        <v>7027022.2828208022</v>
      </c>
      <c r="D88">
        <v>5463725.0219352264</v>
      </c>
      <c r="E88">
        <v>4305055.0438585822</v>
      </c>
      <c r="F88">
        <v>3428946.8732101745</v>
      </c>
      <c r="G88">
        <v>2753403.0070604081</v>
      </c>
      <c r="H88">
        <v>2222580.6642823345</v>
      </c>
      <c r="I88">
        <v>1797913.8647518135</v>
      </c>
      <c r="J88">
        <v>1452388.3490644237</v>
      </c>
      <c r="K88">
        <v>1166809.6773822363</v>
      </c>
      <c r="L88">
        <v>927343.74737894814</v>
      </c>
      <c r="M88">
        <v>723877.70768649969</v>
      </c>
      <c r="N88">
        <v>548915.18199625704</v>
      </c>
      <c r="O88">
        <v>396823.05880395789</v>
      </c>
      <c r="P88">
        <v>263312.01391404308</v>
      </c>
    </row>
    <row r="89" spans="1:16" x14ac:dyDescent="0.2">
      <c r="A89" s="1">
        <v>900</v>
      </c>
      <c r="B89">
        <v>10455804.358043315</v>
      </c>
      <c r="C89">
        <v>8036753.9542494118</v>
      </c>
      <c r="D89">
        <v>6280054.8869809937</v>
      </c>
      <c r="E89">
        <v>4978522.8522721119</v>
      </c>
      <c r="F89">
        <v>3994835.2949080435</v>
      </c>
      <c r="G89">
        <v>3236746.0869989856</v>
      </c>
      <c r="H89">
        <v>2641433.1229483313</v>
      </c>
      <c r="I89">
        <v>2165510.6603923854</v>
      </c>
      <c r="J89">
        <v>1778588.6066202163</v>
      </c>
      <c r="K89">
        <v>1459074.13141979</v>
      </c>
      <c r="L89">
        <v>1191404.7513208822</v>
      </c>
      <c r="M89">
        <v>964204.35869390424</v>
      </c>
      <c r="N89">
        <v>769040.35025698552</v>
      </c>
      <c r="O89">
        <v>599576.26685893862</v>
      </c>
      <c r="P89">
        <v>450987.38254771894</v>
      </c>
    </row>
    <row r="90" spans="1:16" x14ac:dyDescent="0.2">
      <c r="A90" s="1">
        <v>1000</v>
      </c>
      <c r="B90">
        <v>11732497.043081839</v>
      </c>
      <c r="C90">
        <v>9046485.6256780177</v>
      </c>
      <c r="D90">
        <v>7096384.752026774</v>
      </c>
      <c r="E90">
        <v>5651990.6606856417</v>
      </c>
      <c r="F90">
        <v>4560723.716605911</v>
      </c>
      <c r="G90">
        <v>3720089.1669375659</v>
      </c>
      <c r="H90">
        <v>3060285.5816143262</v>
      </c>
      <c r="I90">
        <v>2533107.4560329556</v>
      </c>
      <c r="J90">
        <v>2104788.8641760093</v>
      </c>
      <c r="K90">
        <v>1751338.5854573469</v>
      </c>
      <c r="L90">
        <v>1455465.7552628168</v>
      </c>
      <c r="M90">
        <v>1204531.0097013107</v>
      </c>
      <c r="N90">
        <v>989165.51851771073</v>
      </c>
      <c r="O90">
        <v>802329.474913924</v>
      </c>
      <c r="P90">
        <v>638662.751181392</v>
      </c>
    </row>
    <row r="91" spans="1:16" x14ac:dyDescent="0.2">
      <c r="A91" s="1">
        <v>1100</v>
      </c>
      <c r="B91">
        <v>13009189.72812037</v>
      </c>
      <c r="C91">
        <v>10056217.297106618</v>
      </c>
      <c r="D91">
        <v>7912714.6170725506</v>
      </c>
      <c r="E91">
        <v>6325458.4690991733</v>
      </c>
      <c r="F91">
        <v>5126612.1383037716</v>
      </c>
      <c r="G91">
        <v>4203432.2468761429</v>
      </c>
      <c r="H91">
        <v>3479138.0402803258</v>
      </c>
      <c r="I91">
        <v>2900704.2516735294</v>
      </c>
      <c r="J91">
        <v>2430989.1217318033</v>
      </c>
      <c r="K91">
        <v>2043603.0394949014</v>
      </c>
      <c r="L91">
        <v>1719526.7592047523</v>
      </c>
      <c r="M91">
        <v>1444857.6607087157</v>
      </c>
      <c r="N91">
        <v>1209290.6867784387</v>
      </c>
      <c r="O91">
        <v>1005082.6829689052</v>
      </c>
      <c r="P91">
        <v>826338.11981506925</v>
      </c>
    </row>
    <row r="92" spans="1:16" x14ac:dyDescent="0.2">
      <c r="A92" s="1">
        <v>1200</v>
      </c>
      <c r="B92">
        <v>14285882.413158907</v>
      </c>
      <c r="C92">
        <v>11065948.968535228</v>
      </c>
      <c r="D92">
        <v>8729044.4821183272</v>
      </c>
      <c r="E92">
        <v>6998926.2775127031</v>
      </c>
      <c r="F92">
        <v>5692500.5600016396</v>
      </c>
      <c r="G92">
        <v>4686775.3268147185</v>
      </c>
      <c r="H92">
        <v>3897990.4989463245</v>
      </c>
      <c r="I92">
        <v>3268301.0473140986</v>
      </c>
      <c r="J92">
        <v>2757189.3792875935</v>
      </c>
      <c r="K92">
        <v>2335867.4935324569</v>
      </c>
      <c r="L92">
        <v>1983587.7631466878</v>
      </c>
      <c r="M92">
        <v>1685184.3117161221</v>
      </c>
      <c r="N92">
        <v>1429415.8550391635</v>
      </c>
      <c r="O92">
        <v>1207835.8910238901</v>
      </c>
      <c r="P92">
        <v>1014013.4884487428</v>
      </c>
    </row>
    <row r="93" spans="1:16" x14ac:dyDescent="0.2">
      <c r="A93" s="1">
        <v>1300</v>
      </c>
      <c r="B93">
        <v>15562575.098197429</v>
      </c>
      <c r="C93">
        <v>12075680.639963835</v>
      </c>
      <c r="D93">
        <v>9545374.3471641075</v>
      </c>
      <c r="E93">
        <v>7672394.0859262403</v>
      </c>
      <c r="F93">
        <v>6258388.9816995058</v>
      </c>
      <c r="G93">
        <v>5170118.4067532998</v>
      </c>
      <c r="H93">
        <v>4316842.9576123208</v>
      </c>
      <c r="I93">
        <v>3635897.8429546678</v>
      </c>
      <c r="J93">
        <v>3083389.6368433884</v>
      </c>
      <c r="K93">
        <v>2628131.9475700152</v>
      </c>
      <c r="L93">
        <v>2247648.7670886214</v>
      </c>
      <c r="M93">
        <v>1925510.9627235276</v>
      </c>
      <c r="N93">
        <v>1649541.0232998929</v>
      </c>
      <c r="O93">
        <v>1410589.0990788718</v>
      </c>
      <c r="P93">
        <v>1201688.8570824182</v>
      </c>
    </row>
    <row r="94" spans="1:16" x14ac:dyDescent="0.2">
      <c r="A94" s="1">
        <v>1400</v>
      </c>
      <c r="B94">
        <v>16839267.783235949</v>
      </c>
      <c r="C94">
        <v>13085412.31139244</v>
      </c>
      <c r="D94">
        <v>10361704.212209877</v>
      </c>
      <c r="E94">
        <v>8345861.8943397626</v>
      </c>
      <c r="F94">
        <v>6824277.403397372</v>
      </c>
      <c r="G94">
        <v>5653461.4866918791</v>
      </c>
      <c r="H94">
        <v>4735695.4162783176</v>
      </c>
      <c r="I94">
        <v>4003494.6385952379</v>
      </c>
      <c r="J94">
        <v>3409589.8943991815</v>
      </c>
      <c r="K94">
        <v>2920396.401607566</v>
      </c>
      <c r="L94">
        <v>2511709.7710305578</v>
      </c>
      <c r="M94">
        <v>2165837.6137309303</v>
      </c>
      <c r="N94">
        <v>1869666.1915606172</v>
      </c>
      <c r="O94">
        <v>1613342.3071338548</v>
      </c>
      <c r="P94">
        <v>1389364.2257160936</v>
      </c>
    </row>
    <row r="95" spans="1:16" x14ac:dyDescent="0.2">
      <c r="A95" s="1">
        <v>1500</v>
      </c>
      <c r="B95">
        <v>18115960.468274482</v>
      </c>
      <c r="C95">
        <v>14095143.982821042</v>
      </c>
      <c r="D95">
        <v>11178034.077255659</v>
      </c>
      <c r="E95">
        <v>9019329.702753298</v>
      </c>
      <c r="F95">
        <v>7390165.8250952344</v>
      </c>
      <c r="G95">
        <v>6136804.5666304529</v>
      </c>
      <c r="H95">
        <v>5154547.8749443162</v>
      </c>
      <c r="I95">
        <v>4371091.4342358075</v>
      </c>
      <c r="J95">
        <v>3735790.1519549792</v>
      </c>
      <c r="K95">
        <v>3212660.8556451225</v>
      </c>
      <c r="L95">
        <v>2775770.7749724868</v>
      </c>
      <c r="M95">
        <v>2406164.2647383385</v>
      </c>
      <c r="N95">
        <v>2089791.3598213433</v>
      </c>
      <c r="O95">
        <v>1816095.515188837</v>
      </c>
      <c r="P95">
        <v>1577039.5943497685</v>
      </c>
    </row>
    <row r="97" spans="1:16" ht="19" x14ac:dyDescent="0.25">
      <c r="A97" s="61" t="s">
        <v>130</v>
      </c>
      <c r="B97" s="61"/>
      <c r="C97" s="61"/>
    </row>
    <row r="98" spans="1:16" x14ac:dyDescent="0.2">
      <c r="A98" s="30">
        <f>B20</f>
        <v>322889.14420806617</v>
      </c>
      <c r="B98">
        <v>0.01</v>
      </c>
      <c r="C98">
        <v>0.02</v>
      </c>
      <c r="D98">
        <v>0.03</v>
      </c>
      <c r="E98">
        <v>0.04</v>
      </c>
      <c r="F98">
        <v>0.05</v>
      </c>
      <c r="G98">
        <v>0.06</v>
      </c>
      <c r="H98">
        <v>7.0000000000000007E-2</v>
      </c>
      <c r="I98">
        <v>0.08</v>
      </c>
      <c r="J98">
        <v>0.09</v>
      </c>
      <c r="K98">
        <v>0.1</v>
      </c>
      <c r="L98">
        <v>0.11</v>
      </c>
      <c r="M98">
        <v>0.12</v>
      </c>
      <c r="N98">
        <v>0.13</v>
      </c>
      <c r="O98">
        <v>0.14000000000000001</v>
      </c>
      <c r="P98">
        <v>0.15</v>
      </c>
    </row>
  </sheetData>
  <scenarios current="0" sqref="B16">
    <scenario name="Interest Rates" locked="1" count="20" user="Helen Wang" comment="Created by Helen Wang on 21/3/2024_x000a_Modified by Helen Wang on 21/3/2024">
      <inputCells r="A81" val="0.01"/>
      <inputCells r="A82" val="0.02"/>
      <inputCells r="A83" val="0.03"/>
      <inputCells r="A84" val="0.04"/>
      <inputCells r="A85" val="0.05"/>
      <inputCells r="A86" val="0.06"/>
      <inputCells r="A87" val="0.07"/>
      <inputCells r="A88" val="0.08"/>
      <inputCells r="A89" val="0.09"/>
      <inputCells r="A90" val="0.1"/>
      <inputCells r="A91" val="0.11"/>
      <inputCells r="A92" val="0.12"/>
      <inputCells r="A93" val="0.13"/>
      <inputCells r="A94" val="0.14"/>
      <inputCells r="A95" val="0.15"/>
      <inputCells r="A96" val="0.16"/>
      <inputCells r="A97" val="0.17"/>
      <inputCells r="A98" val="0.18"/>
      <inputCells r="A99" val="0.19"/>
      <inputCells r="A100" val="0.2"/>
    </scenario>
  </scenarios>
  <mergeCells count="8">
    <mergeCell ref="A97:C97"/>
    <mergeCell ref="A79:C79"/>
    <mergeCell ref="AH23:AK23"/>
    <mergeCell ref="G23:K23"/>
    <mergeCell ref="A23:E23"/>
    <mergeCell ref="M23:S23"/>
    <mergeCell ref="U23:W23"/>
    <mergeCell ref="Y23:AG23"/>
  </mergeCells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CCB26B3-CCDA-5442-BC52-1EB2E3BB0FA5}">
          <x14:formula1>
            <xm:f>'male lifetable'!$A$2:$A$76</xm:f>
          </x14:formula1>
          <xm:sqref>B2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ACD39-2DFD-6E45-8BC7-F5CC3EC3C823}">
  <dimension ref="A1:AN106"/>
  <sheetViews>
    <sheetView topLeftCell="H74" zoomScale="92" workbookViewId="0">
      <selection activeCell="P107" sqref="P107"/>
    </sheetView>
  </sheetViews>
  <sheetFormatPr baseColWidth="10" defaultRowHeight="16" x14ac:dyDescent="0.2"/>
  <cols>
    <col min="1" max="1" width="29.6640625" customWidth="1"/>
    <col min="2" max="2" width="26.33203125" customWidth="1"/>
    <col min="3" max="3" width="25.6640625" customWidth="1"/>
    <col min="4" max="4" width="23.6640625" customWidth="1"/>
    <col min="5" max="5" width="21.1640625" bestFit="1" customWidth="1"/>
  </cols>
  <sheetData>
    <row r="1" spans="1:9" ht="19" x14ac:dyDescent="0.25">
      <c r="A1" s="6" t="s">
        <v>18</v>
      </c>
      <c r="B1" s="6"/>
      <c r="C1" s="6"/>
      <c r="D1" s="6"/>
      <c r="E1" s="8">
        <f>ROUNDDOWN(VLOOKUP(E2,Table2[#All],13,FALSE),0)</f>
        <v>348</v>
      </c>
    </row>
    <row r="2" spans="1:9" ht="19" x14ac:dyDescent="0.25">
      <c r="A2" s="6" t="s">
        <v>0</v>
      </c>
      <c r="B2" s="6"/>
      <c r="C2" s="6"/>
      <c r="D2" s="6"/>
      <c r="E2" s="9">
        <v>45</v>
      </c>
    </row>
    <row r="3" spans="1:9" ht="19" x14ac:dyDescent="0.25">
      <c r="A3" s="6" t="s">
        <v>50</v>
      </c>
      <c r="B3" s="6"/>
      <c r="C3" s="6"/>
      <c r="D3" s="6"/>
      <c r="E3" s="9">
        <f>VLOOKUP(E2,Table2[],10,FALSE)</f>
        <v>3470</v>
      </c>
    </row>
    <row r="4" spans="1:9" ht="19" x14ac:dyDescent="0.25">
      <c r="A4" s="6" t="s">
        <v>6</v>
      </c>
      <c r="B4" s="6"/>
      <c r="C4" s="6"/>
      <c r="D4" s="6"/>
      <c r="E4" s="7">
        <v>6.0596999999999998E-2</v>
      </c>
    </row>
    <row r="5" spans="1:9" ht="19" x14ac:dyDescent="0.25">
      <c r="A5" s="6" t="s">
        <v>4</v>
      </c>
      <c r="B5" s="6"/>
      <c r="C5" s="6"/>
      <c r="D5" s="6"/>
      <c r="E5" s="7">
        <f>(1+E4)^(-1)</f>
        <v>0.94286519761983112</v>
      </c>
    </row>
    <row r="6" spans="1:9" ht="19" x14ac:dyDescent="0.25">
      <c r="A6" s="6" t="s">
        <v>37</v>
      </c>
      <c r="B6" s="6"/>
      <c r="C6" s="6"/>
      <c r="D6" s="6"/>
      <c r="E6" s="7">
        <v>0.01</v>
      </c>
    </row>
    <row r="7" spans="1:9" ht="19" x14ac:dyDescent="0.25">
      <c r="A7" s="6" t="s">
        <v>8</v>
      </c>
      <c r="B7" s="6"/>
      <c r="C7" s="6"/>
      <c r="D7" s="6"/>
      <c r="E7" s="8" t="s">
        <v>9</v>
      </c>
    </row>
    <row r="8" spans="1:9" ht="19" x14ac:dyDescent="0.25">
      <c r="A8" s="6" t="s">
        <v>10</v>
      </c>
      <c r="B8" s="6"/>
      <c r="C8" s="6"/>
      <c r="D8" s="6"/>
      <c r="E8" s="8" t="s">
        <v>49</v>
      </c>
    </row>
    <row r="9" spans="1:9" ht="19" x14ac:dyDescent="0.25">
      <c r="A9" s="6" t="s">
        <v>42</v>
      </c>
      <c r="B9" s="6"/>
      <c r="C9" s="6"/>
      <c r="D9" s="6"/>
      <c r="E9" s="8" t="s">
        <v>87</v>
      </c>
    </row>
    <row r="10" spans="1:9" ht="19" x14ac:dyDescent="0.25">
      <c r="A10" s="6" t="s">
        <v>36</v>
      </c>
      <c r="B10" s="6"/>
      <c r="C10" s="6"/>
      <c r="D10" s="6"/>
      <c r="E10" s="8">
        <v>0</v>
      </c>
    </row>
    <row r="11" spans="1:9" ht="19" x14ac:dyDescent="0.25">
      <c r="A11" s="6" t="s">
        <v>91</v>
      </c>
      <c r="B11" s="6"/>
      <c r="C11" s="6"/>
      <c r="D11" s="6"/>
      <c r="E11" s="8">
        <v>300</v>
      </c>
    </row>
    <row r="12" spans="1:9" ht="19" x14ac:dyDescent="0.25">
      <c r="A12" s="6" t="s">
        <v>102</v>
      </c>
      <c r="B12" s="6"/>
      <c r="C12" s="6"/>
      <c r="D12" s="6"/>
      <c r="E12" s="29">
        <f>NPV(E4,AD25:AD76)</f>
        <v>-7707.3225899707131</v>
      </c>
    </row>
    <row r="13" spans="1:9" ht="19" x14ac:dyDescent="0.25">
      <c r="A13" s="6" t="s">
        <v>103</v>
      </c>
      <c r="B13" s="6"/>
      <c r="C13" s="6"/>
      <c r="D13" s="6"/>
      <c r="E13" s="29">
        <f>E1*E12</f>
        <v>-2682148.2613098081</v>
      </c>
    </row>
    <row r="14" spans="1:9" ht="19" x14ac:dyDescent="0.25">
      <c r="A14" s="6" t="s">
        <v>89</v>
      </c>
      <c r="B14" s="6"/>
      <c r="C14" s="6"/>
      <c r="D14" s="6"/>
      <c r="E14" s="29">
        <f>NPV(E4,AJ25:AJ76)</f>
        <v>-4482387.6478731222</v>
      </c>
    </row>
    <row r="15" spans="1:9" ht="19" x14ac:dyDescent="0.25">
      <c r="A15" s="6" t="s">
        <v>90</v>
      </c>
      <c r="B15" s="6"/>
      <c r="C15" s="6"/>
      <c r="D15" s="6"/>
      <c r="E15" s="29">
        <f>NPV(E4,AH25:AH76)</f>
        <v>-118266.99035144308</v>
      </c>
      <c r="I15" s="30"/>
    </row>
    <row r="16" spans="1:9" ht="19" x14ac:dyDescent="0.25">
      <c r="A16" s="6" t="s">
        <v>92</v>
      </c>
      <c r="B16" s="6"/>
      <c r="C16" s="6"/>
      <c r="D16" s="6"/>
      <c r="E16" s="29">
        <f>SUM(AM25:AM76)</f>
        <v>-4182947.5452092439</v>
      </c>
    </row>
    <row r="17" spans="1:40" ht="19" x14ac:dyDescent="0.25">
      <c r="A17" s="6" t="s">
        <v>107</v>
      </c>
      <c r="B17" s="6"/>
      <c r="C17" s="6"/>
      <c r="D17" s="6"/>
      <c r="E17" s="29">
        <f>E16*E1</f>
        <v>-1455665745.7328169</v>
      </c>
    </row>
    <row r="18" spans="1:40" ht="19" x14ac:dyDescent="0.25">
      <c r="A18" s="6" t="s">
        <v>104</v>
      </c>
      <c r="B18" s="6"/>
      <c r="C18" s="6"/>
      <c r="D18" s="6"/>
      <c r="E18" s="29">
        <f>E16/E12</f>
        <v>542.72381834028545</v>
      </c>
    </row>
    <row r="19" spans="1:40" ht="19" x14ac:dyDescent="0.25">
      <c r="A19" s="6" t="s">
        <v>127</v>
      </c>
      <c r="B19" s="6"/>
      <c r="C19" s="6"/>
      <c r="D19" s="6"/>
      <c r="E19" s="29">
        <f>E17-'Male SPWL (before)'!B16</f>
        <v>853660970.26718307</v>
      </c>
    </row>
    <row r="20" spans="1:40" ht="19" x14ac:dyDescent="0.25">
      <c r="A20" s="6" t="s">
        <v>105</v>
      </c>
      <c r="B20" s="6"/>
      <c r="C20" s="6"/>
      <c r="D20" s="6"/>
      <c r="E20" s="29">
        <f>E13-'Male SPWL (before)'!B12</f>
        <v>-5389508.7616825551</v>
      </c>
    </row>
    <row r="21" spans="1:40" ht="19" x14ac:dyDescent="0.25">
      <c r="A21" s="6" t="s">
        <v>128</v>
      </c>
      <c r="B21" s="6"/>
      <c r="C21" s="6"/>
      <c r="D21" s="6"/>
      <c r="E21" s="36">
        <f>-E19/'Male SPWL (before)'!B16</f>
        <v>0.36965794590806744</v>
      </c>
    </row>
    <row r="22" spans="1:40" x14ac:dyDescent="0.2">
      <c r="E22" s="35"/>
    </row>
    <row r="23" spans="1:40" ht="19" x14ac:dyDescent="0.25">
      <c r="A23" s="60" t="s">
        <v>66</v>
      </c>
      <c r="B23" s="60"/>
      <c r="C23" s="60"/>
      <c r="D23" s="60"/>
      <c r="E23" s="60"/>
      <c r="F23" s="60"/>
      <c r="G23" s="60"/>
      <c r="H23" s="60"/>
      <c r="J23" s="60" t="s">
        <v>65</v>
      </c>
      <c r="K23" s="60"/>
      <c r="L23" s="60"/>
      <c r="M23" s="60"/>
      <c r="N23" s="60"/>
      <c r="P23" s="60" t="s">
        <v>67</v>
      </c>
      <c r="Q23" s="60"/>
      <c r="R23" s="60"/>
      <c r="S23" s="60"/>
      <c r="T23" s="60"/>
      <c r="U23" s="60"/>
      <c r="V23" s="60"/>
      <c r="X23" s="60" t="s">
        <v>46</v>
      </c>
      <c r="Y23" s="60"/>
      <c r="Z23" s="60"/>
      <c r="AB23" s="60" t="s">
        <v>68</v>
      </c>
      <c r="AC23" s="60"/>
      <c r="AD23" s="60"/>
      <c r="AE23" s="60"/>
      <c r="AF23" s="60"/>
      <c r="AG23" s="60"/>
      <c r="AH23" s="60"/>
      <c r="AI23" s="60"/>
      <c r="AJ23" s="60"/>
      <c r="AK23" s="60" t="s">
        <v>69</v>
      </c>
      <c r="AL23" s="60"/>
      <c r="AM23" s="60"/>
      <c r="AN23" s="60"/>
    </row>
    <row r="24" spans="1:40" ht="19" x14ac:dyDescent="0.25">
      <c r="A24" s="11" t="s">
        <v>5</v>
      </c>
      <c r="B24" s="11" t="s">
        <v>131</v>
      </c>
      <c r="C24" s="11" t="s">
        <v>132</v>
      </c>
      <c r="D24" s="11" t="s">
        <v>133</v>
      </c>
      <c r="E24" s="11" t="s">
        <v>1</v>
      </c>
      <c r="F24" s="11" t="s">
        <v>2</v>
      </c>
      <c r="G24" s="11" t="s">
        <v>3</v>
      </c>
      <c r="H24" s="12" t="s">
        <v>7</v>
      </c>
      <c r="J24" s="11" t="s">
        <v>5</v>
      </c>
      <c r="K24" s="14" t="s">
        <v>26</v>
      </c>
      <c r="L24" s="14" t="s">
        <v>47</v>
      </c>
      <c r="M24" s="14" t="s">
        <v>27</v>
      </c>
      <c r="N24" s="15" t="s">
        <v>28</v>
      </c>
      <c r="P24" s="11" t="s">
        <v>34</v>
      </c>
      <c r="Q24" s="11" t="s">
        <v>12</v>
      </c>
      <c r="R24" s="11" t="s">
        <v>13</v>
      </c>
      <c r="S24" s="11" t="s">
        <v>14</v>
      </c>
      <c r="T24" s="11" t="s">
        <v>40</v>
      </c>
      <c r="U24" s="16" t="s">
        <v>15</v>
      </c>
      <c r="V24" s="12" t="s">
        <v>35</v>
      </c>
      <c r="X24" s="14" t="s">
        <v>34</v>
      </c>
      <c r="Y24" s="11" t="s">
        <v>16</v>
      </c>
      <c r="Z24" s="12" t="s">
        <v>17</v>
      </c>
      <c r="AB24" s="14" t="s">
        <v>34</v>
      </c>
      <c r="AC24" s="11" t="s">
        <v>29</v>
      </c>
      <c r="AD24" s="11" t="s">
        <v>30</v>
      </c>
      <c r="AE24" s="11" t="s">
        <v>31</v>
      </c>
      <c r="AF24" s="11" t="s">
        <v>32</v>
      </c>
      <c r="AG24" s="11" t="s">
        <v>33</v>
      </c>
      <c r="AH24" s="11" t="s">
        <v>51</v>
      </c>
      <c r="AI24" s="11" t="s">
        <v>43</v>
      </c>
      <c r="AJ24" s="11" t="s">
        <v>44</v>
      </c>
      <c r="AK24" s="11" t="s">
        <v>45</v>
      </c>
      <c r="AL24" s="11" t="s">
        <v>41</v>
      </c>
      <c r="AM24" s="11" t="s">
        <v>38</v>
      </c>
      <c r="AN24" s="12" t="s">
        <v>39</v>
      </c>
    </row>
    <row r="25" spans="1:40" x14ac:dyDescent="0.2">
      <c r="A25">
        <f>E2</f>
        <v>45</v>
      </c>
      <c r="B25">
        <f>VLOOKUP(A25,Table21[#All],2,FALSE)</f>
        <v>2.1239136289999999E-3</v>
      </c>
      <c r="C25">
        <v>0.1</v>
      </c>
      <c r="D25">
        <v>0.1</v>
      </c>
      <c r="E25">
        <f>B25*(1-C25)*(1-D25)</f>
        <v>1.72037003949E-3</v>
      </c>
      <c r="F25">
        <f>1-E25</f>
        <v>0.99827962996051001</v>
      </c>
      <c r="G25">
        <f>$E$5*(E25+F25*G26)</f>
        <v>0.13144091164551719</v>
      </c>
      <c r="H25">
        <f>G25-PRODUCT(F25:F44)*H44*$E$5^(20)</f>
        <v>8.0718207124876734E-2</v>
      </c>
      <c r="J25">
        <f>E2</f>
        <v>45</v>
      </c>
      <c r="K25">
        <f>E25</f>
        <v>1.72037003949E-3</v>
      </c>
      <c r="L25">
        <f>0</f>
        <v>0</v>
      </c>
      <c r="M25">
        <f>1-K25-L25</f>
        <v>0.99827962996051001</v>
      </c>
      <c r="N25">
        <v>1</v>
      </c>
      <c r="P25">
        <v>1</v>
      </c>
      <c r="Q25">
        <f>$E$10</f>
        <v>0</v>
      </c>
      <c r="R25">
        <f>$E$3</f>
        <v>3470</v>
      </c>
      <c r="S25">
        <f>VLOOKUP(J25,Table1[#All],3,FALSE)</f>
        <v>784482.75859999994</v>
      </c>
      <c r="T25">
        <f>L25</f>
        <v>0</v>
      </c>
      <c r="U25">
        <v>0</v>
      </c>
      <c r="V25">
        <f>ABS(MIN(AI26-V26*M26,0))*$E$5</f>
        <v>215680.67670848529</v>
      </c>
      <c r="X25">
        <v>1</v>
      </c>
      <c r="Y25">
        <f>V25</f>
        <v>215680.67670848529</v>
      </c>
      <c r="Z25">
        <f>$E$6*S25*M25</f>
        <v>7831.3315796560801</v>
      </c>
      <c r="AB25">
        <v>1</v>
      </c>
      <c r="AC25">
        <f>Q25</f>
        <v>0</v>
      </c>
      <c r="AD25">
        <f>-R25</f>
        <v>-3470</v>
      </c>
      <c r="AE25">
        <f>-S25*K25</f>
        <v>-1349.6006343919059</v>
      </c>
      <c r="AF25">
        <f>0</f>
        <v>0</v>
      </c>
      <c r="AG25">
        <f>SUM(AC25:AD25)*$E$4</f>
        <v>-210.27159</v>
      </c>
      <c r="AH25">
        <f>-Z25</f>
        <v>-7831.3315796560801</v>
      </c>
      <c r="AI25">
        <f>SUM(AC25:AH25)</f>
        <v>-12861.203804047986</v>
      </c>
      <c r="AJ25">
        <f>-V25*M25</f>
        <v>-215309.6261341791</v>
      </c>
      <c r="AK25">
        <f>SUM(AI25:AJ25)</f>
        <v>-228170.82993822708</v>
      </c>
      <c r="AL25">
        <f>$E$5^AB25</f>
        <v>0.94286519761983112</v>
      </c>
      <c r="AM25">
        <f>AK25*AL25*N25</f>
        <v>-215134.33466078734</v>
      </c>
      <c r="AN25">
        <f>0</f>
        <v>0</v>
      </c>
    </row>
    <row r="26" spans="1:40" x14ac:dyDescent="0.2">
      <c r="A26">
        <f>A25+1</f>
        <v>46</v>
      </c>
      <c r="B26">
        <f>VLOOKUP(A26,Table21[#All],2,FALSE)</f>
        <v>2.4425243330000001E-3</v>
      </c>
      <c r="C26">
        <f>C25</f>
        <v>0.1</v>
      </c>
      <c r="D26">
        <f>D25</f>
        <v>0.1</v>
      </c>
      <c r="E26">
        <f t="shared" ref="E26:E76" si="0">B26*(1-C26)*(1-D26)</f>
        <v>1.9784447097300002E-3</v>
      </c>
      <c r="F26">
        <f t="shared" ref="F26:F76" si="1">1-E26</f>
        <v>0.99802155529027003</v>
      </c>
      <c r="G26">
        <f t="shared" ref="G26:G76" si="2">$E$5*(E26+F26*G27)</f>
        <v>0.13792274468673388</v>
      </c>
      <c r="H26">
        <f t="shared" ref="H26:H76" si="3">G26-PRODUCT(F26:F45)*H45*$E$5^(20)</f>
        <v>8.3004667779462013E-2</v>
      </c>
      <c r="J26">
        <f>J25+1</f>
        <v>46</v>
      </c>
      <c r="K26">
        <f t="shared" ref="K26:K76" si="4">E26</f>
        <v>1.9784447097300002E-3</v>
      </c>
      <c r="L26">
        <f>0</f>
        <v>0</v>
      </c>
      <c r="M26">
        <f t="shared" ref="M26:M76" si="5">1-K26-L26</f>
        <v>0.99802155529027003</v>
      </c>
      <c r="N26">
        <f>M25*N25</f>
        <v>0.99827962996051001</v>
      </c>
      <c r="P26">
        <v>2</v>
      </c>
      <c r="Q26">
        <f t="shared" ref="Q26:Q76" si="6">$E$10</f>
        <v>0</v>
      </c>
      <c r="R26">
        <f>$E$11</f>
        <v>300</v>
      </c>
      <c r="S26">
        <f>VLOOKUP(J26,Table1[#All],3,FALSE)</f>
        <v>832451.49910000002</v>
      </c>
      <c r="T26">
        <f t="shared" ref="T26:T76" si="7">L26</f>
        <v>0</v>
      </c>
      <c r="U26">
        <v>0</v>
      </c>
      <c r="V26">
        <f t="shared" ref="V26:V76" si="8">ABS(MIN(AI27-V27*M27,0))*$E$5</f>
        <v>218910.1966325668</v>
      </c>
      <c r="X26">
        <v>2</v>
      </c>
      <c r="Y26">
        <f t="shared" ref="Y26:Y76" si="9">V26</f>
        <v>218910.1966325668</v>
      </c>
      <c r="Z26">
        <f t="shared" ref="Z26:Z76" si="10">$E$6*S26*M26</f>
        <v>8308.0453983549887</v>
      </c>
      <c r="AB26">
        <v>2</v>
      </c>
      <c r="AC26">
        <f t="shared" ref="AC26:AC76" si="11">Q26</f>
        <v>0</v>
      </c>
      <c r="AD26">
        <f t="shared" ref="AD26:AD76" si="12">-R26</f>
        <v>-300</v>
      </c>
      <c r="AE26">
        <f t="shared" ref="AE26:AE76" si="13">-S26*K26</f>
        <v>-1646.9592645012031</v>
      </c>
      <c r="AF26">
        <f>0</f>
        <v>0</v>
      </c>
      <c r="AG26">
        <f t="shared" ref="AG26:AG76" si="14">SUM(AC26:AD26)*$E$4</f>
        <v>-18.179099999999998</v>
      </c>
      <c r="AH26">
        <f t="shared" ref="AH26:AH76" si="15">-Z26</f>
        <v>-8308.0453983549887</v>
      </c>
      <c r="AI26">
        <f t="shared" ref="AI26:AI76" si="16">SUM(AC26:AH26)</f>
        <v>-10273.183762856192</v>
      </c>
      <c r="AJ26">
        <f t="shared" ref="AJ26:AJ76" si="17">-V26*M26</f>
        <v>-218477.09491213315</v>
      </c>
      <c r="AK26">
        <f t="shared" ref="AK26:AK76" si="18">SUM(AI26:AJ26)</f>
        <v>-228750.27867498936</v>
      </c>
      <c r="AL26">
        <f t="shared" ref="AL26:AL76" si="19">$E$5^AB26</f>
        <v>0.88899478088268324</v>
      </c>
      <c r="AM26">
        <f t="shared" ref="AM26:AM76" si="20">AK26*AL26*N26</f>
        <v>-203007.95319445472</v>
      </c>
      <c r="AN26">
        <f>0</f>
        <v>0</v>
      </c>
    </row>
    <row r="27" spans="1:40" x14ac:dyDescent="0.2">
      <c r="A27">
        <f t="shared" ref="A27:A76" si="21">A26+1</f>
        <v>47</v>
      </c>
      <c r="B27">
        <f>VLOOKUP(A27,Table21[#All],2,FALSE)</f>
        <v>2.7945492059999999E-3</v>
      </c>
      <c r="C27">
        <f t="shared" ref="C27:C76" si="22">C26</f>
        <v>0.1</v>
      </c>
      <c r="D27">
        <f t="shared" ref="D27:D76" si="23">D26</f>
        <v>0.1</v>
      </c>
      <c r="E27">
        <f t="shared" si="0"/>
        <v>2.26358485686E-3</v>
      </c>
      <c r="F27">
        <f t="shared" si="1"/>
        <v>0.99773641514314004</v>
      </c>
      <c r="G27">
        <f t="shared" si="2"/>
        <v>0.14458806402715052</v>
      </c>
      <c r="H27">
        <f t="shared" si="3"/>
        <v>8.5079069731131496E-2</v>
      </c>
      <c r="J27">
        <f t="shared" ref="J27:J76" si="24">J26+1</f>
        <v>47</v>
      </c>
      <c r="K27">
        <f t="shared" si="4"/>
        <v>2.26358485686E-3</v>
      </c>
      <c r="L27">
        <f>0</f>
        <v>0</v>
      </c>
      <c r="M27">
        <f t="shared" si="5"/>
        <v>0.99773641514314004</v>
      </c>
      <c r="N27">
        <f t="shared" ref="N27:N76" si="25">M26*N26</f>
        <v>0.99630458890778339</v>
      </c>
      <c r="P27">
        <v>3</v>
      </c>
      <c r="Q27">
        <f t="shared" si="6"/>
        <v>0</v>
      </c>
      <c r="R27">
        <f t="shared" ref="R27:R76" si="26">$E$11</f>
        <v>300</v>
      </c>
      <c r="S27">
        <f>VLOOKUP(J27,Table1[#All],3,FALSE)</f>
        <v>760000</v>
      </c>
      <c r="T27">
        <f t="shared" si="7"/>
        <v>0</v>
      </c>
      <c r="U27">
        <v>0</v>
      </c>
      <c r="V27">
        <f t="shared" si="8"/>
        <v>223059.11069676685</v>
      </c>
      <c r="X27">
        <v>3</v>
      </c>
      <c r="Y27">
        <f t="shared" si="9"/>
        <v>223059.11069676685</v>
      </c>
      <c r="Z27">
        <f t="shared" si="10"/>
        <v>7582.7967550878648</v>
      </c>
      <c r="AB27">
        <v>3</v>
      </c>
      <c r="AC27">
        <f t="shared" si="11"/>
        <v>0</v>
      </c>
      <c r="AD27">
        <f t="shared" si="12"/>
        <v>-300</v>
      </c>
      <c r="AE27">
        <f t="shared" si="13"/>
        <v>-1720.3244912135999</v>
      </c>
      <c r="AF27">
        <f>0</f>
        <v>0</v>
      </c>
      <c r="AG27">
        <f t="shared" si="14"/>
        <v>-18.179099999999998</v>
      </c>
      <c r="AH27">
        <f t="shared" si="15"/>
        <v>-7582.7967550878648</v>
      </c>
      <c r="AI27">
        <f t="shared" si="16"/>
        <v>-9621.3003463014647</v>
      </c>
      <c r="AJ27">
        <f t="shared" si="17"/>
        <v>-222554.19747160899</v>
      </c>
      <c r="AK27">
        <f t="shared" si="18"/>
        <v>-232175.49781791045</v>
      </c>
      <c r="AL27">
        <f t="shared" si="19"/>
        <v>0.83820223975994956</v>
      </c>
      <c r="AM27">
        <f t="shared" si="20"/>
        <v>-193890.85825333293</v>
      </c>
      <c r="AN27">
        <f>0</f>
        <v>0</v>
      </c>
    </row>
    <row r="28" spans="1:40" x14ac:dyDescent="0.2">
      <c r="A28">
        <f t="shared" si="21"/>
        <v>48</v>
      </c>
      <c r="B28">
        <f>VLOOKUP(A28,Table21[#All],2,FALSE)</f>
        <v>3.1752855870000002E-3</v>
      </c>
      <c r="C28">
        <f t="shared" si="22"/>
        <v>0.1</v>
      </c>
      <c r="D28">
        <f t="shared" si="23"/>
        <v>0.1</v>
      </c>
      <c r="E28">
        <f t="shared" si="0"/>
        <v>2.5719813254700004E-3</v>
      </c>
      <c r="F28">
        <f t="shared" si="1"/>
        <v>0.99742801867453001</v>
      </c>
      <c r="G28">
        <f t="shared" si="2"/>
        <v>0.15142885414728319</v>
      </c>
      <c r="H28">
        <f t="shared" si="3"/>
        <v>8.6964097037427829E-2</v>
      </c>
      <c r="J28">
        <f t="shared" si="24"/>
        <v>48</v>
      </c>
      <c r="K28">
        <f t="shared" si="4"/>
        <v>2.5719813254700004E-3</v>
      </c>
      <c r="L28">
        <f>0</f>
        <v>0</v>
      </c>
      <c r="M28">
        <f t="shared" si="5"/>
        <v>0.99742801867453001</v>
      </c>
      <c r="N28">
        <f t="shared" si="25"/>
        <v>0.99404936892751161</v>
      </c>
      <c r="P28">
        <v>4</v>
      </c>
      <c r="Q28">
        <f t="shared" si="6"/>
        <v>0</v>
      </c>
      <c r="R28">
        <f t="shared" si="26"/>
        <v>300</v>
      </c>
      <c r="S28">
        <f>VLOOKUP(J28,Table1[#All],3,FALSE)</f>
        <v>719022.68759999995</v>
      </c>
      <c r="T28">
        <f t="shared" si="7"/>
        <v>0</v>
      </c>
      <c r="U28">
        <v>0</v>
      </c>
      <c r="V28">
        <f t="shared" si="8"/>
        <v>227822.55320818568</v>
      </c>
      <c r="X28">
        <v>4</v>
      </c>
      <c r="Y28">
        <f t="shared" si="9"/>
        <v>227822.55320818568</v>
      </c>
      <c r="Z28">
        <f t="shared" si="10"/>
        <v>7171.7337467490352</v>
      </c>
      <c r="AB28">
        <v>4</v>
      </c>
      <c r="AC28">
        <f t="shared" si="11"/>
        <v>0</v>
      </c>
      <c r="AD28">
        <f t="shared" si="12"/>
        <v>-300</v>
      </c>
      <c r="AE28">
        <f t="shared" si="13"/>
        <v>-1849.3129250964498</v>
      </c>
      <c r="AF28">
        <f>0</f>
        <v>0</v>
      </c>
      <c r="AG28">
        <f t="shared" si="14"/>
        <v>-18.179099999999998</v>
      </c>
      <c r="AH28">
        <f t="shared" si="15"/>
        <v>-7171.7337467490352</v>
      </c>
      <c r="AI28">
        <f t="shared" si="16"/>
        <v>-9339.2257718454857</v>
      </c>
      <c r="AJ28">
        <f t="shared" si="17"/>
        <v>-227236.59785581334</v>
      </c>
      <c r="AK28">
        <f t="shared" si="18"/>
        <v>-236575.82362765883</v>
      </c>
      <c r="AL28">
        <f t="shared" si="19"/>
        <v>0.79031172043664999</v>
      </c>
      <c r="AM28">
        <f t="shared" si="20"/>
        <v>-185856.06474932359</v>
      </c>
      <c r="AN28">
        <f>0</f>
        <v>0</v>
      </c>
    </row>
    <row r="29" spans="1:40" x14ac:dyDescent="0.2">
      <c r="A29">
        <f t="shared" si="21"/>
        <v>49</v>
      </c>
      <c r="B29">
        <f>VLOOKUP(A29,Table21[#All],2,FALSE)</f>
        <v>3.5800308119999999E-3</v>
      </c>
      <c r="C29">
        <f t="shared" si="22"/>
        <v>0.1</v>
      </c>
      <c r="D29">
        <f t="shared" si="23"/>
        <v>0.1</v>
      </c>
      <c r="E29">
        <f t="shared" si="0"/>
        <v>2.8998249577200002E-3</v>
      </c>
      <c r="F29">
        <f t="shared" si="1"/>
        <v>0.99710017504227999</v>
      </c>
      <c r="G29">
        <f t="shared" si="2"/>
        <v>0.15844051313756377</v>
      </c>
      <c r="H29">
        <f t="shared" si="3"/>
        <v>8.8699387998465634E-2</v>
      </c>
      <c r="J29">
        <f t="shared" si="24"/>
        <v>49</v>
      </c>
      <c r="K29">
        <f t="shared" si="4"/>
        <v>2.8998249577200002E-3</v>
      </c>
      <c r="L29">
        <f>0</f>
        <v>0</v>
      </c>
      <c r="M29">
        <f t="shared" si="5"/>
        <v>0.99710017504227999</v>
      </c>
      <c r="N29">
        <f t="shared" si="25"/>
        <v>0.99149269251403482</v>
      </c>
      <c r="P29">
        <v>5</v>
      </c>
      <c r="Q29">
        <f t="shared" si="6"/>
        <v>0</v>
      </c>
      <c r="R29">
        <f t="shared" si="26"/>
        <v>300</v>
      </c>
      <c r="S29">
        <f>VLOOKUP(J29,Table1[#All],3,FALSE)</f>
        <v>774074.07409999997</v>
      </c>
      <c r="T29">
        <f t="shared" si="7"/>
        <v>0</v>
      </c>
      <c r="U29">
        <v>0</v>
      </c>
      <c r="V29">
        <f t="shared" si="8"/>
        <v>232019.58026747426</v>
      </c>
      <c r="X29">
        <v>5</v>
      </c>
      <c r="Y29">
        <f t="shared" si="9"/>
        <v>232019.58026747426</v>
      </c>
      <c r="Z29">
        <f t="shared" si="10"/>
        <v>7718.2939478080079</v>
      </c>
      <c r="AB29">
        <v>5</v>
      </c>
      <c r="AC29">
        <f t="shared" si="11"/>
        <v>0</v>
      </c>
      <c r="AD29">
        <f t="shared" si="12"/>
        <v>-300</v>
      </c>
      <c r="AE29">
        <f t="shared" si="13"/>
        <v>-2244.6793191991806</v>
      </c>
      <c r="AF29">
        <f>0</f>
        <v>0</v>
      </c>
      <c r="AG29">
        <f t="shared" si="14"/>
        <v>-18.179099999999998</v>
      </c>
      <c r="AH29">
        <f t="shared" si="15"/>
        <v>-7718.2939478080079</v>
      </c>
      <c r="AI29">
        <f t="shared" si="16"/>
        <v>-10281.152367007187</v>
      </c>
      <c r="AJ29">
        <f t="shared" si="17"/>
        <v>-231346.76409793491</v>
      </c>
      <c r="AK29">
        <f t="shared" si="18"/>
        <v>-241627.9164649421</v>
      </c>
      <c r="AL29">
        <f t="shared" si="19"/>
        <v>0.74515741647077072</v>
      </c>
      <c r="AM29">
        <f t="shared" si="20"/>
        <v>-178519.08617245717</v>
      </c>
      <c r="AN29">
        <f>0</f>
        <v>0</v>
      </c>
    </row>
    <row r="30" spans="1:40" x14ac:dyDescent="0.2">
      <c r="A30">
        <f t="shared" si="21"/>
        <v>50</v>
      </c>
      <c r="B30">
        <f>VLOOKUP(A30,Table21[#All],2,FALSE)</f>
        <v>4.0040822190000004E-3</v>
      </c>
      <c r="C30">
        <f t="shared" si="22"/>
        <v>0.1</v>
      </c>
      <c r="D30">
        <f t="shared" si="23"/>
        <v>0.1</v>
      </c>
      <c r="E30">
        <f t="shared" si="0"/>
        <v>3.2433065973900008E-3</v>
      </c>
      <c r="F30">
        <f t="shared" si="1"/>
        <v>0.99675669340260997</v>
      </c>
      <c r="G30">
        <f t="shared" si="2"/>
        <v>0.16562198271346029</v>
      </c>
      <c r="H30">
        <f t="shared" si="3"/>
        <v>9.0346641410040354E-2</v>
      </c>
      <c r="J30">
        <f t="shared" si="24"/>
        <v>50</v>
      </c>
      <c r="K30">
        <f t="shared" si="4"/>
        <v>3.2433065973900008E-3</v>
      </c>
      <c r="L30">
        <f>0</f>
        <v>0</v>
      </c>
      <c r="M30">
        <f t="shared" si="5"/>
        <v>0.99675669340260997</v>
      </c>
      <c r="N30">
        <f t="shared" si="25"/>
        <v>0.98861753725888557</v>
      </c>
      <c r="P30">
        <v>6</v>
      </c>
      <c r="Q30">
        <f t="shared" si="6"/>
        <v>0</v>
      </c>
      <c r="R30">
        <f t="shared" si="26"/>
        <v>300</v>
      </c>
      <c r="S30">
        <f>VLOOKUP(J30,Table1[#All],3,FALSE)</f>
        <v>731319.55480000004</v>
      </c>
      <c r="T30">
        <f t="shared" si="7"/>
        <v>0</v>
      </c>
      <c r="U30">
        <v>0</v>
      </c>
      <c r="V30">
        <f t="shared" si="8"/>
        <v>236867.9569308522</v>
      </c>
      <c r="X30">
        <v>6</v>
      </c>
      <c r="Y30">
        <f t="shared" si="9"/>
        <v>236867.9569308522</v>
      </c>
      <c r="Z30">
        <f t="shared" si="10"/>
        <v>7289.4766126311688</v>
      </c>
      <c r="AB30">
        <v>6</v>
      </c>
      <c r="AC30">
        <f t="shared" si="11"/>
        <v>0</v>
      </c>
      <c r="AD30">
        <f t="shared" si="12"/>
        <v>-300</v>
      </c>
      <c r="AE30">
        <f t="shared" si="13"/>
        <v>-2371.8935368831585</v>
      </c>
      <c r="AF30">
        <f>0</f>
        <v>0</v>
      </c>
      <c r="AG30">
        <f t="shared" si="14"/>
        <v>-18.179099999999998</v>
      </c>
      <c r="AH30">
        <f t="shared" si="15"/>
        <v>-7289.4766126311688</v>
      </c>
      <c r="AI30">
        <f t="shared" si="16"/>
        <v>-9979.5492495143262</v>
      </c>
      <c r="AJ30">
        <f t="shared" si="17"/>
        <v>-236099.72152342807</v>
      </c>
      <c r="AK30">
        <f t="shared" si="18"/>
        <v>-246079.2707729424</v>
      </c>
      <c r="AL30">
        <f t="shared" si="19"/>
        <v>0.70258299473859609</v>
      </c>
      <c r="AM30">
        <f t="shared" si="20"/>
        <v>-170923.18437348513</v>
      </c>
      <c r="AN30">
        <f>0</f>
        <v>0</v>
      </c>
    </row>
    <row r="31" spans="1:40" x14ac:dyDescent="0.2">
      <c r="A31">
        <f t="shared" si="21"/>
        <v>51</v>
      </c>
      <c r="B31">
        <f>VLOOKUP(A31,Table21[#All],2,FALSE)</f>
        <v>4.4427371439999998E-3</v>
      </c>
      <c r="C31">
        <f t="shared" si="22"/>
        <v>0.1</v>
      </c>
      <c r="D31">
        <f t="shared" si="23"/>
        <v>0.1</v>
      </c>
      <c r="E31">
        <f t="shared" si="0"/>
        <v>3.5986170866400004E-3</v>
      </c>
      <c r="F31">
        <f t="shared" si="1"/>
        <v>0.99640138291336</v>
      </c>
      <c r="G31">
        <f t="shared" si="2"/>
        <v>0.17297588523232121</v>
      </c>
      <c r="H31">
        <f t="shared" si="3"/>
        <v>9.1989666978838494E-2</v>
      </c>
      <c r="J31">
        <f t="shared" si="24"/>
        <v>51</v>
      </c>
      <c r="K31">
        <f t="shared" si="4"/>
        <v>3.5986170866400004E-3</v>
      </c>
      <c r="L31">
        <f>0</f>
        <v>0</v>
      </c>
      <c r="M31">
        <f t="shared" si="5"/>
        <v>0.99640138291336</v>
      </c>
      <c r="N31">
        <f t="shared" si="25"/>
        <v>0.98541114747799829</v>
      </c>
      <c r="P31">
        <v>7</v>
      </c>
      <c r="Q31">
        <f t="shared" si="6"/>
        <v>0</v>
      </c>
      <c r="R31">
        <f t="shared" si="26"/>
        <v>300</v>
      </c>
      <c r="S31">
        <f>VLOOKUP(J31,Table1[#All],3,FALSE)</f>
        <v>724381.62540000002</v>
      </c>
      <c r="T31">
        <f t="shared" si="7"/>
        <v>0</v>
      </c>
      <c r="U31">
        <v>0</v>
      </c>
      <c r="V31">
        <f t="shared" si="8"/>
        <v>241949.42813571464</v>
      </c>
      <c r="X31">
        <v>7</v>
      </c>
      <c r="Y31">
        <f t="shared" si="9"/>
        <v>241949.42813571464</v>
      </c>
      <c r="Z31">
        <f t="shared" si="10"/>
        <v>7217.7485330558757</v>
      </c>
      <c r="AB31">
        <v>7</v>
      </c>
      <c r="AC31">
        <f t="shared" si="11"/>
        <v>0</v>
      </c>
      <c r="AD31">
        <f t="shared" si="12"/>
        <v>-300</v>
      </c>
      <c r="AE31">
        <f t="shared" si="13"/>
        <v>-2606.7720944124962</v>
      </c>
      <c r="AF31">
        <f>0</f>
        <v>0</v>
      </c>
      <c r="AG31">
        <f t="shared" si="14"/>
        <v>-18.179099999999998</v>
      </c>
      <c r="AH31">
        <f t="shared" si="15"/>
        <v>-7217.7485330558757</v>
      </c>
      <c r="AI31">
        <f t="shared" si="16"/>
        <v>-10142.699727468371</v>
      </c>
      <c r="AJ31">
        <f t="shared" si="17"/>
        <v>-241078.74478952269</v>
      </c>
      <c r="AK31">
        <f t="shared" si="18"/>
        <v>-251221.44451699106</v>
      </c>
      <c r="AL31">
        <f t="shared" si="19"/>
        <v>0.66244105417853916</v>
      </c>
      <c r="AM31">
        <f t="shared" si="20"/>
        <v>-163991.53047601852</v>
      </c>
      <c r="AN31">
        <f>0</f>
        <v>0</v>
      </c>
    </row>
    <row r="32" spans="1:40" x14ac:dyDescent="0.2">
      <c r="A32">
        <f t="shared" si="21"/>
        <v>52</v>
      </c>
      <c r="B32">
        <f>VLOOKUP(A32,Table21[#All],2,FALSE)</f>
        <v>4.8912929250000004E-3</v>
      </c>
      <c r="C32">
        <f t="shared" si="22"/>
        <v>0.1</v>
      </c>
      <c r="D32">
        <f t="shared" si="23"/>
        <v>0.1</v>
      </c>
      <c r="E32">
        <f t="shared" si="0"/>
        <v>3.9619472692500012E-3</v>
      </c>
      <c r="F32">
        <f t="shared" si="1"/>
        <v>0.99603805273074997</v>
      </c>
      <c r="G32">
        <f t="shared" si="2"/>
        <v>0.18050866944525654</v>
      </c>
      <c r="H32">
        <f t="shared" si="3"/>
        <v>9.3733579074309514E-2</v>
      </c>
      <c r="J32">
        <f t="shared" si="24"/>
        <v>52</v>
      </c>
      <c r="K32">
        <f t="shared" si="4"/>
        <v>3.9619472692500012E-3</v>
      </c>
      <c r="L32">
        <f>0</f>
        <v>0</v>
      </c>
      <c r="M32">
        <f t="shared" si="5"/>
        <v>0.99603805273074997</v>
      </c>
      <c r="N32">
        <f t="shared" si="25"/>
        <v>0.98186503008531845</v>
      </c>
      <c r="P32">
        <v>8</v>
      </c>
      <c r="Q32">
        <f t="shared" si="6"/>
        <v>0</v>
      </c>
      <c r="R32">
        <f t="shared" si="26"/>
        <v>300</v>
      </c>
      <c r="S32">
        <f>VLOOKUP(J32,Table1[#All],3,FALSE)</f>
        <v>769616.02670000005</v>
      </c>
      <c r="T32">
        <f t="shared" si="7"/>
        <v>0</v>
      </c>
      <c r="U32">
        <v>0</v>
      </c>
      <c r="V32">
        <f t="shared" si="8"/>
        <v>246554.64844739001</v>
      </c>
      <c r="X32">
        <v>8</v>
      </c>
      <c r="Y32">
        <f t="shared" si="9"/>
        <v>246554.64844739001</v>
      </c>
      <c r="Z32">
        <f t="shared" si="10"/>
        <v>7665.6684858464487</v>
      </c>
      <c r="AB32">
        <v>8</v>
      </c>
      <c r="AC32">
        <f t="shared" si="11"/>
        <v>0</v>
      </c>
      <c r="AD32">
        <f t="shared" si="12"/>
        <v>-300</v>
      </c>
      <c r="AE32">
        <f t="shared" si="13"/>
        <v>-3049.178115355101</v>
      </c>
      <c r="AF32">
        <f>0</f>
        <v>0</v>
      </c>
      <c r="AG32">
        <f t="shared" si="14"/>
        <v>-18.179099999999998</v>
      </c>
      <c r="AH32">
        <f t="shared" si="15"/>
        <v>-7665.6684858464487</v>
      </c>
      <c r="AI32">
        <f t="shared" si="16"/>
        <v>-11033.02570120155</v>
      </c>
      <c r="AJ32">
        <f t="shared" si="17"/>
        <v>-245577.81193125297</v>
      </c>
      <c r="AK32">
        <f t="shared" si="18"/>
        <v>-256610.83763245452</v>
      </c>
      <c r="AL32">
        <f t="shared" si="19"/>
        <v>0.62459261545953759</v>
      </c>
      <c r="AM32">
        <f t="shared" si="20"/>
        <v>-157370.61141130968</v>
      </c>
      <c r="AN32">
        <f>0</f>
        <v>0</v>
      </c>
    </row>
    <row r="33" spans="1:40" x14ac:dyDescent="0.2">
      <c r="A33">
        <f t="shared" si="21"/>
        <v>53</v>
      </c>
      <c r="B33">
        <f>VLOOKUP(A33,Table21[#All],2,FALSE)</f>
        <v>5.3450468990000003E-3</v>
      </c>
      <c r="C33">
        <f t="shared" si="22"/>
        <v>0.1</v>
      </c>
      <c r="D33">
        <f t="shared" si="23"/>
        <v>0.1</v>
      </c>
      <c r="E33">
        <f t="shared" si="0"/>
        <v>4.3294879881900002E-3</v>
      </c>
      <c r="F33">
        <f t="shared" si="1"/>
        <v>0.99567051201181</v>
      </c>
      <c r="G33">
        <f t="shared" si="2"/>
        <v>0.18823076638926553</v>
      </c>
      <c r="H33">
        <f t="shared" si="3"/>
        <v>9.5728190467352745E-2</v>
      </c>
      <c r="J33">
        <f t="shared" si="24"/>
        <v>53</v>
      </c>
      <c r="K33">
        <f t="shared" si="4"/>
        <v>4.3294879881900002E-3</v>
      </c>
      <c r="L33">
        <f>0</f>
        <v>0</v>
      </c>
      <c r="M33">
        <f t="shared" si="5"/>
        <v>0.99567051201181</v>
      </c>
      <c r="N33">
        <f t="shared" si="25"/>
        <v>0.97797493261059987</v>
      </c>
      <c r="P33">
        <v>9</v>
      </c>
      <c r="Q33">
        <f t="shared" si="6"/>
        <v>0</v>
      </c>
      <c r="R33">
        <f t="shared" si="26"/>
        <v>300</v>
      </c>
      <c r="S33">
        <f>VLOOKUP(J33,Table1[#All],3,FALSE)</f>
        <v>753130.59030000004</v>
      </c>
      <c r="T33">
        <f t="shared" si="7"/>
        <v>0</v>
      </c>
      <c r="U33">
        <v>0</v>
      </c>
      <c r="V33">
        <f t="shared" si="8"/>
        <v>251506.46655646496</v>
      </c>
      <c r="X33">
        <v>9</v>
      </c>
      <c r="Y33">
        <f t="shared" si="9"/>
        <v>251506.46655646496</v>
      </c>
      <c r="Z33">
        <f t="shared" si="10"/>
        <v>7498.6992045575771</v>
      </c>
      <c r="AB33">
        <v>9</v>
      </c>
      <c r="AC33">
        <f t="shared" si="11"/>
        <v>0</v>
      </c>
      <c r="AD33">
        <f t="shared" si="12"/>
        <v>-300</v>
      </c>
      <c r="AE33">
        <f t="shared" si="13"/>
        <v>-3260.6698442422944</v>
      </c>
      <c r="AF33">
        <f>0</f>
        <v>0</v>
      </c>
      <c r="AG33">
        <f t="shared" si="14"/>
        <v>-18.179099999999998</v>
      </c>
      <c r="AH33">
        <f t="shared" si="15"/>
        <v>-7498.6992045575771</v>
      </c>
      <c r="AI33">
        <f t="shared" si="16"/>
        <v>-11077.548148799871</v>
      </c>
      <c r="AJ33">
        <f t="shared" si="17"/>
        <v>-250417.57233055664</v>
      </c>
      <c r="AK33">
        <f t="shared" si="18"/>
        <v>-261495.1204793565</v>
      </c>
      <c r="AL33">
        <f t="shared" si="19"/>
        <v>0.58890663980714408</v>
      </c>
      <c r="AM33">
        <f t="shared" si="20"/>
        <v>-150604.43576442738</v>
      </c>
      <c r="AN33">
        <f>0</f>
        <v>0</v>
      </c>
    </row>
    <row r="34" spans="1:40" x14ac:dyDescent="0.2">
      <c r="A34">
        <f t="shared" si="21"/>
        <v>54</v>
      </c>
      <c r="B34">
        <f>VLOOKUP(A34,Table21[#All],2,FALSE)</f>
        <v>5.7992964030000003E-3</v>
      </c>
      <c r="C34">
        <f t="shared" si="22"/>
        <v>0.1</v>
      </c>
      <c r="D34">
        <f t="shared" si="23"/>
        <v>0.1</v>
      </c>
      <c r="E34">
        <f t="shared" si="0"/>
        <v>4.697430086430001E-3</v>
      </c>
      <c r="F34">
        <f t="shared" si="1"/>
        <v>0.99530256991357002</v>
      </c>
      <c r="G34">
        <f t="shared" si="2"/>
        <v>0.19615675647291766</v>
      </c>
      <c r="H34">
        <f t="shared" si="3"/>
        <v>9.8126988586960867E-2</v>
      </c>
      <c r="J34">
        <f t="shared" si="24"/>
        <v>54</v>
      </c>
      <c r="K34">
        <f t="shared" si="4"/>
        <v>4.697430086430001E-3</v>
      </c>
      <c r="L34">
        <f>0</f>
        <v>0</v>
      </c>
      <c r="M34">
        <f t="shared" si="5"/>
        <v>0.99530256991357002</v>
      </c>
      <c r="N34">
        <f t="shared" si="25"/>
        <v>0.97374080188711132</v>
      </c>
      <c r="P34">
        <v>10</v>
      </c>
      <c r="Q34">
        <f t="shared" si="6"/>
        <v>0</v>
      </c>
      <c r="R34">
        <f t="shared" si="26"/>
        <v>300</v>
      </c>
      <c r="S34">
        <f>VLOOKUP(J34,Table1[#All],3,FALSE)</f>
        <v>741710.29669999995</v>
      </c>
      <c r="T34">
        <f t="shared" si="7"/>
        <v>0</v>
      </c>
      <c r="U34">
        <v>0</v>
      </c>
      <c r="V34">
        <f t="shared" si="8"/>
        <v>256768.58337166492</v>
      </c>
      <c r="X34">
        <v>10</v>
      </c>
      <c r="Y34">
        <f t="shared" si="9"/>
        <v>256768.58337166492</v>
      </c>
      <c r="Z34">
        <f t="shared" si="10"/>
        <v>7382.2616443686647</v>
      </c>
      <c r="AB34">
        <v>10</v>
      </c>
      <c r="AC34">
        <f t="shared" si="11"/>
        <v>0</v>
      </c>
      <c r="AD34">
        <f t="shared" si="12"/>
        <v>-300</v>
      </c>
      <c r="AE34">
        <f t="shared" si="13"/>
        <v>-3484.1322631335024</v>
      </c>
      <c r="AF34">
        <f>0</f>
        <v>0</v>
      </c>
      <c r="AG34">
        <f t="shared" si="14"/>
        <v>-18.179099999999998</v>
      </c>
      <c r="AH34">
        <f t="shared" si="15"/>
        <v>-7382.2616443686647</v>
      </c>
      <c r="AI34">
        <f t="shared" si="16"/>
        <v>-11184.573007502167</v>
      </c>
      <c r="AJ34">
        <f t="shared" si="17"/>
        <v>-255562.43090288487</v>
      </c>
      <c r="AK34">
        <f t="shared" si="18"/>
        <v>-266747.00391038705</v>
      </c>
      <c r="AL34">
        <f t="shared" si="19"/>
        <v>0.55525957532139369</v>
      </c>
      <c r="AM34">
        <f t="shared" si="20"/>
        <v>-144224.477753949</v>
      </c>
      <c r="AN34">
        <f>0</f>
        <v>0</v>
      </c>
    </row>
    <row r="35" spans="1:40" x14ac:dyDescent="0.2">
      <c r="A35">
        <f t="shared" si="21"/>
        <v>55</v>
      </c>
      <c r="B35">
        <f>VLOOKUP(A35,Table21[#All],2,FALSE)</f>
        <v>6.2493387739999996E-3</v>
      </c>
      <c r="C35">
        <f t="shared" si="22"/>
        <v>0.1</v>
      </c>
      <c r="D35">
        <f t="shared" si="23"/>
        <v>0.1</v>
      </c>
      <c r="E35">
        <f t="shared" si="0"/>
        <v>5.0619644069399995E-3</v>
      </c>
      <c r="F35">
        <f t="shared" si="1"/>
        <v>0.99493803559306004</v>
      </c>
      <c r="G35">
        <f t="shared" si="2"/>
        <v>0.20430554838830084</v>
      </c>
      <c r="H35">
        <f t="shared" si="3"/>
        <v>0.10108472307280433</v>
      </c>
      <c r="J35">
        <f t="shared" si="24"/>
        <v>55</v>
      </c>
      <c r="K35">
        <f t="shared" si="4"/>
        <v>5.0619644069399995E-3</v>
      </c>
      <c r="L35">
        <f>0</f>
        <v>0</v>
      </c>
      <c r="M35">
        <f t="shared" si="5"/>
        <v>0.99493803559306004</v>
      </c>
      <c r="N35">
        <f t="shared" si="25"/>
        <v>0.96916672254794234</v>
      </c>
      <c r="P35">
        <v>11</v>
      </c>
      <c r="Q35">
        <f t="shared" si="6"/>
        <v>0</v>
      </c>
      <c r="R35">
        <f t="shared" si="26"/>
        <v>300</v>
      </c>
      <c r="S35">
        <f>VLOOKUP(J35,Table1[#All],3,FALSE)</f>
        <v>742647.0588</v>
      </c>
      <c r="T35">
        <f t="shared" si="7"/>
        <v>0</v>
      </c>
      <c r="U35">
        <v>0</v>
      </c>
      <c r="V35">
        <f t="shared" si="8"/>
        <v>262188.86980832461</v>
      </c>
      <c r="X35">
        <v>11</v>
      </c>
      <c r="Y35">
        <f t="shared" si="9"/>
        <v>262188.86980832461</v>
      </c>
      <c r="Z35">
        <f t="shared" si="10"/>
        <v>7388.8780582143581</v>
      </c>
      <c r="AB35">
        <v>11</v>
      </c>
      <c r="AC35">
        <f t="shared" si="11"/>
        <v>0</v>
      </c>
      <c r="AD35">
        <f t="shared" si="12"/>
        <v>-300</v>
      </c>
      <c r="AE35">
        <f t="shared" si="13"/>
        <v>-3759.2529785642769</v>
      </c>
      <c r="AF35">
        <f>0</f>
        <v>0</v>
      </c>
      <c r="AG35">
        <f t="shared" si="14"/>
        <v>-18.179099999999998</v>
      </c>
      <c r="AH35">
        <f t="shared" si="15"/>
        <v>-7388.8780582143581</v>
      </c>
      <c r="AI35">
        <f t="shared" si="16"/>
        <v>-11466.310136778635</v>
      </c>
      <c r="AJ35">
        <f t="shared" si="17"/>
        <v>-260861.67908145906</v>
      </c>
      <c r="AK35">
        <f t="shared" si="18"/>
        <v>-272327.98921823769</v>
      </c>
      <c r="AL35">
        <f t="shared" si="19"/>
        <v>0.52353492921570932</v>
      </c>
      <c r="AM35">
        <f t="shared" si="20"/>
        <v>-138177.21507710248</v>
      </c>
      <c r="AN35">
        <f>0</f>
        <v>0</v>
      </c>
    </row>
    <row r="36" spans="1:40" x14ac:dyDescent="0.2">
      <c r="A36">
        <f t="shared" si="21"/>
        <v>56</v>
      </c>
      <c r="B36">
        <f>VLOOKUP(A36,Table21[#All],2,FALSE)</f>
        <v>6.6904713489999998E-3</v>
      </c>
      <c r="C36">
        <f t="shared" si="22"/>
        <v>0.1</v>
      </c>
      <c r="D36">
        <f t="shared" si="23"/>
        <v>0.1</v>
      </c>
      <c r="E36">
        <f t="shared" si="0"/>
        <v>5.4192817926900002E-3</v>
      </c>
      <c r="F36">
        <f t="shared" si="1"/>
        <v>0.99458071820730998</v>
      </c>
      <c r="G36">
        <f t="shared" si="2"/>
        <v>0.21270057001178216</v>
      </c>
      <c r="H36">
        <f t="shared" si="3"/>
        <v>0.10476027228142304</v>
      </c>
      <c r="J36">
        <f t="shared" si="24"/>
        <v>56</v>
      </c>
      <c r="K36">
        <f t="shared" si="4"/>
        <v>5.4192817926900002E-3</v>
      </c>
      <c r="L36">
        <f>0</f>
        <v>0</v>
      </c>
      <c r="M36">
        <f t="shared" si="5"/>
        <v>0.99458071820730998</v>
      </c>
      <c r="N36">
        <f t="shared" si="25"/>
        <v>0.96426083509401406</v>
      </c>
      <c r="P36">
        <v>12</v>
      </c>
      <c r="Q36">
        <f t="shared" si="6"/>
        <v>0</v>
      </c>
      <c r="R36">
        <f t="shared" si="26"/>
        <v>300</v>
      </c>
      <c r="S36">
        <f>VLOOKUP(J36,Table1[#All],3,FALSE)</f>
        <v>728846.15379999997</v>
      </c>
      <c r="T36">
        <f t="shared" si="7"/>
        <v>0</v>
      </c>
      <c r="U36">
        <v>0</v>
      </c>
      <c r="V36">
        <f t="shared" si="8"/>
        <v>268012.19727093808</v>
      </c>
      <c r="X36">
        <v>12</v>
      </c>
      <c r="Y36">
        <f t="shared" si="9"/>
        <v>268012.19727093808</v>
      </c>
      <c r="Z36">
        <f t="shared" si="10"/>
        <v>7248.9633110903942</v>
      </c>
      <c r="AB36">
        <v>12</v>
      </c>
      <c r="AC36">
        <f t="shared" si="11"/>
        <v>0</v>
      </c>
      <c r="AD36">
        <f t="shared" si="12"/>
        <v>-300</v>
      </c>
      <c r="AE36">
        <f t="shared" si="13"/>
        <v>-3949.8226909604755</v>
      </c>
      <c r="AF36">
        <f>0</f>
        <v>0</v>
      </c>
      <c r="AG36">
        <f t="shared" si="14"/>
        <v>-18.179099999999998</v>
      </c>
      <c r="AH36">
        <f t="shared" si="15"/>
        <v>-7248.9633110903942</v>
      </c>
      <c r="AI36">
        <f t="shared" si="16"/>
        <v>-11516.96510205087</v>
      </c>
      <c r="AJ36">
        <f t="shared" si="17"/>
        <v>-266559.76365004882</v>
      </c>
      <c r="AK36">
        <f t="shared" si="18"/>
        <v>-278076.72875209968</v>
      </c>
      <c r="AL36">
        <f t="shared" si="19"/>
        <v>0.49362286449585413</v>
      </c>
      <c r="AM36">
        <f t="shared" si="20"/>
        <v>-132359.29380335225</v>
      </c>
      <c r="AN36">
        <f>0</f>
        <v>0</v>
      </c>
    </row>
    <row r="37" spans="1:40" x14ac:dyDescent="0.2">
      <c r="A37">
        <f t="shared" si="21"/>
        <v>57</v>
      </c>
      <c r="B37">
        <f>VLOOKUP(A37,Table21[#All],2,FALSE)</f>
        <v>7.117991465E-3</v>
      </c>
      <c r="C37">
        <f t="shared" si="22"/>
        <v>0.1</v>
      </c>
      <c r="D37">
        <f t="shared" si="23"/>
        <v>0.1</v>
      </c>
      <c r="E37">
        <f t="shared" si="0"/>
        <v>5.7655730866500009E-3</v>
      </c>
      <c r="F37">
        <f t="shared" si="1"/>
        <v>0.99423442691334996</v>
      </c>
      <c r="G37">
        <f t="shared" si="2"/>
        <v>0.2213699709129128</v>
      </c>
      <c r="H37">
        <f t="shared" si="3"/>
        <v>0.1093034973119542</v>
      </c>
      <c r="J37">
        <f t="shared" si="24"/>
        <v>57</v>
      </c>
      <c r="K37">
        <f t="shared" si="4"/>
        <v>5.7655730866500009E-3</v>
      </c>
      <c r="L37">
        <f>0</f>
        <v>0</v>
      </c>
      <c r="M37">
        <f t="shared" si="5"/>
        <v>0.99423442691334996</v>
      </c>
      <c r="N37">
        <f t="shared" si="25"/>
        <v>0.95903523390698497</v>
      </c>
      <c r="P37">
        <v>13</v>
      </c>
      <c r="Q37">
        <f t="shared" si="6"/>
        <v>0</v>
      </c>
      <c r="R37">
        <f t="shared" si="26"/>
        <v>300</v>
      </c>
      <c r="S37">
        <f>VLOOKUP(J37,Table1[#All],3,FALSE)</f>
        <v>799276.6727</v>
      </c>
      <c r="T37">
        <f t="shared" si="7"/>
        <v>0</v>
      </c>
      <c r="U37">
        <v>0</v>
      </c>
      <c r="V37">
        <f t="shared" si="8"/>
        <v>272953.51480867533</v>
      </c>
      <c r="X37">
        <v>13</v>
      </c>
      <c r="Y37">
        <f t="shared" si="9"/>
        <v>272953.51480867533</v>
      </c>
      <c r="Z37">
        <f t="shared" si="10"/>
        <v>7946.6838462709366</v>
      </c>
      <c r="AB37">
        <v>13</v>
      </c>
      <c r="AC37">
        <f t="shared" si="11"/>
        <v>0</v>
      </c>
      <c r="AD37">
        <f t="shared" si="12"/>
        <v>-300</v>
      </c>
      <c r="AE37">
        <f t="shared" si="13"/>
        <v>-4608.2880729062817</v>
      </c>
      <c r="AF37">
        <f>0</f>
        <v>0</v>
      </c>
      <c r="AG37">
        <f t="shared" si="14"/>
        <v>-18.179099999999998</v>
      </c>
      <c r="AH37">
        <f t="shared" si="15"/>
        <v>-7946.6838462709366</v>
      </c>
      <c r="AI37">
        <f t="shared" si="16"/>
        <v>-12873.151019177218</v>
      </c>
      <c r="AJ37">
        <f t="shared" si="17"/>
        <v>-271379.78136978787</v>
      </c>
      <c r="AK37">
        <f t="shared" si="18"/>
        <v>-284252.9323889651</v>
      </c>
      <c r="AL37">
        <f t="shared" si="19"/>
        <v>0.46541981968255058</v>
      </c>
      <c r="AM37">
        <f t="shared" si="20"/>
        <v>-126877.43498508247</v>
      </c>
      <c r="AN37">
        <f>0</f>
        <v>0</v>
      </c>
    </row>
    <row r="38" spans="1:40" x14ac:dyDescent="0.2">
      <c r="A38">
        <f t="shared" si="21"/>
        <v>58</v>
      </c>
      <c r="B38">
        <f>VLOOKUP(A38,Table21[#All],2,FALSE)</f>
        <v>7.5271964599999998E-3</v>
      </c>
      <c r="C38">
        <f t="shared" si="22"/>
        <v>0.1</v>
      </c>
      <c r="D38">
        <f t="shared" si="23"/>
        <v>0.1</v>
      </c>
      <c r="E38">
        <f t="shared" si="0"/>
        <v>6.0970291325999999E-3</v>
      </c>
      <c r="F38">
        <f t="shared" si="1"/>
        <v>0.99390297086739998</v>
      </c>
      <c r="G38">
        <f t="shared" si="2"/>
        <v>0.23034683546884677</v>
      </c>
      <c r="H38">
        <f t="shared" si="3"/>
        <v>0.11485621392389087</v>
      </c>
      <c r="J38">
        <f t="shared" si="24"/>
        <v>58</v>
      </c>
      <c r="K38">
        <f t="shared" si="4"/>
        <v>6.0970291325999999E-3</v>
      </c>
      <c r="L38">
        <f>0</f>
        <v>0</v>
      </c>
      <c r="M38">
        <f t="shared" si="5"/>
        <v>0.99390297086739998</v>
      </c>
      <c r="N38">
        <f t="shared" si="25"/>
        <v>0.95350584617322176</v>
      </c>
      <c r="P38">
        <v>14</v>
      </c>
      <c r="Q38">
        <f t="shared" si="6"/>
        <v>0</v>
      </c>
      <c r="R38">
        <f t="shared" si="26"/>
        <v>300</v>
      </c>
      <c r="S38">
        <f>VLOOKUP(J38,Table1[#All],3,FALSE)</f>
        <v>822898.03220000002</v>
      </c>
      <c r="T38">
        <f t="shared" si="7"/>
        <v>0</v>
      </c>
      <c r="U38">
        <v>0</v>
      </c>
      <c r="V38">
        <f t="shared" si="8"/>
        <v>277672.43550942984</v>
      </c>
      <c r="X38">
        <v>14</v>
      </c>
      <c r="Y38">
        <f t="shared" si="9"/>
        <v>277672.43550942984</v>
      </c>
      <c r="Z38">
        <f t="shared" si="10"/>
        <v>8178.8079892451733</v>
      </c>
      <c r="AB38">
        <v>14</v>
      </c>
      <c r="AC38">
        <f t="shared" si="11"/>
        <v>0</v>
      </c>
      <c r="AD38">
        <f t="shared" si="12"/>
        <v>-300</v>
      </c>
      <c r="AE38">
        <f t="shared" si="13"/>
        <v>-5017.233275482613</v>
      </c>
      <c r="AF38">
        <f>0</f>
        <v>0</v>
      </c>
      <c r="AG38">
        <f t="shared" si="14"/>
        <v>-18.179099999999998</v>
      </c>
      <c r="AH38">
        <f t="shared" si="15"/>
        <v>-8178.8079892451733</v>
      </c>
      <c r="AI38">
        <f t="shared" si="16"/>
        <v>-13514.220364727786</v>
      </c>
      <c r="AJ38">
        <f t="shared" si="17"/>
        <v>-275979.45858080883</v>
      </c>
      <c r="AK38">
        <f t="shared" si="18"/>
        <v>-289493.67894553661</v>
      </c>
      <c r="AL38">
        <f t="shared" si="19"/>
        <v>0.43882815026117428</v>
      </c>
      <c r="AM38">
        <f t="shared" si="20"/>
        <v>-121131.45246253874</v>
      </c>
      <c r="AN38">
        <f>0</f>
        <v>0</v>
      </c>
    </row>
    <row r="39" spans="1:40" x14ac:dyDescent="0.2">
      <c r="A39">
        <f t="shared" si="21"/>
        <v>59</v>
      </c>
      <c r="B39">
        <f>VLOOKUP(A39,Table21[#All],2,FALSE)</f>
        <v>7.9133836699999995E-3</v>
      </c>
      <c r="C39">
        <f t="shared" si="22"/>
        <v>0.1</v>
      </c>
      <c r="D39">
        <f t="shared" si="23"/>
        <v>0.1</v>
      </c>
      <c r="E39">
        <f t="shared" si="0"/>
        <v>6.4098407726999995E-3</v>
      </c>
      <c r="F39">
        <f t="shared" si="1"/>
        <v>0.99359015922729998</v>
      </c>
      <c r="G39">
        <f t="shared" si="2"/>
        <v>0.23966940486883062</v>
      </c>
      <c r="H39">
        <f t="shared" si="3"/>
        <v>0.12155252138398032</v>
      </c>
      <c r="J39">
        <f t="shared" si="24"/>
        <v>59</v>
      </c>
      <c r="K39">
        <f t="shared" si="4"/>
        <v>6.4098407726999995E-3</v>
      </c>
      <c r="L39">
        <f>0</f>
        <v>0</v>
      </c>
      <c r="M39">
        <f t="shared" si="5"/>
        <v>0.99359015922729998</v>
      </c>
      <c r="N39">
        <f t="shared" si="25"/>
        <v>0.94769229325099924</v>
      </c>
      <c r="P39">
        <v>15</v>
      </c>
      <c r="Q39">
        <f t="shared" si="6"/>
        <v>0</v>
      </c>
      <c r="R39">
        <f t="shared" si="26"/>
        <v>300</v>
      </c>
      <c r="S39">
        <f>VLOOKUP(J39,Table1[#All],3,FALSE)</f>
        <v>780656.304</v>
      </c>
      <c r="T39">
        <f t="shared" si="7"/>
        <v>0</v>
      </c>
      <c r="U39">
        <v>0</v>
      </c>
      <c r="V39">
        <f t="shared" si="8"/>
        <v>283235.46036534291</v>
      </c>
      <c r="X39">
        <v>15</v>
      </c>
      <c r="Y39">
        <f t="shared" si="9"/>
        <v>283235.46036534291</v>
      </c>
      <c r="Z39">
        <f t="shared" si="10"/>
        <v>7756.5242139315551</v>
      </c>
      <c r="AB39">
        <v>15</v>
      </c>
      <c r="AC39">
        <f t="shared" si="11"/>
        <v>0</v>
      </c>
      <c r="AD39">
        <f t="shared" si="12"/>
        <v>-300</v>
      </c>
      <c r="AE39">
        <f t="shared" si="13"/>
        <v>-5003.882606844486</v>
      </c>
      <c r="AF39">
        <f>0</f>
        <v>0</v>
      </c>
      <c r="AG39">
        <f t="shared" si="14"/>
        <v>-18.179099999999998</v>
      </c>
      <c r="AH39">
        <f t="shared" si="15"/>
        <v>-7756.5242139315551</v>
      </c>
      <c r="AI39">
        <f t="shared" si="16"/>
        <v>-13078.58592077604</v>
      </c>
      <c r="AJ39">
        <f t="shared" si="17"/>
        <v>-281419.96616321866</v>
      </c>
      <c r="AK39">
        <f t="shared" si="18"/>
        <v>-294498.55208399473</v>
      </c>
      <c r="AL39">
        <f t="shared" si="19"/>
        <v>0.41375579061714701</v>
      </c>
      <c r="AM39">
        <f t="shared" si="20"/>
        <v>-115476.76201250555</v>
      </c>
      <c r="AN39">
        <f>0</f>
        <v>0</v>
      </c>
    </row>
    <row r="40" spans="1:40" x14ac:dyDescent="0.2">
      <c r="A40">
        <f t="shared" si="21"/>
        <v>60</v>
      </c>
      <c r="B40">
        <f>VLOOKUP(A40,Table21[#All],2,FALSE)</f>
        <v>8.2718504339999999E-3</v>
      </c>
      <c r="C40">
        <f t="shared" si="22"/>
        <v>0.1</v>
      </c>
      <c r="D40">
        <f t="shared" si="23"/>
        <v>0.1</v>
      </c>
      <c r="E40">
        <f t="shared" si="0"/>
        <v>6.7001988515400001E-3</v>
      </c>
      <c r="F40">
        <f t="shared" si="1"/>
        <v>0.99329980114845995</v>
      </c>
      <c r="G40">
        <f t="shared" si="2"/>
        <v>0.24938130548279996</v>
      </c>
      <c r="H40">
        <f t="shared" si="3"/>
        <v>0.13100437879981924</v>
      </c>
      <c r="J40">
        <f t="shared" si="24"/>
        <v>60</v>
      </c>
      <c r="K40">
        <f t="shared" si="4"/>
        <v>6.7001988515400001E-3</v>
      </c>
      <c r="L40">
        <f>0</f>
        <v>0</v>
      </c>
      <c r="M40">
        <f t="shared" si="5"/>
        <v>0.99329980114845995</v>
      </c>
      <c r="N40">
        <f t="shared" si="25"/>
        <v>0.94161773654974545</v>
      </c>
      <c r="P40">
        <v>16</v>
      </c>
      <c r="Q40">
        <f t="shared" si="6"/>
        <v>0</v>
      </c>
      <c r="R40">
        <f t="shared" si="26"/>
        <v>300</v>
      </c>
      <c r="S40">
        <f>VLOOKUP(J40,Table1[#All],3,FALSE)</f>
        <v>829268.29269999999</v>
      </c>
      <c r="T40">
        <f t="shared" si="7"/>
        <v>0</v>
      </c>
      <c r="U40">
        <v>0</v>
      </c>
      <c r="V40">
        <f t="shared" si="8"/>
        <v>288218.23719419964</v>
      </c>
      <c r="X40">
        <v>16</v>
      </c>
      <c r="Y40">
        <f t="shared" si="9"/>
        <v>288218.23719419964</v>
      </c>
      <c r="Z40">
        <f t="shared" si="10"/>
        <v>8237.1203023763283</v>
      </c>
      <c r="AB40">
        <v>16</v>
      </c>
      <c r="AC40">
        <f t="shared" si="11"/>
        <v>0</v>
      </c>
      <c r="AD40">
        <f t="shared" si="12"/>
        <v>-300</v>
      </c>
      <c r="AE40">
        <f t="shared" si="13"/>
        <v>-5556.2624623670763</v>
      </c>
      <c r="AF40">
        <f>0</f>
        <v>0</v>
      </c>
      <c r="AG40">
        <f t="shared" si="14"/>
        <v>-18.179099999999998</v>
      </c>
      <c r="AH40">
        <f t="shared" si="15"/>
        <v>-8237.1203023763283</v>
      </c>
      <c r="AI40">
        <f t="shared" si="16"/>
        <v>-14111.561864743406</v>
      </c>
      <c r="AJ40">
        <f t="shared" si="17"/>
        <v>-286287.11769235815</v>
      </c>
      <c r="AK40">
        <f t="shared" si="18"/>
        <v>-300398.67955710157</v>
      </c>
      <c r="AL40">
        <f t="shared" si="19"/>
        <v>0.39011593528658578</v>
      </c>
      <c r="AM40">
        <f t="shared" si="20"/>
        <v>-110348.47617494798</v>
      </c>
      <c r="AN40">
        <f>0</f>
        <v>0</v>
      </c>
    </row>
    <row r="41" spans="1:40" x14ac:dyDescent="0.2">
      <c r="A41">
        <f t="shared" si="21"/>
        <v>61</v>
      </c>
      <c r="B41">
        <f>VLOOKUP(A41,Table21[#All],2,FALSE)</f>
        <v>8.6035763530000007E-3</v>
      </c>
      <c r="C41">
        <f t="shared" si="22"/>
        <v>0.1</v>
      </c>
      <c r="D41">
        <f t="shared" si="23"/>
        <v>0.1</v>
      </c>
      <c r="E41">
        <f t="shared" si="0"/>
        <v>6.968896845930001E-3</v>
      </c>
      <c r="F41">
        <f t="shared" si="1"/>
        <v>0.99303110315406995</v>
      </c>
      <c r="G41">
        <f t="shared" si="2"/>
        <v>0.2595317801347985</v>
      </c>
      <c r="H41">
        <f t="shared" si="3"/>
        <v>0.14157965404334361</v>
      </c>
      <c r="J41">
        <f t="shared" si="24"/>
        <v>61</v>
      </c>
      <c r="K41">
        <f t="shared" si="4"/>
        <v>6.968896845930001E-3</v>
      </c>
      <c r="L41">
        <f>0</f>
        <v>0</v>
      </c>
      <c r="M41">
        <f t="shared" si="5"/>
        <v>0.99303110315406995</v>
      </c>
      <c r="N41">
        <f t="shared" si="25"/>
        <v>0.93530871047272512</v>
      </c>
      <c r="P41">
        <v>17</v>
      </c>
      <c r="Q41">
        <f t="shared" si="6"/>
        <v>0</v>
      </c>
      <c r="R41">
        <f t="shared" si="26"/>
        <v>300</v>
      </c>
      <c r="S41">
        <f>VLOOKUP(J41,Table1[#All],3,FALSE)</f>
        <v>780036.96860000002</v>
      </c>
      <c r="T41">
        <f t="shared" si="7"/>
        <v>0</v>
      </c>
      <c r="U41">
        <v>0</v>
      </c>
      <c r="V41">
        <f t="shared" si="8"/>
        <v>294233.69600502879</v>
      </c>
      <c r="X41">
        <v>17</v>
      </c>
      <c r="Y41">
        <f t="shared" si="9"/>
        <v>294233.69600502879</v>
      </c>
      <c r="Z41">
        <f t="shared" si="10"/>
        <v>7746.0097142981458</v>
      </c>
      <c r="AB41">
        <v>17</v>
      </c>
      <c r="AC41">
        <f t="shared" si="11"/>
        <v>0</v>
      </c>
      <c r="AD41">
        <f t="shared" si="12"/>
        <v>-300</v>
      </c>
      <c r="AE41">
        <f t="shared" si="13"/>
        <v>-5435.9971701853392</v>
      </c>
      <c r="AF41">
        <f>0</f>
        <v>0</v>
      </c>
      <c r="AG41">
        <f t="shared" si="14"/>
        <v>-18.179099999999998</v>
      </c>
      <c r="AH41">
        <f t="shared" si="15"/>
        <v>-7746.0097142981458</v>
      </c>
      <c r="AI41">
        <f t="shared" si="16"/>
        <v>-13500.185984483485</v>
      </c>
      <c r="AJ41">
        <f t="shared" si="17"/>
        <v>-292183.21172897302</v>
      </c>
      <c r="AK41">
        <f t="shared" si="18"/>
        <v>-305683.39771345654</v>
      </c>
      <c r="AL41">
        <f t="shared" si="19"/>
        <v>0.36782673841863195</v>
      </c>
      <c r="AM41">
        <f t="shared" si="20"/>
        <v>-105164.73385451298</v>
      </c>
      <c r="AN41">
        <f>0</f>
        <v>0</v>
      </c>
    </row>
    <row r="42" spans="1:40" x14ac:dyDescent="0.2">
      <c r="A42">
        <f t="shared" si="21"/>
        <v>62</v>
      </c>
      <c r="B42">
        <f>VLOOKUP(A42,Table21[#All],2,FALSE)</f>
        <v>8.932270095E-3</v>
      </c>
      <c r="C42">
        <f t="shared" si="22"/>
        <v>0.1</v>
      </c>
      <c r="D42">
        <f t="shared" si="23"/>
        <v>0.1</v>
      </c>
      <c r="E42">
        <f t="shared" si="0"/>
        <v>7.2351387769500003E-3</v>
      </c>
      <c r="F42">
        <f t="shared" si="1"/>
        <v>0.99276486122304997</v>
      </c>
      <c r="G42">
        <f t="shared" si="2"/>
        <v>0.27017253509739403</v>
      </c>
      <c r="H42">
        <f t="shared" si="3"/>
        <v>0.15341093029382188</v>
      </c>
      <c r="J42">
        <f t="shared" si="24"/>
        <v>62</v>
      </c>
      <c r="K42">
        <f t="shared" si="4"/>
        <v>7.2351387769500003E-3</v>
      </c>
      <c r="L42">
        <f>0</f>
        <v>0</v>
      </c>
      <c r="M42">
        <f t="shared" si="5"/>
        <v>0.99276486122304997</v>
      </c>
      <c r="N42">
        <f t="shared" si="25"/>
        <v>0.92879064055034088</v>
      </c>
      <c r="P42">
        <v>18</v>
      </c>
      <c r="Q42">
        <f t="shared" si="6"/>
        <v>0</v>
      </c>
      <c r="R42">
        <f t="shared" si="26"/>
        <v>300</v>
      </c>
      <c r="S42">
        <f>VLOOKUP(J42,Table1[#All],3,FALSE)</f>
        <v>715547.70319999999</v>
      </c>
      <c r="T42">
        <f t="shared" si="7"/>
        <v>0</v>
      </c>
      <c r="U42">
        <v>0</v>
      </c>
      <c r="V42">
        <f t="shared" si="8"/>
        <v>301646.85997858376</v>
      </c>
      <c r="X42">
        <v>18</v>
      </c>
      <c r="Y42">
        <f t="shared" si="9"/>
        <v>301646.85997858376</v>
      </c>
      <c r="Z42">
        <f t="shared" si="10"/>
        <v>7103.7061626582008</v>
      </c>
      <c r="AB42">
        <v>18</v>
      </c>
      <c r="AC42">
        <f t="shared" si="11"/>
        <v>0</v>
      </c>
      <c r="AD42">
        <f t="shared" si="12"/>
        <v>-300</v>
      </c>
      <c r="AE42">
        <f t="shared" si="13"/>
        <v>-5177.0869341798298</v>
      </c>
      <c r="AF42">
        <f>0</f>
        <v>0</v>
      </c>
      <c r="AG42">
        <f t="shared" si="14"/>
        <v>-18.179099999999998</v>
      </c>
      <c r="AH42">
        <f t="shared" si="15"/>
        <v>-7103.7061626582008</v>
      </c>
      <c r="AI42">
        <f t="shared" si="16"/>
        <v>-12598.972196838031</v>
      </c>
      <c r="AJ42">
        <f t="shared" si="17"/>
        <v>-299464.40308500751</v>
      </c>
      <c r="AK42">
        <f t="shared" si="18"/>
        <v>-312063.37528184551</v>
      </c>
      <c r="AL42">
        <f t="shared" si="19"/>
        <v>0.34681103040894135</v>
      </c>
      <c r="AM42">
        <f t="shared" si="20"/>
        <v>-100520.24391274818</v>
      </c>
      <c r="AN42">
        <f>0</f>
        <v>0</v>
      </c>
    </row>
    <row r="43" spans="1:40" x14ac:dyDescent="0.2">
      <c r="A43">
        <f t="shared" si="21"/>
        <v>63</v>
      </c>
      <c r="B43">
        <f>VLOOKUP(A43,Table21[#All],2,FALSE)</f>
        <v>9.2873225940000009E-3</v>
      </c>
      <c r="C43">
        <f t="shared" si="22"/>
        <v>0.1</v>
      </c>
      <c r="D43">
        <f t="shared" si="23"/>
        <v>0.1</v>
      </c>
      <c r="E43">
        <f t="shared" si="0"/>
        <v>7.5227313011400013E-3</v>
      </c>
      <c r="F43">
        <f t="shared" si="1"/>
        <v>0.99247726869885999</v>
      </c>
      <c r="G43">
        <f t="shared" si="2"/>
        <v>0.28134460871796202</v>
      </c>
      <c r="H43">
        <f t="shared" si="3"/>
        <v>0.16656852024786611</v>
      </c>
      <c r="J43">
        <f t="shared" si="24"/>
        <v>63</v>
      </c>
      <c r="K43">
        <f t="shared" si="4"/>
        <v>7.5227313011400013E-3</v>
      </c>
      <c r="L43">
        <f>0</f>
        <v>0</v>
      </c>
      <c r="M43">
        <f t="shared" si="5"/>
        <v>0.99247726869885999</v>
      </c>
      <c r="N43">
        <f t="shared" si="25"/>
        <v>0.92207071137122687</v>
      </c>
      <c r="P43">
        <v>19</v>
      </c>
      <c r="Q43">
        <f t="shared" si="6"/>
        <v>0</v>
      </c>
      <c r="R43">
        <f t="shared" si="26"/>
        <v>300</v>
      </c>
      <c r="S43">
        <f>VLOOKUP(J43,Table1[#All],3,FALSE)</f>
        <v>783783.78379999998</v>
      </c>
      <c r="T43">
        <f t="shared" si="7"/>
        <v>0</v>
      </c>
      <c r="U43">
        <v>0</v>
      </c>
      <c r="V43">
        <f t="shared" si="8"/>
        <v>308251.39739482716</v>
      </c>
      <c r="X43">
        <v>19</v>
      </c>
      <c r="Y43">
        <f t="shared" si="9"/>
        <v>308251.39739482716</v>
      </c>
      <c r="Z43">
        <f t="shared" si="10"/>
        <v>7778.8758899628174</v>
      </c>
      <c r="AB43">
        <v>19</v>
      </c>
      <c r="AC43">
        <f t="shared" si="11"/>
        <v>0</v>
      </c>
      <c r="AD43">
        <f t="shared" si="12"/>
        <v>-300</v>
      </c>
      <c r="AE43">
        <f t="shared" si="13"/>
        <v>-5896.1948037182074</v>
      </c>
      <c r="AF43">
        <f>0</f>
        <v>0</v>
      </c>
      <c r="AG43">
        <f t="shared" si="14"/>
        <v>-18.179099999999998</v>
      </c>
      <c r="AH43">
        <f t="shared" si="15"/>
        <v>-7778.8758899628174</v>
      </c>
      <c r="AI43">
        <f t="shared" si="16"/>
        <v>-13993.249793681025</v>
      </c>
      <c r="AJ43">
        <f t="shared" si="17"/>
        <v>-305932.50495902495</v>
      </c>
      <c r="AK43">
        <f t="shared" si="18"/>
        <v>-319925.75475270598</v>
      </c>
      <c r="AL43">
        <f t="shared" si="19"/>
        <v>0.32699605072326376</v>
      </c>
      <c r="AM43">
        <f t="shared" si="20"/>
        <v>-96461.928010946925</v>
      </c>
      <c r="AN43">
        <f>0</f>
        <v>0</v>
      </c>
    </row>
    <row r="44" spans="1:40" x14ac:dyDescent="0.2">
      <c r="A44">
        <f t="shared" si="21"/>
        <v>64</v>
      </c>
      <c r="B44">
        <f>VLOOKUP(A44,Table21[#All],2,FALSE)</f>
        <v>9.6981247830000006E-3</v>
      </c>
      <c r="C44">
        <f t="shared" si="22"/>
        <v>0.1</v>
      </c>
      <c r="D44">
        <f t="shared" si="23"/>
        <v>0.1</v>
      </c>
      <c r="E44">
        <f t="shared" si="0"/>
        <v>7.8554810742300016E-3</v>
      </c>
      <c r="F44">
        <f t="shared" si="1"/>
        <v>0.99214451892577005</v>
      </c>
      <c r="G44">
        <f t="shared" si="2"/>
        <v>0.2930752429752233</v>
      </c>
      <c r="H44">
        <f t="shared" si="3"/>
        <v>0.18119681323136244</v>
      </c>
      <c r="J44">
        <f t="shared" si="24"/>
        <v>64</v>
      </c>
      <c r="K44">
        <f t="shared" si="4"/>
        <v>7.8554810742300016E-3</v>
      </c>
      <c r="L44">
        <f>0</f>
        <v>0</v>
      </c>
      <c r="M44">
        <f t="shared" si="5"/>
        <v>0.99214451892577005</v>
      </c>
      <c r="N44">
        <f t="shared" si="25"/>
        <v>0.91513422116893006</v>
      </c>
      <c r="P44">
        <v>20</v>
      </c>
      <c r="Q44">
        <f t="shared" si="6"/>
        <v>0</v>
      </c>
      <c r="R44">
        <f t="shared" si="26"/>
        <v>300</v>
      </c>
      <c r="S44">
        <f>VLOOKUP(J44,Table1[#All],3,FALSE)</f>
        <v>793851.71790000005</v>
      </c>
      <c r="T44">
        <f t="shared" si="7"/>
        <v>0</v>
      </c>
      <c r="U44">
        <v>0</v>
      </c>
      <c r="V44">
        <f t="shared" si="8"/>
        <v>314974.35989251349</v>
      </c>
      <c r="X44">
        <v>20</v>
      </c>
      <c r="Y44">
        <f t="shared" si="9"/>
        <v>314974.35989251349</v>
      </c>
      <c r="Z44">
        <f t="shared" si="10"/>
        <v>7876.1563075429167</v>
      </c>
      <c r="AB44">
        <v>20</v>
      </c>
      <c r="AC44">
        <f t="shared" si="11"/>
        <v>0</v>
      </c>
      <c r="AD44">
        <f t="shared" si="12"/>
        <v>-300</v>
      </c>
      <c r="AE44">
        <f t="shared" si="13"/>
        <v>-6236.0871457084249</v>
      </c>
      <c r="AF44">
        <f>0</f>
        <v>0</v>
      </c>
      <c r="AG44">
        <f t="shared" si="14"/>
        <v>-18.179099999999998</v>
      </c>
      <c r="AH44">
        <f t="shared" si="15"/>
        <v>-7876.1563075429167</v>
      </c>
      <c r="AI44">
        <f t="shared" si="16"/>
        <v>-14430.422553251341</v>
      </c>
      <c r="AJ44">
        <f t="shared" si="17"/>
        <v>-312500.08476951014</v>
      </c>
      <c r="AK44">
        <f t="shared" si="18"/>
        <v>-326930.50732276146</v>
      </c>
      <c r="AL44">
        <f t="shared" si="19"/>
        <v>0.30831319598609441</v>
      </c>
      <c r="AM44">
        <f t="shared" si="20"/>
        <v>-92242.774553668583</v>
      </c>
      <c r="AN44">
        <f>0</f>
        <v>0</v>
      </c>
    </row>
    <row r="45" spans="1:40" x14ac:dyDescent="0.2">
      <c r="A45">
        <f t="shared" si="21"/>
        <v>65</v>
      </c>
      <c r="B45">
        <f>VLOOKUP(A45,Table21[#All],2,FALSE)</f>
        <v>1.01940676E-2</v>
      </c>
      <c r="C45">
        <f t="shared" si="22"/>
        <v>0.1</v>
      </c>
      <c r="D45">
        <f t="shared" si="23"/>
        <v>0.1</v>
      </c>
      <c r="E45">
        <f t="shared" si="0"/>
        <v>8.2571947560000011E-3</v>
      </c>
      <c r="F45">
        <f t="shared" si="1"/>
        <v>0.99174280524400005</v>
      </c>
      <c r="G45">
        <f t="shared" si="2"/>
        <v>0.30537813455605162</v>
      </c>
      <c r="H45">
        <f t="shared" si="3"/>
        <v>0.19747704738832955</v>
      </c>
      <c r="J45">
        <f t="shared" si="24"/>
        <v>65</v>
      </c>
      <c r="K45">
        <f t="shared" si="4"/>
        <v>8.2571947560000011E-3</v>
      </c>
      <c r="L45">
        <f>0</f>
        <v>0</v>
      </c>
      <c r="M45">
        <f t="shared" si="5"/>
        <v>0.99174280524400005</v>
      </c>
      <c r="N45">
        <f t="shared" si="25"/>
        <v>0.90794540161415738</v>
      </c>
      <c r="P45">
        <v>21</v>
      </c>
      <c r="Q45">
        <f t="shared" si="6"/>
        <v>0</v>
      </c>
      <c r="R45">
        <f t="shared" si="26"/>
        <v>300</v>
      </c>
      <c r="S45">
        <f>VLOOKUP(J45,Table1[#All],3,FALSE)</f>
        <v>754545.45449999999</v>
      </c>
      <c r="T45">
        <f t="shared" si="7"/>
        <v>0</v>
      </c>
      <c r="U45">
        <v>0</v>
      </c>
      <c r="V45">
        <f t="shared" si="8"/>
        <v>322693.64734420477</v>
      </c>
      <c r="X45">
        <v>21</v>
      </c>
      <c r="Y45">
        <f t="shared" si="9"/>
        <v>322693.64734420477</v>
      </c>
      <c r="Z45">
        <f t="shared" si="10"/>
        <v>7483.1502572993904</v>
      </c>
      <c r="AB45">
        <v>21</v>
      </c>
      <c r="AC45">
        <f t="shared" si="11"/>
        <v>0</v>
      </c>
      <c r="AD45">
        <f t="shared" si="12"/>
        <v>-300</v>
      </c>
      <c r="AE45">
        <f t="shared" si="13"/>
        <v>-6230.4287700610375</v>
      </c>
      <c r="AF45">
        <f>0</f>
        <v>0</v>
      </c>
      <c r="AG45">
        <f t="shared" si="14"/>
        <v>-18.179099999999998</v>
      </c>
      <c r="AH45">
        <f t="shared" si="15"/>
        <v>-7483.1502572993904</v>
      </c>
      <c r="AI45">
        <f t="shared" si="16"/>
        <v>-14031.758127360428</v>
      </c>
      <c r="AJ45">
        <f t="shared" si="17"/>
        <v>-320029.10305155971</v>
      </c>
      <c r="AK45">
        <f t="shared" si="18"/>
        <v>-334060.86117892014</v>
      </c>
      <c r="AL45">
        <f t="shared" si="19"/>
        <v>0.29069778246223066</v>
      </c>
      <c r="AM45">
        <f t="shared" si="20"/>
        <v>-88171.260319056018</v>
      </c>
      <c r="AN45">
        <f>0</f>
        <v>0</v>
      </c>
    </row>
    <row r="46" spans="1:40" x14ac:dyDescent="0.2">
      <c r="A46">
        <f t="shared" si="21"/>
        <v>66</v>
      </c>
      <c r="B46">
        <f>VLOOKUP(A46,Table21[#All],2,FALSE)</f>
        <v>1.080454197E-2</v>
      </c>
      <c r="C46">
        <f t="shared" si="22"/>
        <v>0.1</v>
      </c>
      <c r="D46">
        <f t="shared" si="23"/>
        <v>0.1</v>
      </c>
      <c r="E46">
        <f t="shared" si="0"/>
        <v>8.7516789957000005E-3</v>
      </c>
      <c r="F46">
        <f t="shared" si="1"/>
        <v>0.99124832100430005</v>
      </c>
      <c r="G46">
        <f t="shared" si="2"/>
        <v>0.31825382241325229</v>
      </c>
      <c r="H46">
        <f t="shared" si="3"/>
        <v>0.2154474566147519</v>
      </c>
      <c r="J46">
        <f t="shared" si="24"/>
        <v>66</v>
      </c>
      <c r="K46">
        <f t="shared" si="4"/>
        <v>8.7516789957000005E-3</v>
      </c>
      <c r="L46">
        <f>0</f>
        <v>0</v>
      </c>
      <c r="M46">
        <f t="shared" si="5"/>
        <v>0.99124832100430005</v>
      </c>
      <c r="N46">
        <f t="shared" si="25"/>
        <v>0.90044831960521465</v>
      </c>
      <c r="P46">
        <v>22</v>
      </c>
      <c r="Q46">
        <f t="shared" si="6"/>
        <v>0</v>
      </c>
      <c r="R46">
        <f t="shared" si="26"/>
        <v>300</v>
      </c>
      <c r="S46">
        <f>VLOOKUP(J46,Table1[#All],3,FALSE)</f>
        <v>750957.85439999995</v>
      </c>
      <c r="T46">
        <f t="shared" si="7"/>
        <v>0</v>
      </c>
      <c r="U46">
        <v>0</v>
      </c>
      <c r="V46">
        <f t="shared" si="8"/>
        <v>330808.8690187055</v>
      </c>
      <c r="X46">
        <v>22</v>
      </c>
      <c r="Y46">
        <f t="shared" si="9"/>
        <v>330808.8690187055</v>
      </c>
      <c r="Z46">
        <f t="shared" si="10"/>
        <v>7443.8571231899159</v>
      </c>
      <c r="AB46">
        <v>22</v>
      </c>
      <c r="AC46">
        <f t="shared" si="11"/>
        <v>0</v>
      </c>
      <c r="AD46">
        <f t="shared" si="12"/>
        <v>-300</v>
      </c>
      <c r="AE46">
        <f t="shared" si="13"/>
        <v>-6572.1420810084192</v>
      </c>
      <c r="AF46">
        <f>0</f>
        <v>0</v>
      </c>
      <c r="AG46">
        <f t="shared" si="14"/>
        <v>-18.179099999999998</v>
      </c>
      <c r="AH46">
        <f t="shared" si="15"/>
        <v>-7443.8571231899159</v>
      </c>
      <c r="AI46">
        <f t="shared" si="16"/>
        <v>-14334.178304198336</v>
      </c>
      <c r="AJ46">
        <f t="shared" si="17"/>
        <v>-327913.73598812323</v>
      </c>
      <c r="AK46">
        <f t="shared" si="18"/>
        <v>-342247.91429232154</v>
      </c>
      <c r="AL46">
        <f t="shared" si="19"/>
        <v>0.27408882210889779</v>
      </c>
      <c r="AM46">
        <f t="shared" si="20"/>
        <v>-84467.750143648504</v>
      </c>
      <c r="AN46">
        <f>0</f>
        <v>0</v>
      </c>
    </row>
    <row r="47" spans="1:40" x14ac:dyDescent="0.2">
      <c r="A47">
        <f t="shared" si="21"/>
        <v>67</v>
      </c>
      <c r="B47">
        <f>VLOOKUP(A47,Table21[#All],2,FALSE)</f>
        <v>1.1558938830000001E-2</v>
      </c>
      <c r="C47">
        <f t="shared" si="22"/>
        <v>0.1</v>
      </c>
      <c r="D47">
        <f t="shared" si="23"/>
        <v>0.1</v>
      </c>
      <c r="E47">
        <f t="shared" si="0"/>
        <v>9.3627404523000009E-3</v>
      </c>
      <c r="F47">
        <f t="shared" si="1"/>
        <v>0.99063725954769999</v>
      </c>
      <c r="G47">
        <f t="shared" si="2"/>
        <v>0.33169021659599046</v>
      </c>
      <c r="H47">
        <f t="shared" si="3"/>
        <v>0.23506191842407209</v>
      </c>
      <c r="J47">
        <f t="shared" si="24"/>
        <v>67</v>
      </c>
      <c r="K47">
        <f t="shared" si="4"/>
        <v>9.3627404523000009E-3</v>
      </c>
      <c r="L47">
        <f>0</f>
        <v>0</v>
      </c>
      <c r="M47">
        <f t="shared" si="5"/>
        <v>0.99063725954769999</v>
      </c>
      <c r="N47">
        <f t="shared" si="25"/>
        <v>0.89256788495981243</v>
      </c>
      <c r="P47">
        <v>23</v>
      </c>
      <c r="Q47">
        <f t="shared" si="6"/>
        <v>0</v>
      </c>
      <c r="R47">
        <f t="shared" si="26"/>
        <v>300</v>
      </c>
      <c r="S47">
        <f>VLOOKUP(J47,Table1[#All],3,FALSE)</f>
        <v>750957.85439999995</v>
      </c>
      <c r="T47">
        <f t="shared" si="7"/>
        <v>0</v>
      </c>
      <c r="U47">
        <v>0</v>
      </c>
      <c r="V47">
        <f t="shared" si="8"/>
        <v>339242.66417913837</v>
      </c>
      <c r="X47">
        <v>23</v>
      </c>
      <c r="Y47">
        <f t="shared" si="9"/>
        <v>339242.66417913837</v>
      </c>
      <c r="Z47">
        <f t="shared" si="10"/>
        <v>7439.2683091863673</v>
      </c>
      <c r="AB47">
        <v>23</v>
      </c>
      <c r="AC47">
        <f t="shared" si="11"/>
        <v>0</v>
      </c>
      <c r="AD47">
        <f t="shared" si="12"/>
        <v>-300</v>
      </c>
      <c r="AE47">
        <f t="shared" si="13"/>
        <v>-7031.0234813632942</v>
      </c>
      <c r="AF47">
        <f>0</f>
        <v>0</v>
      </c>
      <c r="AG47">
        <f t="shared" si="14"/>
        <v>-18.179099999999998</v>
      </c>
      <c r="AH47">
        <f t="shared" si="15"/>
        <v>-7439.2683091863673</v>
      </c>
      <c r="AI47">
        <f t="shared" si="16"/>
        <v>-14788.470890549663</v>
      </c>
      <c r="AJ47">
        <f t="shared" si="17"/>
        <v>-336066.42316408234</v>
      </c>
      <c r="AK47">
        <f t="shared" si="18"/>
        <v>-350854.89405463199</v>
      </c>
      <c r="AL47">
        <f t="shared" si="19"/>
        <v>0.25842881142309265</v>
      </c>
      <c r="AM47">
        <f t="shared" si="20"/>
        <v>-80930.034525959229</v>
      </c>
      <c r="AN47">
        <f>0</f>
        <v>0</v>
      </c>
    </row>
    <row r="48" spans="1:40" x14ac:dyDescent="0.2">
      <c r="A48">
        <f t="shared" si="21"/>
        <v>68</v>
      </c>
      <c r="B48">
        <f>VLOOKUP(A48,Table21[#All],2,FALSE)</f>
        <v>1.2486649109999999E-2</v>
      </c>
      <c r="C48">
        <f t="shared" si="22"/>
        <v>0.1</v>
      </c>
      <c r="D48">
        <f t="shared" si="23"/>
        <v>0.1</v>
      </c>
      <c r="E48">
        <f t="shared" si="0"/>
        <v>1.0114185779100001E-2</v>
      </c>
      <c r="F48">
        <f t="shared" si="1"/>
        <v>0.98988581422090005</v>
      </c>
      <c r="G48">
        <f t="shared" si="2"/>
        <v>0.345663263619926</v>
      </c>
      <c r="H48">
        <f t="shared" si="3"/>
        <v>0.25623906352202447</v>
      </c>
      <c r="J48">
        <f t="shared" si="24"/>
        <v>68</v>
      </c>
      <c r="K48">
        <f t="shared" si="4"/>
        <v>1.0114185779100001E-2</v>
      </c>
      <c r="L48">
        <f>0</f>
        <v>0</v>
      </c>
      <c r="M48">
        <f t="shared" si="5"/>
        <v>0.98988581422090005</v>
      </c>
      <c r="N48">
        <f t="shared" si="25"/>
        <v>0.88421100351687532</v>
      </c>
      <c r="P48">
        <v>24</v>
      </c>
      <c r="Q48">
        <f t="shared" si="6"/>
        <v>0</v>
      </c>
      <c r="R48">
        <f t="shared" si="26"/>
        <v>300</v>
      </c>
      <c r="S48">
        <f>VLOOKUP(J48,Table1[#All],3,FALSE)</f>
        <v>750957.85439999995</v>
      </c>
      <c r="T48">
        <f t="shared" si="7"/>
        <v>0</v>
      </c>
      <c r="U48">
        <v>0</v>
      </c>
      <c r="V48">
        <f t="shared" si="8"/>
        <v>347972.07448451768</v>
      </c>
      <c r="X48">
        <v>24</v>
      </c>
      <c r="Y48">
        <f t="shared" si="9"/>
        <v>347972.07448451768</v>
      </c>
      <c r="Z48">
        <f t="shared" si="10"/>
        <v>7433.6252714832408</v>
      </c>
      <c r="AB48">
        <v>24</v>
      </c>
      <c r="AC48">
        <f t="shared" si="11"/>
        <v>0</v>
      </c>
      <c r="AD48">
        <f t="shared" si="12"/>
        <v>-300</v>
      </c>
      <c r="AE48">
        <f t="shared" si="13"/>
        <v>-7595.3272516759289</v>
      </c>
      <c r="AF48">
        <f>0</f>
        <v>0</v>
      </c>
      <c r="AG48">
        <f t="shared" si="14"/>
        <v>-18.179099999999998</v>
      </c>
      <c r="AH48">
        <f t="shared" si="15"/>
        <v>-7433.6252714832408</v>
      </c>
      <c r="AI48">
        <f t="shared" si="16"/>
        <v>-15347.13162315917</v>
      </c>
      <c r="AJ48">
        <f t="shared" si="17"/>
        <v>-344452.62027724244</v>
      </c>
      <c r="AK48">
        <f t="shared" si="18"/>
        <v>-359799.75190040161</v>
      </c>
      <c r="AL48">
        <f t="shared" si="19"/>
        <v>0.24366353235309232</v>
      </c>
      <c r="AM48">
        <f t="shared" si="20"/>
        <v>-77518.848078116862</v>
      </c>
      <c r="AN48">
        <f>0</f>
        <v>0</v>
      </c>
    </row>
    <row r="49" spans="1:40" x14ac:dyDescent="0.2">
      <c r="A49">
        <f t="shared" si="21"/>
        <v>69</v>
      </c>
      <c r="B49">
        <f>VLOOKUP(A49,Table21[#All],2,FALSE)</f>
        <v>1.3617063760000001E-2</v>
      </c>
      <c r="C49">
        <f t="shared" si="22"/>
        <v>0.1</v>
      </c>
      <c r="D49">
        <f t="shared" si="23"/>
        <v>0.1</v>
      </c>
      <c r="E49">
        <f t="shared" si="0"/>
        <v>1.1029821645600001E-2</v>
      </c>
      <c r="F49">
        <f t="shared" si="1"/>
        <v>0.98897017835440004</v>
      </c>
      <c r="G49">
        <f t="shared" si="2"/>
        <v>0.36013773458000903</v>
      </c>
      <c r="H49">
        <f t="shared" si="3"/>
        <v>0.27884619241458225</v>
      </c>
      <c r="J49">
        <f t="shared" si="24"/>
        <v>69</v>
      </c>
      <c r="K49">
        <f t="shared" si="4"/>
        <v>1.1029821645600001E-2</v>
      </c>
      <c r="L49">
        <f>0</f>
        <v>0</v>
      </c>
      <c r="M49">
        <f t="shared" si="5"/>
        <v>0.98897017835440004</v>
      </c>
      <c r="N49">
        <f t="shared" si="25"/>
        <v>0.87526792915938123</v>
      </c>
      <c r="P49">
        <v>25</v>
      </c>
      <c r="Q49">
        <f t="shared" si="6"/>
        <v>0</v>
      </c>
      <c r="R49">
        <f t="shared" si="26"/>
        <v>300</v>
      </c>
      <c r="S49">
        <f>VLOOKUP(J49,Table1[#All],3,FALSE)</f>
        <v>750957.85439999995</v>
      </c>
      <c r="T49">
        <f t="shared" si="7"/>
        <v>0</v>
      </c>
      <c r="U49">
        <v>0</v>
      </c>
      <c r="V49">
        <f t="shared" si="8"/>
        <v>356967.5673538117</v>
      </c>
      <c r="X49">
        <v>25</v>
      </c>
      <c r="Y49">
        <f t="shared" si="9"/>
        <v>356967.5673538117</v>
      </c>
      <c r="Z49">
        <f t="shared" si="10"/>
        <v>7426.7492320260553</v>
      </c>
      <c r="AB49">
        <v>25</v>
      </c>
      <c r="AC49">
        <f t="shared" si="11"/>
        <v>0</v>
      </c>
      <c r="AD49">
        <f t="shared" si="12"/>
        <v>-300</v>
      </c>
      <c r="AE49">
        <f t="shared" si="13"/>
        <v>-8282.9311973944532</v>
      </c>
      <c r="AF49">
        <f>0</f>
        <v>0</v>
      </c>
      <c r="AG49">
        <f t="shared" si="14"/>
        <v>-18.179099999999998</v>
      </c>
      <c r="AH49">
        <f t="shared" si="15"/>
        <v>-7426.7492320260553</v>
      </c>
      <c r="AI49">
        <f t="shared" si="16"/>
        <v>-16027.859529420508</v>
      </c>
      <c r="AJ49">
        <f t="shared" si="17"/>
        <v>-353030.27875263547</v>
      </c>
      <c r="AK49">
        <f t="shared" si="18"/>
        <v>-369058.13828205597</v>
      </c>
      <c r="AL49">
        <f t="shared" si="19"/>
        <v>0.2297418645848445</v>
      </c>
      <c r="AM49">
        <f t="shared" si="20"/>
        <v>-74212.308931141946</v>
      </c>
      <c r="AN49">
        <f>0</f>
        <v>0</v>
      </c>
    </row>
    <row r="50" spans="1:40" x14ac:dyDescent="0.2">
      <c r="A50">
        <f t="shared" si="21"/>
        <v>70</v>
      </c>
      <c r="B50">
        <f>VLOOKUP(A50,Table21[#All],2,FALSE)</f>
        <v>1.4979573689999999E-2</v>
      </c>
      <c r="C50">
        <f t="shared" si="22"/>
        <v>0.1</v>
      </c>
      <c r="D50">
        <f t="shared" si="23"/>
        <v>0.1</v>
      </c>
      <c r="E50">
        <f t="shared" si="0"/>
        <v>1.21334546889E-2</v>
      </c>
      <c r="F50">
        <f t="shared" si="1"/>
        <v>0.98786654531109996</v>
      </c>
      <c r="G50">
        <f t="shared" si="2"/>
        <v>0.37506811363510056</v>
      </c>
      <c r="H50">
        <f t="shared" si="3"/>
        <v>0.30270109192691291</v>
      </c>
      <c r="J50">
        <f t="shared" si="24"/>
        <v>70</v>
      </c>
      <c r="K50">
        <f t="shared" si="4"/>
        <v>1.21334546889E-2</v>
      </c>
      <c r="L50">
        <f>0</f>
        <v>0</v>
      </c>
      <c r="M50">
        <f t="shared" si="5"/>
        <v>0.98786654531109996</v>
      </c>
      <c r="N50">
        <f t="shared" si="25"/>
        <v>0.86561388000863959</v>
      </c>
      <c r="P50">
        <v>26</v>
      </c>
      <c r="Q50">
        <f t="shared" si="6"/>
        <v>0</v>
      </c>
      <c r="R50">
        <f t="shared" si="26"/>
        <v>300</v>
      </c>
      <c r="S50">
        <f>VLOOKUP(J50,Table1[#All],3,FALSE)</f>
        <v>750957.85439999995</v>
      </c>
      <c r="T50">
        <f t="shared" si="7"/>
        <v>0</v>
      </c>
      <c r="U50">
        <v>0</v>
      </c>
      <c r="V50">
        <f t="shared" si="8"/>
        <v>366193.57051532523</v>
      </c>
      <c r="X50">
        <v>26</v>
      </c>
      <c r="Y50">
        <f t="shared" si="9"/>
        <v>366193.57051532523</v>
      </c>
      <c r="Z50">
        <f t="shared" si="10"/>
        <v>7418.4614130036398</v>
      </c>
      <c r="AB50">
        <v>26</v>
      </c>
      <c r="AC50">
        <f t="shared" si="11"/>
        <v>0</v>
      </c>
      <c r="AD50">
        <f t="shared" si="12"/>
        <v>-300</v>
      </c>
      <c r="AE50">
        <f t="shared" si="13"/>
        <v>-9111.7130996359629</v>
      </c>
      <c r="AF50">
        <f>0</f>
        <v>0</v>
      </c>
      <c r="AG50">
        <f t="shared" si="14"/>
        <v>-18.179099999999998</v>
      </c>
      <c r="AH50">
        <f t="shared" si="15"/>
        <v>-7418.4614130036398</v>
      </c>
      <c r="AI50">
        <f t="shared" si="16"/>
        <v>-16848.353612639603</v>
      </c>
      <c r="AJ50">
        <f t="shared" si="17"/>
        <v>-361750.37742011104</v>
      </c>
      <c r="AK50">
        <f t="shared" si="18"/>
        <v>-378598.73103275063</v>
      </c>
      <c r="AL50">
        <f t="shared" si="19"/>
        <v>0.21661560855333792</v>
      </c>
      <c r="AM50">
        <f t="shared" si="20"/>
        <v>-70989.335801652953</v>
      </c>
      <c r="AN50">
        <f>0</f>
        <v>0</v>
      </c>
    </row>
    <row r="51" spans="1:40" x14ac:dyDescent="0.2">
      <c r="A51">
        <f t="shared" si="21"/>
        <v>71</v>
      </c>
      <c r="B51">
        <f>VLOOKUP(A51,Table21[#All],2,FALSE)</f>
        <v>1.660356985E-2</v>
      </c>
      <c r="C51">
        <f t="shared" si="22"/>
        <v>0.1</v>
      </c>
      <c r="D51">
        <f t="shared" si="23"/>
        <v>0.1</v>
      </c>
      <c r="E51">
        <f t="shared" si="0"/>
        <v>1.3448891578500001E-2</v>
      </c>
      <c r="F51">
        <f t="shared" si="1"/>
        <v>0.98655110842149996</v>
      </c>
      <c r="G51">
        <f t="shared" si="2"/>
        <v>0.39039955676066901</v>
      </c>
      <c r="H51">
        <f t="shared" si="3"/>
        <v>0.3275764525297733</v>
      </c>
      <c r="J51">
        <f t="shared" si="24"/>
        <v>71</v>
      </c>
      <c r="K51">
        <f t="shared" si="4"/>
        <v>1.3448891578500001E-2</v>
      </c>
      <c r="L51">
        <f>0</f>
        <v>0</v>
      </c>
      <c r="M51">
        <f t="shared" si="5"/>
        <v>0.98655110842149996</v>
      </c>
      <c r="N51">
        <f t="shared" si="25"/>
        <v>0.85511099321747186</v>
      </c>
      <c r="P51">
        <v>27</v>
      </c>
      <c r="Q51">
        <f t="shared" si="6"/>
        <v>0</v>
      </c>
      <c r="R51">
        <f t="shared" si="26"/>
        <v>300</v>
      </c>
      <c r="S51">
        <f>VLOOKUP(J51,Table1[#All],3,FALSE)</f>
        <v>750957.85439999995</v>
      </c>
      <c r="T51">
        <f t="shared" si="7"/>
        <v>0</v>
      </c>
      <c r="U51">
        <v>0</v>
      </c>
      <c r="V51">
        <f t="shared" si="8"/>
        <v>375609.01431709016</v>
      </c>
      <c r="X51">
        <v>27</v>
      </c>
      <c r="Y51">
        <f t="shared" si="9"/>
        <v>375609.01431709016</v>
      </c>
      <c r="Z51">
        <f t="shared" si="10"/>
        <v>7408.5830363615141</v>
      </c>
      <c r="AB51">
        <v>27</v>
      </c>
      <c r="AC51">
        <f t="shared" si="11"/>
        <v>0</v>
      </c>
      <c r="AD51">
        <f t="shared" si="12"/>
        <v>-300</v>
      </c>
      <c r="AE51">
        <f t="shared" si="13"/>
        <v>-10099.550763848589</v>
      </c>
      <c r="AF51">
        <f>0</f>
        <v>0</v>
      </c>
      <c r="AG51">
        <f t="shared" si="14"/>
        <v>-18.179099999999998</v>
      </c>
      <c r="AH51">
        <f t="shared" si="15"/>
        <v>-7408.5830363615141</v>
      </c>
      <c r="AI51">
        <f t="shared" si="16"/>
        <v>-17826.312900210101</v>
      </c>
      <c r="AJ51">
        <f t="shared" si="17"/>
        <v>-370557.48940763233</v>
      </c>
      <c r="AK51">
        <f t="shared" si="18"/>
        <v>-388383.80230784242</v>
      </c>
      <c r="AL51">
        <f t="shared" si="19"/>
        <v>0.20423931856618294</v>
      </c>
      <c r="AM51">
        <f t="shared" si="20"/>
        <v>-67830.177214274605</v>
      </c>
      <c r="AN51">
        <f>0</f>
        <v>0</v>
      </c>
    </row>
    <row r="52" spans="1:40" x14ac:dyDescent="0.2">
      <c r="A52">
        <f t="shared" si="21"/>
        <v>72</v>
      </c>
      <c r="B52">
        <f>VLOOKUP(A52,Table21[#All],2,FALSE)</f>
        <v>1.8518443159999998E-2</v>
      </c>
      <c r="C52">
        <f t="shared" si="22"/>
        <v>0.1</v>
      </c>
      <c r="D52">
        <f t="shared" si="23"/>
        <v>0.1</v>
      </c>
      <c r="E52">
        <f t="shared" si="0"/>
        <v>1.4999938959599999E-2</v>
      </c>
      <c r="F52">
        <f t="shared" si="1"/>
        <v>0.98500006104040005</v>
      </c>
      <c r="G52">
        <f t="shared" si="2"/>
        <v>0.4060688835109364</v>
      </c>
      <c r="H52">
        <f t="shared" si="3"/>
        <v>0.35311088120899242</v>
      </c>
      <c r="J52">
        <f t="shared" si="24"/>
        <v>72</v>
      </c>
      <c r="K52">
        <f t="shared" si="4"/>
        <v>1.4999938959599999E-2</v>
      </c>
      <c r="L52">
        <f>0</f>
        <v>0</v>
      </c>
      <c r="M52">
        <f t="shared" si="5"/>
        <v>0.98500006104040005</v>
      </c>
      <c r="N52">
        <f t="shared" si="25"/>
        <v>0.84361069818210654</v>
      </c>
      <c r="P52">
        <v>28</v>
      </c>
      <c r="Q52">
        <f t="shared" si="6"/>
        <v>0</v>
      </c>
      <c r="R52">
        <f t="shared" si="26"/>
        <v>300</v>
      </c>
      <c r="S52">
        <f>VLOOKUP(J52,Table1[#All],3,FALSE)</f>
        <v>750957.85439999995</v>
      </c>
      <c r="T52">
        <f t="shared" si="7"/>
        <v>0</v>
      </c>
      <c r="U52">
        <v>0</v>
      </c>
      <c r="V52">
        <f t="shared" si="8"/>
        <v>385167.85161969875</v>
      </c>
      <c r="X52">
        <v>28</v>
      </c>
      <c r="Y52">
        <f t="shared" si="9"/>
        <v>385167.85161969875</v>
      </c>
      <c r="Z52">
        <f t="shared" si="10"/>
        <v>7396.9353242276784</v>
      </c>
      <c r="AB52">
        <v>28</v>
      </c>
      <c r="AC52">
        <f t="shared" si="11"/>
        <v>0</v>
      </c>
      <c r="AD52">
        <f t="shared" si="12"/>
        <v>-300</v>
      </c>
      <c r="AE52">
        <f t="shared" si="13"/>
        <v>-11264.321977232183</v>
      </c>
      <c r="AF52">
        <f>0</f>
        <v>0</v>
      </c>
      <c r="AG52">
        <f t="shared" si="14"/>
        <v>-18.179099999999998</v>
      </c>
      <c r="AH52">
        <f t="shared" si="15"/>
        <v>-7396.9353242276784</v>
      </c>
      <c r="AI52">
        <f t="shared" si="16"/>
        <v>-18979.436401459861</v>
      </c>
      <c r="AJ52">
        <f t="shared" si="17"/>
        <v>-379390.35735620302</v>
      </c>
      <c r="AK52">
        <f t="shared" si="18"/>
        <v>-398369.79375766288</v>
      </c>
      <c r="AL52">
        <f t="shared" si="19"/>
        <v>0.19257014546164372</v>
      </c>
      <c r="AM52">
        <f t="shared" si="20"/>
        <v>-64716.860037004815</v>
      </c>
      <c r="AN52">
        <f>0</f>
        <v>0</v>
      </c>
    </row>
    <row r="53" spans="1:40" x14ac:dyDescent="0.2">
      <c r="A53">
        <f t="shared" si="21"/>
        <v>73</v>
      </c>
      <c r="B53">
        <f>VLOOKUP(A53,Table21[#All],2,FALSE)</f>
        <v>2.0753584570000001E-2</v>
      </c>
      <c r="C53">
        <f t="shared" si="22"/>
        <v>0.1</v>
      </c>
      <c r="D53">
        <f t="shared" si="23"/>
        <v>0.1</v>
      </c>
      <c r="E53">
        <f t="shared" si="0"/>
        <v>1.6810403501700003E-2</v>
      </c>
      <c r="F53">
        <f t="shared" si="1"/>
        <v>0.98318959649829996</v>
      </c>
      <c r="G53">
        <f t="shared" si="2"/>
        <v>0.42200555830056907</v>
      </c>
      <c r="H53">
        <f t="shared" si="3"/>
        <v>0.37896021574627525</v>
      </c>
      <c r="J53">
        <f t="shared" si="24"/>
        <v>73</v>
      </c>
      <c r="K53">
        <f t="shared" si="4"/>
        <v>1.6810403501700003E-2</v>
      </c>
      <c r="L53">
        <f>0</f>
        <v>0</v>
      </c>
      <c r="M53">
        <f t="shared" si="5"/>
        <v>0.98318959649829996</v>
      </c>
      <c r="N53">
        <f t="shared" si="25"/>
        <v>0.83095658920370941</v>
      </c>
      <c r="P53">
        <v>29</v>
      </c>
      <c r="Q53">
        <f t="shared" si="6"/>
        <v>0</v>
      </c>
      <c r="R53">
        <f t="shared" si="26"/>
        <v>300</v>
      </c>
      <c r="S53">
        <f>VLOOKUP(J53,Table1[#All],3,FALSE)</f>
        <v>750957.85439999995</v>
      </c>
      <c r="T53">
        <f t="shared" si="7"/>
        <v>0</v>
      </c>
      <c r="U53">
        <v>0</v>
      </c>
      <c r="V53">
        <f t="shared" si="8"/>
        <v>394819.52022585942</v>
      </c>
      <c r="X53">
        <v>29</v>
      </c>
      <c r="Y53">
        <f t="shared" si="9"/>
        <v>394819.52022585942</v>
      </c>
      <c r="Z53">
        <f t="shared" si="10"/>
        <v>7383.3394985476507</v>
      </c>
      <c r="AB53">
        <v>29</v>
      </c>
      <c r="AC53">
        <f t="shared" si="11"/>
        <v>0</v>
      </c>
      <c r="AD53">
        <f t="shared" si="12"/>
        <v>-300</v>
      </c>
      <c r="AE53">
        <f t="shared" si="13"/>
        <v>-12623.90454523488</v>
      </c>
      <c r="AF53">
        <f>0</f>
        <v>0</v>
      </c>
      <c r="AG53">
        <f t="shared" si="14"/>
        <v>-18.179099999999998</v>
      </c>
      <c r="AH53">
        <f t="shared" si="15"/>
        <v>-7383.3394985476507</v>
      </c>
      <c r="AI53">
        <f t="shared" si="16"/>
        <v>-20325.423143782529</v>
      </c>
      <c r="AJ53">
        <f t="shared" si="17"/>
        <v>-388182.4447805151</v>
      </c>
      <c r="AK53">
        <f t="shared" si="18"/>
        <v>-408507.86792429764</v>
      </c>
      <c r="AL53">
        <f t="shared" si="19"/>
        <v>0.18156768825637232</v>
      </c>
      <c r="AM53">
        <f t="shared" si="20"/>
        <v>-61633.570218295041</v>
      </c>
      <c r="AN53">
        <f>0</f>
        <v>0</v>
      </c>
    </row>
    <row r="54" spans="1:40" x14ac:dyDescent="0.2">
      <c r="A54">
        <f t="shared" si="21"/>
        <v>74</v>
      </c>
      <c r="B54">
        <f>VLOOKUP(A54,Table21[#All],2,FALSE)</f>
        <v>2.3338385010000001E-2</v>
      </c>
      <c r="C54">
        <f t="shared" si="22"/>
        <v>0.1</v>
      </c>
      <c r="D54">
        <f t="shared" si="23"/>
        <v>0.1</v>
      </c>
      <c r="E54">
        <f t="shared" si="0"/>
        <v>1.8904091858100002E-2</v>
      </c>
      <c r="F54">
        <f t="shared" si="1"/>
        <v>0.98109590814189995</v>
      </c>
      <c r="G54">
        <f t="shared" si="2"/>
        <v>0.43813261160351741</v>
      </c>
      <c r="H54">
        <f t="shared" si="3"/>
        <v>0.40480571284995465</v>
      </c>
      <c r="J54">
        <f t="shared" si="24"/>
        <v>74</v>
      </c>
      <c r="K54">
        <f t="shared" si="4"/>
        <v>1.8904091858100002E-2</v>
      </c>
      <c r="L54">
        <f>0</f>
        <v>0</v>
      </c>
      <c r="M54">
        <f t="shared" si="5"/>
        <v>0.98109590814189995</v>
      </c>
      <c r="N54">
        <f t="shared" si="25"/>
        <v>0.81698787364679859</v>
      </c>
      <c r="P54">
        <v>30</v>
      </c>
      <c r="Q54">
        <f t="shared" si="6"/>
        <v>0</v>
      </c>
      <c r="R54">
        <f t="shared" si="26"/>
        <v>300</v>
      </c>
      <c r="S54">
        <f>VLOOKUP(J54,Table1[#All],3,FALSE)</f>
        <v>750957.85439999995</v>
      </c>
      <c r="T54">
        <f t="shared" si="7"/>
        <v>0</v>
      </c>
      <c r="U54">
        <v>0</v>
      </c>
      <c r="V54">
        <f t="shared" si="8"/>
        <v>404509.30765991751</v>
      </c>
      <c r="X54">
        <v>30</v>
      </c>
      <c r="Y54">
        <f t="shared" si="9"/>
        <v>404509.30765991751</v>
      </c>
      <c r="Z54">
        <f t="shared" si="10"/>
        <v>7367.6167813886068</v>
      </c>
      <c r="AB54">
        <v>30</v>
      </c>
      <c r="AC54">
        <f t="shared" si="11"/>
        <v>0</v>
      </c>
      <c r="AD54">
        <f t="shared" si="12"/>
        <v>-300</v>
      </c>
      <c r="AE54">
        <f t="shared" si="13"/>
        <v>-14196.176261139286</v>
      </c>
      <c r="AF54">
        <f>0</f>
        <v>0</v>
      </c>
      <c r="AG54">
        <f t="shared" si="14"/>
        <v>-18.179099999999998</v>
      </c>
      <c r="AH54">
        <f t="shared" si="15"/>
        <v>-7367.6167813886068</v>
      </c>
      <c r="AI54">
        <f t="shared" si="16"/>
        <v>-21881.972142527891</v>
      </c>
      <c r="AJ54">
        <f t="shared" si="17"/>
        <v>-396862.42655045795</v>
      </c>
      <c r="AK54">
        <f t="shared" si="18"/>
        <v>-418744.39869298582</v>
      </c>
      <c r="AL54">
        <f t="shared" si="19"/>
        <v>0.1711938542692204</v>
      </c>
      <c r="AM54">
        <f t="shared" si="20"/>
        <v>-58566.97470591429</v>
      </c>
      <c r="AN54">
        <f>0</f>
        <v>0</v>
      </c>
    </row>
    <row r="55" spans="1:40" x14ac:dyDescent="0.2">
      <c r="A55">
        <f t="shared" si="21"/>
        <v>75</v>
      </c>
      <c r="B55">
        <f>VLOOKUP(A55,Table21[#All],2,FALSE)</f>
        <v>2.6302235399999999E-2</v>
      </c>
      <c r="C55">
        <f t="shared" si="22"/>
        <v>0.1</v>
      </c>
      <c r="D55">
        <f t="shared" si="23"/>
        <v>0.1</v>
      </c>
      <c r="E55">
        <f t="shared" si="0"/>
        <v>2.1304810673999999E-2</v>
      </c>
      <c r="F55">
        <f t="shared" si="1"/>
        <v>0.97869518932599997</v>
      </c>
      <c r="G55">
        <f t="shared" si="2"/>
        <v>0.45436744553854669</v>
      </c>
      <c r="H55">
        <f t="shared" si="3"/>
        <v>0.43033978405743673</v>
      </c>
      <c r="J55">
        <f t="shared" si="24"/>
        <v>75</v>
      </c>
      <c r="K55">
        <f t="shared" si="4"/>
        <v>2.1304810673999999E-2</v>
      </c>
      <c r="L55">
        <f>0</f>
        <v>0</v>
      </c>
      <c r="M55">
        <f t="shared" si="5"/>
        <v>0.97869518932599997</v>
      </c>
      <c r="N55">
        <f t="shared" si="25"/>
        <v>0.80154345983642572</v>
      </c>
      <c r="P55">
        <v>31</v>
      </c>
      <c r="Q55">
        <f t="shared" si="6"/>
        <v>0</v>
      </c>
      <c r="R55">
        <f t="shared" si="26"/>
        <v>300</v>
      </c>
      <c r="S55">
        <f>VLOOKUP(J55,Table1[#All],3,FALSE)</f>
        <v>750957.85439999995</v>
      </c>
      <c r="T55">
        <f t="shared" si="7"/>
        <v>0</v>
      </c>
      <c r="U55">
        <v>0</v>
      </c>
      <c r="V55">
        <f t="shared" si="8"/>
        <v>414178.57182716718</v>
      </c>
      <c r="X55">
        <v>31</v>
      </c>
      <c r="Y55">
        <f t="shared" si="9"/>
        <v>414178.57182716718</v>
      </c>
      <c r="Z55">
        <f t="shared" si="10"/>
        <v>7349.5883948785468</v>
      </c>
      <c r="AB55">
        <v>31</v>
      </c>
      <c r="AC55">
        <f t="shared" si="11"/>
        <v>0</v>
      </c>
      <c r="AD55">
        <f t="shared" si="12"/>
        <v>-300</v>
      </c>
      <c r="AE55">
        <f t="shared" si="13"/>
        <v>-15999.014912145256</v>
      </c>
      <c r="AF55">
        <f>0</f>
        <v>0</v>
      </c>
      <c r="AG55">
        <f t="shared" si="14"/>
        <v>-18.179099999999998</v>
      </c>
      <c r="AH55">
        <f t="shared" si="15"/>
        <v>-7349.5883948785468</v>
      </c>
      <c r="AI55">
        <f t="shared" si="16"/>
        <v>-23666.782407023802</v>
      </c>
      <c r="AJ55">
        <f t="shared" si="17"/>
        <v>-405354.57576916169</v>
      </c>
      <c r="AK55">
        <f t="shared" si="18"/>
        <v>-429021.35817618552</v>
      </c>
      <c r="AL55">
        <f t="shared" si="19"/>
        <v>0.16141272723684905</v>
      </c>
      <c r="AM55">
        <f t="shared" si="20"/>
        <v>-55506.489806326274</v>
      </c>
      <c r="AN55">
        <f>0</f>
        <v>0</v>
      </c>
    </row>
    <row r="56" spans="1:40" x14ac:dyDescent="0.2">
      <c r="A56">
        <f t="shared" si="21"/>
        <v>76</v>
      </c>
      <c r="B56">
        <f>VLOOKUP(A56,Table21[#All],2,FALSE)</f>
        <v>2.967452668E-2</v>
      </c>
      <c r="C56">
        <f t="shared" si="22"/>
        <v>0.1</v>
      </c>
      <c r="D56">
        <f t="shared" si="23"/>
        <v>0.1</v>
      </c>
      <c r="E56">
        <f t="shared" si="0"/>
        <v>2.4036366610800004E-2</v>
      </c>
      <c r="F56">
        <f t="shared" si="1"/>
        <v>0.9759636333892</v>
      </c>
      <c r="G56">
        <f t="shared" si="2"/>
        <v>0.47062246140092462</v>
      </c>
      <c r="H56">
        <f t="shared" si="3"/>
        <v>0.45531293917372362</v>
      </c>
      <c r="J56">
        <f t="shared" si="24"/>
        <v>76</v>
      </c>
      <c r="K56">
        <f t="shared" si="4"/>
        <v>2.4036366610800004E-2</v>
      </c>
      <c r="L56">
        <f>0</f>
        <v>0</v>
      </c>
      <c r="M56">
        <f t="shared" si="5"/>
        <v>0.9759636333892</v>
      </c>
      <c r="N56">
        <f t="shared" si="25"/>
        <v>0.78446672817762775</v>
      </c>
      <c r="P56">
        <v>32</v>
      </c>
      <c r="Q56">
        <f t="shared" si="6"/>
        <v>0</v>
      </c>
      <c r="R56">
        <f t="shared" si="26"/>
        <v>300</v>
      </c>
      <c r="S56">
        <f>VLOOKUP(J56,Table1[#All],3,FALSE)</f>
        <v>750957.85439999995</v>
      </c>
      <c r="T56">
        <f t="shared" si="7"/>
        <v>0</v>
      </c>
      <c r="U56">
        <v>0</v>
      </c>
      <c r="V56">
        <f t="shared" si="8"/>
        <v>423764.76298539166</v>
      </c>
      <c r="X56">
        <v>32</v>
      </c>
      <c r="Y56">
        <f t="shared" si="9"/>
        <v>423764.76298539166</v>
      </c>
      <c r="Z56">
        <f t="shared" si="10"/>
        <v>7329.0755610238184</v>
      </c>
      <c r="AB56">
        <v>32</v>
      </c>
      <c r="AC56">
        <f t="shared" si="11"/>
        <v>0</v>
      </c>
      <c r="AD56">
        <f t="shared" si="12"/>
        <v>-300</v>
      </c>
      <c r="AE56">
        <f t="shared" si="13"/>
        <v>-18050.29829761817</v>
      </c>
      <c r="AF56">
        <f>0</f>
        <v>0</v>
      </c>
      <c r="AG56">
        <f t="shared" si="14"/>
        <v>-18.179099999999998</v>
      </c>
      <c r="AH56">
        <f t="shared" si="15"/>
        <v>-7329.0755610238184</v>
      </c>
      <c r="AI56">
        <f t="shared" si="16"/>
        <v>-25697.552958641991</v>
      </c>
      <c r="AJ56">
        <f t="shared" si="17"/>
        <v>-413578.99778553599</v>
      </c>
      <c r="AK56">
        <f t="shared" si="18"/>
        <v>-439276.55074417801</v>
      </c>
      <c r="AL56">
        <f t="shared" si="19"/>
        <v>0.15219044296452758</v>
      </c>
      <c r="AM56">
        <f t="shared" si="20"/>
        <v>-52444.497690109682</v>
      </c>
      <c r="AN56">
        <f>0</f>
        <v>0</v>
      </c>
    </row>
    <row r="57" spans="1:40" x14ac:dyDescent="0.2">
      <c r="A57">
        <f t="shared" si="21"/>
        <v>77</v>
      </c>
      <c r="B57">
        <f>VLOOKUP(A57,Table21[#All],2,FALSE)</f>
        <v>3.3484649790000001E-2</v>
      </c>
      <c r="C57">
        <f t="shared" si="22"/>
        <v>0.1</v>
      </c>
      <c r="D57">
        <f t="shared" si="23"/>
        <v>0.1</v>
      </c>
      <c r="E57">
        <f t="shared" si="0"/>
        <v>2.7122566329900004E-2</v>
      </c>
      <c r="F57">
        <f t="shared" si="1"/>
        <v>0.97287743367010004</v>
      </c>
      <c r="G57">
        <f t="shared" si="2"/>
        <v>0.48680543806100179</v>
      </c>
      <c r="H57">
        <f t="shared" si="3"/>
        <v>0.47952546165883342</v>
      </c>
      <c r="J57">
        <f t="shared" si="24"/>
        <v>77</v>
      </c>
      <c r="K57">
        <f t="shared" si="4"/>
        <v>2.7122566329900004E-2</v>
      </c>
      <c r="L57">
        <f>0</f>
        <v>0</v>
      </c>
      <c r="M57">
        <f t="shared" si="5"/>
        <v>0.97287743367010004</v>
      </c>
      <c r="N57">
        <f t="shared" si="25"/>
        <v>0.76561099830517554</v>
      </c>
      <c r="P57">
        <v>33</v>
      </c>
      <c r="Q57">
        <f t="shared" si="6"/>
        <v>0</v>
      </c>
      <c r="R57">
        <f t="shared" si="26"/>
        <v>300</v>
      </c>
      <c r="S57">
        <f>VLOOKUP(J57,Table1[#All],3,FALSE)</f>
        <v>750957.85439999995</v>
      </c>
      <c r="T57">
        <f t="shared" si="7"/>
        <v>0</v>
      </c>
      <c r="U57">
        <v>0</v>
      </c>
      <c r="V57">
        <f t="shared" si="8"/>
        <v>433201.1812827969</v>
      </c>
      <c r="X57">
        <v>33</v>
      </c>
      <c r="Y57">
        <f t="shared" si="9"/>
        <v>433201.1812827969</v>
      </c>
      <c r="Z57">
        <f t="shared" si="10"/>
        <v>7305.899501830766</v>
      </c>
      <c r="AB57">
        <v>33</v>
      </c>
      <c r="AC57">
        <f t="shared" si="11"/>
        <v>0</v>
      </c>
      <c r="AD57">
        <f t="shared" si="12"/>
        <v>-300</v>
      </c>
      <c r="AE57">
        <f t="shared" si="13"/>
        <v>-20367.904216923387</v>
      </c>
      <c r="AF57">
        <f>0</f>
        <v>0</v>
      </c>
      <c r="AG57">
        <f t="shared" si="14"/>
        <v>-18.179099999999998</v>
      </c>
      <c r="AH57">
        <f t="shared" si="15"/>
        <v>-7305.899501830766</v>
      </c>
      <c r="AI57">
        <f t="shared" si="16"/>
        <v>-27991.982818754153</v>
      </c>
      <c r="AJ57">
        <f t="shared" si="17"/>
        <v>-421451.65350926324</v>
      </c>
      <c r="AK57">
        <f t="shared" si="18"/>
        <v>-449443.6363280174</v>
      </c>
      <c r="AL57">
        <f t="shared" si="19"/>
        <v>0.14349507208159892</v>
      </c>
      <c r="AM57">
        <f t="shared" si="20"/>
        <v>-49376.509529808747</v>
      </c>
      <c r="AN57">
        <f>0</f>
        <v>0</v>
      </c>
    </row>
    <row r="58" spans="1:40" x14ac:dyDescent="0.2">
      <c r="A58">
        <f t="shared" si="21"/>
        <v>78</v>
      </c>
      <c r="B58">
        <f>VLOOKUP(A58,Table21[#All],2,FALSE)</f>
        <v>3.7761995659999999E-2</v>
      </c>
      <c r="C58">
        <f t="shared" si="22"/>
        <v>0.1</v>
      </c>
      <c r="D58">
        <f t="shared" si="23"/>
        <v>0.1</v>
      </c>
      <c r="E58">
        <f t="shared" si="0"/>
        <v>3.0587216484600003E-2</v>
      </c>
      <c r="F58">
        <f t="shared" si="1"/>
        <v>0.96941278351539995</v>
      </c>
      <c r="G58">
        <f t="shared" si="2"/>
        <v>0.502819578223627</v>
      </c>
      <c r="H58">
        <f t="shared" si="3"/>
        <v>0.502819578223627</v>
      </c>
      <c r="J58">
        <f t="shared" si="24"/>
        <v>78</v>
      </c>
      <c r="K58">
        <f t="shared" si="4"/>
        <v>3.0587216484600003E-2</v>
      </c>
      <c r="L58">
        <f>0</f>
        <v>0</v>
      </c>
      <c r="M58">
        <f t="shared" si="5"/>
        <v>0.96941278351539995</v>
      </c>
      <c r="N58">
        <f t="shared" si="25"/>
        <v>0.74484566322074253</v>
      </c>
      <c r="P58">
        <v>34</v>
      </c>
      <c r="Q58">
        <f t="shared" si="6"/>
        <v>0</v>
      </c>
      <c r="R58">
        <f t="shared" si="26"/>
        <v>300</v>
      </c>
      <c r="S58">
        <f>VLOOKUP(J58,Table1[#All],3,FALSE)</f>
        <v>750957.85439999995</v>
      </c>
      <c r="T58">
        <f t="shared" si="7"/>
        <v>0</v>
      </c>
      <c r="U58">
        <v>0</v>
      </c>
      <c r="V58">
        <f t="shared" si="8"/>
        <v>442416.38810147508</v>
      </c>
      <c r="X58">
        <v>34</v>
      </c>
      <c r="Y58">
        <f t="shared" si="9"/>
        <v>442416.38810147508</v>
      </c>
      <c r="Z58">
        <f t="shared" si="10"/>
        <v>7279.8814393665643</v>
      </c>
      <c r="AB58">
        <v>34</v>
      </c>
      <c r="AC58">
        <f t="shared" si="11"/>
        <v>0</v>
      </c>
      <c r="AD58">
        <f t="shared" si="12"/>
        <v>-300</v>
      </c>
      <c r="AE58">
        <f t="shared" si="13"/>
        <v>-22969.710463343526</v>
      </c>
      <c r="AF58">
        <f>0</f>
        <v>0</v>
      </c>
      <c r="AG58">
        <f t="shared" si="14"/>
        <v>-18.179099999999998</v>
      </c>
      <c r="AH58">
        <f t="shared" si="15"/>
        <v>-7279.8814393665643</v>
      </c>
      <c r="AI58">
        <f t="shared" si="16"/>
        <v>-30567.771002710091</v>
      </c>
      <c r="AJ58">
        <f t="shared" si="17"/>
        <v>-428884.10226228042</v>
      </c>
      <c r="AK58">
        <f t="shared" si="18"/>
        <v>-459451.87326499051</v>
      </c>
      <c r="AL58">
        <f t="shared" si="19"/>
        <v>0.13529650949568869</v>
      </c>
      <c r="AM58">
        <f t="shared" si="20"/>
        <v>-46301.270957736226</v>
      </c>
      <c r="AN58">
        <f>0</f>
        <v>0</v>
      </c>
    </row>
    <row r="59" spans="1:40" x14ac:dyDescent="0.2">
      <c r="A59">
        <f t="shared" si="21"/>
        <v>79</v>
      </c>
      <c r="B59">
        <f>VLOOKUP(A59,Table21[#All],2,FALSE)</f>
        <v>4.2535955219999998E-2</v>
      </c>
      <c r="C59">
        <f t="shared" si="22"/>
        <v>0.1</v>
      </c>
      <c r="D59">
        <f t="shared" si="23"/>
        <v>0.1</v>
      </c>
      <c r="E59">
        <f t="shared" si="0"/>
        <v>3.4454123728200003E-2</v>
      </c>
      <c r="F59">
        <f t="shared" si="1"/>
        <v>0.9655458762718</v>
      </c>
      <c r="G59">
        <f t="shared" si="2"/>
        <v>0.5185631222003152</v>
      </c>
      <c r="H59">
        <f t="shared" si="3"/>
        <v>0.5185631222003152</v>
      </c>
      <c r="J59">
        <f t="shared" si="24"/>
        <v>79</v>
      </c>
      <c r="K59">
        <f t="shared" si="4"/>
        <v>3.4454123728200003E-2</v>
      </c>
      <c r="L59">
        <f>0</f>
        <v>0</v>
      </c>
      <c r="M59">
        <f t="shared" si="5"/>
        <v>0.9655458762718</v>
      </c>
      <c r="N59">
        <f t="shared" si="25"/>
        <v>0.72206290767219417</v>
      </c>
      <c r="P59">
        <v>35</v>
      </c>
      <c r="Q59">
        <f t="shared" si="6"/>
        <v>0</v>
      </c>
      <c r="R59">
        <f t="shared" si="26"/>
        <v>300</v>
      </c>
      <c r="S59">
        <f>VLOOKUP(J59,Table1[#All],3,FALSE)</f>
        <v>750957.85439999995</v>
      </c>
      <c r="T59">
        <f t="shared" si="7"/>
        <v>0</v>
      </c>
      <c r="U59">
        <v>0</v>
      </c>
      <c r="V59">
        <f t="shared" si="8"/>
        <v>451333.16619616345</v>
      </c>
      <c r="X59">
        <v>35</v>
      </c>
      <c r="Y59">
        <f t="shared" si="9"/>
        <v>451333.16619616345</v>
      </c>
      <c r="Z59">
        <f t="shared" si="10"/>
        <v>7250.8425956983883</v>
      </c>
      <c r="AB59">
        <v>35</v>
      </c>
      <c r="AC59">
        <f t="shared" si="11"/>
        <v>0</v>
      </c>
      <c r="AD59">
        <f t="shared" si="12"/>
        <v>-300</v>
      </c>
      <c r="AE59">
        <f t="shared" si="13"/>
        <v>-25873.594830161201</v>
      </c>
      <c r="AF59">
        <f>0</f>
        <v>0</v>
      </c>
      <c r="AG59">
        <f t="shared" si="14"/>
        <v>-18.179099999999998</v>
      </c>
      <c r="AH59">
        <f t="shared" si="15"/>
        <v>-7250.8425956983883</v>
      </c>
      <c r="AI59">
        <f t="shared" si="16"/>
        <v>-33442.616525859587</v>
      </c>
      <c r="AJ59">
        <f t="shared" si="17"/>
        <v>-435782.87744540058</v>
      </c>
      <c r="AK59">
        <f t="shared" si="18"/>
        <v>-469225.49397126015</v>
      </c>
      <c r="AL59">
        <f t="shared" si="19"/>
        <v>0.12756637016292588</v>
      </c>
      <c r="AM59">
        <f t="shared" si="20"/>
        <v>-43220.80327411832</v>
      </c>
      <c r="AN59">
        <f>0</f>
        <v>0</v>
      </c>
    </row>
    <row r="60" spans="1:40" x14ac:dyDescent="0.2">
      <c r="A60">
        <f t="shared" si="21"/>
        <v>80</v>
      </c>
      <c r="B60">
        <f>VLOOKUP(A60,Table21[#All],2,FALSE)</f>
        <v>4.7835919400000003E-2</v>
      </c>
      <c r="C60">
        <f t="shared" si="22"/>
        <v>0.1</v>
      </c>
      <c r="D60">
        <f t="shared" si="23"/>
        <v>0.1</v>
      </c>
      <c r="E60">
        <f t="shared" si="0"/>
        <v>3.8747094714000008E-2</v>
      </c>
      <c r="F60">
        <f t="shared" si="1"/>
        <v>0.96125290528599994</v>
      </c>
      <c r="G60">
        <f t="shared" si="2"/>
        <v>0.53392840325586555</v>
      </c>
      <c r="H60">
        <f t="shared" si="3"/>
        <v>0.53392840325586555</v>
      </c>
      <c r="J60">
        <f t="shared" si="24"/>
        <v>80</v>
      </c>
      <c r="K60">
        <f t="shared" si="4"/>
        <v>3.8747094714000008E-2</v>
      </c>
      <c r="L60">
        <f>0</f>
        <v>0</v>
      </c>
      <c r="M60">
        <f t="shared" si="5"/>
        <v>0.96125290528599994</v>
      </c>
      <c r="N60">
        <f t="shared" si="25"/>
        <v>0.69718486291171256</v>
      </c>
      <c r="P60">
        <v>36</v>
      </c>
      <c r="Q60">
        <f t="shared" si="6"/>
        <v>0</v>
      </c>
      <c r="R60">
        <f t="shared" si="26"/>
        <v>300</v>
      </c>
      <c r="S60">
        <f>VLOOKUP(J60,Table1[#All],3,FALSE)</f>
        <v>750957.85439999995</v>
      </c>
      <c r="T60">
        <f t="shared" si="7"/>
        <v>0</v>
      </c>
      <c r="U60">
        <v>0</v>
      </c>
      <c r="V60">
        <f t="shared" si="8"/>
        <v>459866.88959143171</v>
      </c>
      <c r="X60">
        <v>36</v>
      </c>
      <c r="Y60">
        <f t="shared" si="9"/>
        <v>459866.88959143171</v>
      </c>
      <c r="Z60">
        <f t="shared" si="10"/>
        <v>7218.6041928934092</v>
      </c>
      <c r="AB60">
        <v>36</v>
      </c>
      <c r="AC60">
        <f t="shared" si="11"/>
        <v>0</v>
      </c>
      <c r="AD60">
        <f t="shared" si="12"/>
        <v>-300</v>
      </c>
      <c r="AE60">
        <f t="shared" si="13"/>
        <v>-29097.435110659026</v>
      </c>
      <c r="AF60">
        <f>0</f>
        <v>0</v>
      </c>
      <c r="AG60">
        <f t="shared" si="14"/>
        <v>-18.179099999999998</v>
      </c>
      <c r="AH60">
        <f t="shared" si="15"/>
        <v>-7218.6041928934092</v>
      </c>
      <c r="AI60">
        <f t="shared" si="16"/>
        <v>-36634.218403552433</v>
      </c>
      <c r="AJ60">
        <f t="shared" si="17"/>
        <v>-442048.38366459991</v>
      </c>
      <c r="AK60">
        <f t="shared" si="18"/>
        <v>-478682.60206815234</v>
      </c>
      <c r="AL60">
        <f t="shared" si="19"/>
        <v>0.12027789081331164</v>
      </c>
      <c r="AM60">
        <f t="shared" si="20"/>
        <v>-40140.372290706138</v>
      </c>
      <c r="AN60">
        <f>0</f>
        <v>0</v>
      </c>
    </row>
    <row r="61" spans="1:40" x14ac:dyDescent="0.2">
      <c r="A61">
        <f t="shared" si="21"/>
        <v>81</v>
      </c>
      <c r="B61">
        <f>VLOOKUP(A61,Table21[#All],2,FALSE)</f>
        <v>5.3568336670000001E-2</v>
      </c>
      <c r="C61">
        <f t="shared" si="22"/>
        <v>0.1</v>
      </c>
      <c r="D61">
        <f t="shared" si="23"/>
        <v>0.1</v>
      </c>
      <c r="E61">
        <f t="shared" si="0"/>
        <v>4.3390352702700002E-2</v>
      </c>
      <c r="F61">
        <f t="shared" si="1"/>
        <v>0.95660964729730003</v>
      </c>
      <c r="G61">
        <f t="shared" si="2"/>
        <v>0.54880018056954993</v>
      </c>
      <c r="H61">
        <f t="shared" si="3"/>
        <v>0.54866265603154296</v>
      </c>
      <c r="J61">
        <f t="shared" si="24"/>
        <v>81</v>
      </c>
      <c r="K61">
        <f t="shared" si="4"/>
        <v>4.3390352702700002E-2</v>
      </c>
      <c r="L61">
        <f>0</f>
        <v>0</v>
      </c>
      <c r="M61">
        <f t="shared" si="5"/>
        <v>0.95660964729730003</v>
      </c>
      <c r="N61">
        <f t="shared" si="25"/>
        <v>0.67017097499530531</v>
      </c>
      <c r="P61">
        <v>37</v>
      </c>
      <c r="Q61">
        <f t="shared" si="6"/>
        <v>0</v>
      </c>
      <c r="R61">
        <f t="shared" si="26"/>
        <v>300</v>
      </c>
      <c r="S61">
        <f>VLOOKUP(J61,Table1[#All],3,FALSE)</f>
        <v>750957.85439999995</v>
      </c>
      <c r="T61">
        <f t="shared" si="7"/>
        <v>0</v>
      </c>
      <c r="U61">
        <v>0</v>
      </c>
      <c r="V61">
        <f t="shared" si="8"/>
        <v>467951.79644605395</v>
      </c>
      <c r="X61">
        <v>37</v>
      </c>
      <c r="Y61">
        <f t="shared" si="9"/>
        <v>467951.79644605395</v>
      </c>
      <c r="Z61">
        <f t="shared" si="10"/>
        <v>7183.7352823272122</v>
      </c>
      <c r="AB61">
        <v>37</v>
      </c>
      <c r="AC61">
        <f t="shared" si="11"/>
        <v>0</v>
      </c>
      <c r="AD61">
        <f t="shared" si="12"/>
        <v>-300</v>
      </c>
      <c r="AE61">
        <f t="shared" si="13"/>
        <v>-32584.326167278832</v>
      </c>
      <c r="AF61">
        <f>0</f>
        <v>0</v>
      </c>
      <c r="AG61">
        <f t="shared" si="14"/>
        <v>-18.179099999999998</v>
      </c>
      <c r="AH61">
        <f t="shared" si="15"/>
        <v>-7183.7352823272122</v>
      </c>
      <c r="AI61">
        <f t="shared" si="16"/>
        <v>-40086.240549606053</v>
      </c>
      <c r="AJ61">
        <f t="shared" si="17"/>
        <v>-447647.20295039762</v>
      </c>
      <c r="AK61">
        <f t="shared" si="18"/>
        <v>-487733.44350000366</v>
      </c>
      <c r="AL61">
        <f t="shared" si="19"/>
        <v>0.11340583729098955</v>
      </c>
      <c r="AM61">
        <f t="shared" si="20"/>
        <v>-37068.376026492071</v>
      </c>
      <c r="AN61">
        <f>0</f>
        <v>0</v>
      </c>
    </row>
    <row r="62" spans="1:40" x14ac:dyDescent="0.2">
      <c r="A62">
        <f t="shared" si="21"/>
        <v>82</v>
      </c>
      <c r="B62">
        <f>VLOOKUP(A62,Table21[#All],2,FALSE)</f>
        <v>6.033430142E-2</v>
      </c>
      <c r="C62">
        <f t="shared" si="22"/>
        <v>0.1</v>
      </c>
      <c r="D62">
        <f t="shared" si="23"/>
        <v>0.1</v>
      </c>
      <c r="E62">
        <f t="shared" si="0"/>
        <v>4.8870784150199999E-2</v>
      </c>
      <c r="F62">
        <f t="shared" si="1"/>
        <v>0.95112921584980004</v>
      </c>
      <c r="G62">
        <f t="shared" si="2"/>
        <v>0.56309851560739466</v>
      </c>
      <c r="H62">
        <f t="shared" si="3"/>
        <v>0.56294198614537183</v>
      </c>
      <c r="J62">
        <f t="shared" si="24"/>
        <v>82</v>
      </c>
      <c r="K62">
        <f t="shared" si="4"/>
        <v>4.8870784150199999E-2</v>
      </c>
      <c r="L62">
        <f>0</f>
        <v>0</v>
      </c>
      <c r="M62">
        <f t="shared" si="5"/>
        <v>0.95112921584980004</v>
      </c>
      <c r="N62">
        <f t="shared" si="25"/>
        <v>0.64109202001914667</v>
      </c>
      <c r="P62">
        <v>38</v>
      </c>
      <c r="Q62">
        <f t="shared" si="6"/>
        <v>0</v>
      </c>
      <c r="R62">
        <f t="shared" si="26"/>
        <v>300</v>
      </c>
      <c r="S62">
        <f>VLOOKUP(J62,Table1[#All],3,FALSE)</f>
        <v>750957.85439999995</v>
      </c>
      <c r="T62">
        <f t="shared" si="7"/>
        <v>0</v>
      </c>
      <c r="U62">
        <v>0</v>
      </c>
      <c r="V62">
        <f t="shared" si="8"/>
        <v>475379.79704589437</v>
      </c>
      <c r="X62">
        <v>38</v>
      </c>
      <c r="Y62">
        <f t="shared" si="9"/>
        <v>475379.79704589437</v>
      </c>
      <c r="Z62">
        <f t="shared" si="10"/>
        <v>7142.5795519172034</v>
      </c>
      <c r="AB62">
        <v>38</v>
      </c>
      <c r="AC62">
        <f t="shared" si="11"/>
        <v>0</v>
      </c>
      <c r="AD62">
        <f t="shared" si="12"/>
        <v>-300</v>
      </c>
      <c r="AE62">
        <f t="shared" si="13"/>
        <v>-36699.899208279719</v>
      </c>
      <c r="AF62">
        <f>0</f>
        <v>0</v>
      </c>
      <c r="AG62">
        <f t="shared" si="14"/>
        <v>-18.179099999999998</v>
      </c>
      <c r="AH62">
        <f t="shared" si="15"/>
        <v>-7142.5795519172034</v>
      </c>
      <c r="AI62">
        <f t="shared" si="16"/>
        <v>-44160.657860196923</v>
      </c>
      <c r="AJ62">
        <f t="shared" si="17"/>
        <v>-452147.61359509861</v>
      </c>
      <c r="AK62">
        <f t="shared" si="18"/>
        <v>-496308.2714552955</v>
      </c>
      <c r="AL62">
        <f t="shared" si="19"/>
        <v>0.10692641718861129</v>
      </c>
      <c r="AM62">
        <f t="shared" si="20"/>
        <v>-34021.769610663636</v>
      </c>
      <c r="AN62">
        <f>0</f>
        <v>0</v>
      </c>
    </row>
    <row r="63" spans="1:40" x14ac:dyDescent="0.2">
      <c r="A63">
        <f t="shared" si="21"/>
        <v>83</v>
      </c>
      <c r="B63">
        <f>VLOOKUP(A63,Table21[#All],2,FALSE)</f>
        <v>6.8312572380000006E-2</v>
      </c>
      <c r="C63">
        <f t="shared" si="22"/>
        <v>0.1</v>
      </c>
      <c r="D63">
        <f t="shared" si="23"/>
        <v>0.1</v>
      </c>
      <c r="E63">
        <f t="shared" si="0"/>
        <v>5.5333183627800007E-2</v>
      </c>
      <c r="F63">
        <f t="shared" si="1"/>
        <v>0.94466681637219996</v>
      </c>
      <c r="G63">
        <f t="shared" si="2"/>
        <v>0.5765250431483433</v>
      </c>
      <c r="H63">
        <f t="shared" si="3"/>
        <v>0.57650156669473129</v>
      </c>
      <c r="J63">
        <f t="shared" si="24"/>
        <v>83</v>
      </c>
      <c r="K63">
        <f t="shared" si="4"/>
        <v>5.5333183627800007E-2</v>
      </c>
      <c r="L63">
        <f>0</f>
        <v>0</v>
      </c>
      <c r="M63">
        <f t="shared" si="5"/>
        <v>0.94466681637219996</v>
      </c>
      <c r="N63">
        <f t="shared" si="25"/>
        <v>0.6097613502883753</v>
      </c>
      <c r="P63">
        <v>39</v>
      </c>
      <c r="Q63">
        <f t="shared" si="6"/>
        <v>0</v>
      </c>
      <c r="R63">
        <f t="shared" si="26"/>
        <v>300</v>
      </c>
      <c r="S63">
        <f>VLOOKUP(J63,Table1[#All],3,FALSE)</f>
        <v>750957.85439999995</v>
      </c>
      <c r="T63">
        <f t="shared" si="7"/>
        <v>0</v>
      </c>
      <c r="U63">
        <v>0</v>
      </c>
      <c r="V63">
        <f t="shared" si="8"/>
        <v>481885.52948854223</v>
      </c>
      <c r="X63">
        <v>39</v>
      </c>
      <c r="Y63">
        <f t="shared" si="9"/>
        <v>481885.52948854223</v>
      </c>
      <c r="Z63">
        <f t="shared" si="10"/>
        <v>7094.0496554574611</v>
      </c>
      <c r="AB63">
        <v>39</v>
      </c>
      <c r="AC63">
        <f t="shared" si="11"/>
        <v>0</v>
      </c>
      <c r="AD63">
        <f t="shared" si="12"/>
        <v>-300</v>
      </c>
      <c r="AE63">
        <f t="shared" si="13"/>
        <v>-41552.888854253899</v>
      </c>
      <c r="AF63">
        <f>0</f>
        <v>0</v>
      </c>
      <c r="AG63">
        <f t="shared" si="14"/>
        <v>-18.179099999999998</v>
      </c>
      <c r="AH63">
        <f t="shared" si="15"/>
        <v>-7094.0496554574611</v>
      </c>
      <c r="AI63">
        <f t="shared" si="16"/>
        <v>-48965.117609711364</v>
      </c>
      <c r="AJ63">
        <f t="shared" si="17"/>
        <v>-455221.26899777306</v>
      </c>
      <c r="AK63">
        <f t="shared" si="18"/>
        <v>-504186.38660748443</v>
      </c>
      <c r="AL63">
        <f t="shared" si="19"/>
        <v>0.10081719747332049</v>
      </c>
      <c r="AM63">
        <f t="shared" si="20"/>
        <v>-30994.570964206479</v>
      </c>
      <c r="AN63">
        <f>0</f>
        <v>0</v>
      </c>
    </row>
    <row r="64" spans="1:40" x14ac:dyDescent="0.2">
      <c r="A64">
        <f t="shared" si="21"/>
        <v>84</v>
      </c>
      <c r="B64">
        <f>VLOOKUP(A64,Table21[#All],2,FALSE)</f>
        <v>7.7718919250000004E-2</v>
      </c>
      <c r="C64">
        <f t="shared" si="22"/>
        <v>0.1</v>
      </c>
      <c r="D64">
        <f t="shared" si="23"/>
        <v>0.1</v>
      </c>
      <c r="E64">
        <f t="shared" si="0"/>
        <v>6.2952324592500011E-2</v>
      </c>
      <c r="F64">
        <f t="shared" si="1"/>
        <v>0.9370476754075</v>
      </c>
      <c r="G64">
        <f t="shared" si="2"/>
        <v>0.5887023212013498</v>
      </c>
      <c r="H64">
        <f t="shared" si="3"/>
        <v>0.58869886696064144</v>
      </c>
      <c r="J64">
        <f t="shared" si="24"/>
        <v>84</v>
      </c>
      <c r="K64">
        <f t="shared" si="4"/>
        <v>6.2952324592500011E-2</v>
      </c>
      <c r="L64">
        <f>0</f>
        <v>0</v>
      </c>
      <c r="M64">
        <f t="shared" si="5"/>
        <v>0.9370476754075</v>
      </c>
      <c r="N64">
        <f t="shared" si="25"/>
        <v>0.57602131352373331</v>
      </c>
      <c r="P64">
        <v>40</v>
      </c>
      <c r="Q64">
        <f t="shared" si="6"/>
        <v>0</v>
      </c>
      <c r="R64">
        <f t="shared" si="26"/>
        <v>300</v>
      </c>
      <c r="S64">
        <f>VLOOKUP(J64,Table1[#All],3,FALSE)</f>
        <v>750957.85439999995</v>
      </c>
      <c r="T64">
        <f t="shared" si="7"/>
        <v>0</v>
      </c>
      <c r="U64">
        <v>0</v>
      </c>
      <c r="V64">
        <f t="shared" si="8"/>
        <v>487122.27144369757</v>
      </c>
      <c r="X64">
        <v>40</v>
      </c>
      <c r="Y64">
        <f t="shared" si="9"/>
        <v>487122.27144369757</v>
      </c>
      <c r="Z64">
        <f t="shared" si="10"/>
        <v>7036.8331179452389</v>
      </c>
      <c r="AB64">
        <v>40</v>
      </c>
      <c r="AC64">
        <f t="shared" si="11"/>
        <v>0</v>
      </c>
      <c r="AD64">
        <f t="shared" si="12"/>
        <v>-300</v>
      </c>
      <c r="AE64">
        <f t="shared" si="13"/>
        <v>-47274.542605476163</v>
      </c>
      <c r="AF64">
        <f>0</f>
        <v>0</v>
      </c>
      <c r="AG64">
        <f t="shared" si="14"/>
        <v>-18.179099999999998</v>
      </c>
      <c r="AH64">
        <f t="shared" si="15"/>
        <v>-7036.8331179452389</v>
      </c>
      <c r="AI64">
        <f t="shared" si="16"/>
        <v>-54629.5548234214</v>
      </c>
      <c r="AJ64">
        <f t="shared" si="17"/>
        <v>-456456.792095538</v>
      </c>
      <c r="AK64">
        <f t="shared" si="18"/>
        <v>-511086.3469189594</v>
      </c>
      <c r="AL64">
        <f t="shared" si="19"/>
        <v>9.5057026819159868E-2</v>
      </c>
      <c r="AM64">
        <f t="shared" si="20"/>
        <v>-27984.468246565222</v>
      </c>
      <c r="AN64">
        <f>0</f>
        <v>0</v>
      </c>
    </row>
    <row r="65" spans="1:40" x14ac:dyDescent="0.2">
      <c r="A65">
        <f t="shared" si="21"/>
        <v>85</v>
      </c>
      <c r="B65">
        <f>VLOOKUP(A65,Table21[#All],2,FALSE)</f>
        <v>8.8335138780000003E-2</v>
      </c>
      <c r="C65">
        <f t="shared" si="22"/>
        <v>0.1</v>
      </c>
      <c r="D65">
        <f t="shared" si="23"/>
        <v>0.1</v>
      </c>
      <c r="E65">
        <f t="shared" si="0"/>
        <v>7.1551462411800007E-2</v>
      </c>
      <c r="F65">
        <f t="shared" si="1"/>
        <v>0.92844853758820001</v>
      </c>
      <c r="G65">
        <f t="shared" si="2"/>
        <v>0.59914090382064933</v>
      </c>
      <c r="H65">
        <f t="shared" si="3"/>
        <v>0.59914040492201803</v>
      </c>
      <c r="J65">
        <f t="shared" si="24"/>
        <v>85</v>
      </c>
      <c r="K65">
        <f t="shared" si="4"/>
        <v>7.1551462411800007E-2</v>
      </c>
      <c r="L65">
        <f>0</f>
        <v>0</v>
      </c>
      <c r="M65">
        <f t="shared" si="5"/>
        <v>0.92844853758820001</v>
      </c>
      <c r="N65">
        <f t="shared" si="25"/>
        <v>0.53975943282258909</v>
      </c>
      <c r="P65">
        <v>41</v>
      </c>
      <c r="Q65">
        <f t="shared" si="6"/>
        <v>0</v>
      </c>
      <c r="R65">
        <f t="shared" si="26"/>
        <v>300</v>
      </c>
      <c r="S65">
        <f>VLOOKUP(J65,Table1[#All],3,FALSE)</f>
        <v>750957.85439999995</v>
      </c>
      <c r="T65">
        <f t="shared" si="7"/>
        <v>0</v>
      </c>
      <c r="U65">
        <v>0</v>
      </c>
      <c r="V65">
        <f t="shared" si="8"/>
        <v>490730.32297609799</v>
      </c>
      <c r="X65">
        <v>41</v>
      </c>
      <c r="Y65">
        <f t="shared" si="9"/>
        <v>490730.32297609799</v>
      </c>
      <c r="Z65">
        <f t="shared" si="10"/>
        <v>6972.2572170805242</v>
      </c>
      <c r="AB65">
        <v>41</v>
      </c>
      <c r="AC65">
        <f t="shared" si="11"/>
        <v>0</v>
      </c>
      <c r="AD65">
        <f t="shared" si="12"/>
        <v>-300</v>
      </c>
      <c r="AE65">
        <f t="shared" si="13"/>
        <v>-53732.132691947576</v>
      </c>
      <c r="AF65">
        <f>0</f>
        <v>0</v>
      </c>
      <c r="AG65">
        <f t="shared" si="14"/>
        <v>-18.179099999999998</v>
      </c>
      <c r="AH65">
        <f t="shared" si="15"/>
        <v>-6972.2572170805242</v>
      </c>
      <c r="AI65">
        <f t="shared" si="16"/>
        <v>-61022.569009028099</v>
      </c>
      <c r="AJ65">
        <f t="shared" si="17"/>
        <v>-455617.85071734322</v>
      </c>
      <c r="AK65">
        <f t="shared" si="18"/>
        <v>-516640.4197263713</v>
      </c>
      <c r="AL65">
        <f t="shared" si="19"/>
        <v>8.9625962377000754E-2</v>
      </c>
      <c r="AM65">
        <f t="shared" si="20"/>
        <v>-24993.233885686393</v>
      </c>
      <c r="AN65">
        <f>0</f>
        <v>0</v>
      </c>
    </row>
    <row r="66" spans="1:40" x14ac:dyDescent="0.2">
      <c r="A66">
        <f t="shared" si="21"/>
        <v>86</v>
      </c>
      <c r="B66">
        <f>VLOOKUP(A66,Table21[#All],2,FALSE)</f>
        <v>9.9897901100000006E-2</v>
      </c>
      <c r="C66">
        <f t="shared" si="22"/>
        <v>0.1</v>
      </c>
      <c r="D66">
        <f t="shared" si="23"/>
        <v>0.1</v>
      </c>
      <c r="E66">
        <f t="shared" si="0"/>
        <v>8.0917299891000008E-2</v>
      </c>
      <c r="F66">
        <f t="shared" si="1"/>
        <v>0.91908270010899995</v>
      </c>
      <c r="G66">
        <f t="shared" si="2"/>
        <v>0.60735254559448393</v>
      </c>
      <c r="H66">
        <f t="shared" si="3"/>
        <v>0.60735247483545252</v>
      </c>
      <c r="J66">
        <f t="shared" si="24"/>
        <v>86</v>
      </c>
      <c r="K66">
        <f t="shared" si="4"/>
        <v>8.0917299891000008E-2</v>
      </c>
      <c r="L66">
        <f>0</f>
        <v>0</v>
      </c>
      <c r="M66">
        <f t="shared" si="5"/>
        <v>0.91908270010899995</v>
      </c>
      <c r="N66">
        <f t="shared" si="25"/>
        <v>0.50113885605356912</v>
      </c>
      <c r="P66">
        <v>42</v>
      </c>
      <c r="Q66">
        <f t="shared" si="6"/>
        <v>0</v>
      </c>
      <c r="R66">
        <f t="shared" si="26"/>
        <v>300</v>
      </c>
      <c r="S66">
        <f>VLOOKUP(J66,Table1[#All],3,FALSE)</f>
        <v>750957.85439999995</v>
      </c>
      <c r="T66">
        <f t="shared" si="7"/>
        <v>0</v>
      </c>
      <c r="U66">
        <v>0</v>
      </c>
      <c r="V66">
        <f t="shared" si="8"/>
        <v>492318.61677837156</v>
      </c>
      <c r="X66">
        <v>42</v>
      </c>
      <c r="Y66">
        <f t="shared" si="9"/>
        <v>492318.61677837156</v>
      </c>
      <c r="Z66">
        <f t="shared" si="10"/>
        <v>6901.9237249001326</v>
      </c>
      <c r="AB66">
        <v>42</v>
      </c>
      <c r="AC66">
        <f t="shared" si="11"/>
        <v>0</v>
      </c>
      <c r="AD66">
        <f t="shared" si="12"/>
        <v>-300</v>
      </c>
      <c r="AE66">
        <f t="shared" si="13"/>
        <v>-60765.481909986716</v>
      </c>
      <c r="AF66">
        <f>0</f>
        <v>0</v>
      </c>
      <c r="AG66">
        <f t="shared" si="14"/>
        <v>-18.179099999999998</v>
      </c>
      <c r="AH66">
        <f t="shared" si="15"/>
        <v>-6901.9237249001326</v>
      </c>
      <c r="AI66">
        <f t="shared" si="16"/>
        <v>-67985.584734886856</v>
      </c>
      <c r="AJ66">
        <f t="shared" si="17"/>
        <v>-452481.52362259373</v>
      </c>
      <c r="AK66">
        <f t="shared" si="18"/>
        <v>-520467.10835748061</v>
      </c>
      <c r="AL66">
        <f t="shared" si="19"/>
        <v>8.4505200728458366E-2</v>
      </c>
      <c r="AM66">
        <f t="shared" si="20"/>
        <v>-22041.178101208974</v>
      </c>
      <c r="AN66">
        <f>0</f>
        <v>0</v>
      </c>
    </row>
    <row r="67" spans="1:40" x14ac:dyDescent="0.2">
      <c r="A67">
        <f t="shared" si="21"/>
        <v>87</v>
      </c>
      <c r="B67">
        <f>VLOOKUP(A67,Table21[#All],2,FALSE)</f>
        <v>0.1128515066</v>
      </c>
      <c r="C67">
        <f t="shared" si="22"/>
        <v>0.1</v>
      </c>
      <c r="D67">
        <f t="shared" si="23"/>
        <v>0.1</v>
      </c>
      <c r="E67">
        <f t="shared" si="0"/>
        <v>9.1409720346000006E-2</v>
      </c>
      <c r="F67">
        <f t="shared" si="1"/>
        <v>0.90859027965399997</v>
      </c>
      <c r="G67">
        <f t="shared" si="2"/>
        <v>0.61282731993766681</v>
      </c>
      <c r="H67">
        <f t="shared" si="3"/>
        <v>0.61282731008108693</v>
      </c>
      <c r="J67">
        <f t="shared" si="24"/>
        <v>87</v>
      </c>
      <c r="K67">
        <f t="shared" si="4"/>
        <v>9.1409720346000006E-2</v>
      </c>
      <c r="L67">
        <f>0</f>
        <v>0</v>
      </c>
      <c r="M67">
        <f t="shared" si="5"/>
        <v>0.90859027965399997</v>
      </c>
      <c r="N67">
        <f t="shared" si="25"/>
        <v>0.46058805295124977</v>
      </c>
      <c r="P67">
        <v>43</v>
      </c>
      <c r="Q67">
        <f t="shared" si="6"/>
        <v>0</v>
      </c>
      <c r="R67">
        <f t="shared" si="26"/>
        <v>300</v>
      </c>
      <c r="S67">
        <f>VLOOKUP(J67,Table1[#All],3,FALSE)</f>
        <v>750957.85439999995</v>
      </c>
      <c r="T67">
        <f t="shared" si="7"/>
        <v>0</v>
      </c>
      <c r="U67">
        <v>0</v>
      </c>
      <c r="V67">
        <f t="shared" si="8"/>
        <v>491272.58057125384</v>
      </c>
      <c r="X67">
        <v>43</v>
      </c>
      <c r="Y67">
        <f t="shared" si="9"/>
        <v>491272.58057125384</v>
      </c>
      <c r="Z67">
        <f t="shared" si="10"/>
        <v>6823.1300693766379</v>
      </c>
      <c r="AB67">
        <v>43</v>
      </c>
      <c r="AC67">
        <f t="shared" si="11"/>
        <v>0</v>
      </c>
      <c r="AD67">
        <f t="shared" si="12"/>
        <v>-300</v>
      </c>
      <c r="AE67">
        <f t="shared" si="13"/>
        <v>-68644.847462336184</v>
      </c>
      <c r="AF67">
        <f>0</f>
        <v>0</v>
      </c>
      <c r="AG67">
        <f t="shared" si="14"/>
        <v>-18.179099999999998</v>
      </c>
      <c r="AH67">
        <f t="shared" si="15"/>
        <v>-6823.1300693766379</v>
      </c>
      <c r="AI67">
        <f t="shared" si="16"/>
        <v>-75786.156631712816</v>
      </c>
      <c r="AJ67">
        <f t="shared" si="17"/>
        <v>-446365.49136757775</v>
      </c>
      <c r="AK67">
        <f t="shared" si="18"/>
        <v>-522151.64799929055</v>
      </c>
      <c r="AL67">
        <f t="shared" si="19"/>
        <v>7.9677012784741388E-2</v>
      </c>
      <c r="AM67">
        <f t="shared" si="20"/>
        <v>-19162.067476552074</v>
      </c>
      <c r="AN67">
        <f>0</f>
        <v>0</v>
      </c>
    </row>
    <row r="68" spans="1:40" x14ac:dyDescent="0.2">
      <c r="A68">
        <f t="shared" si="21"/>
        <v>88</v>
      </c>
      <c r="B68">
        <f>VLOOKUP(A68,Table21[#All],2,FALSE)</f>
        <v>0.12709753430000001</v>
      </c>
      <c r="C68">
        <f t="shared" si="22"/>
        <v>0.1</v>
      </c>
      <c r="D68">
        <f t="shared" si="23"/>
        <v>0.1</v>
      </c>
      <c r="E68">
        <f t="shared" si="0"/>
        <v>0.10294900278300001</v>
      </c>
      <c r="F68">
        <f t="shared" si="1"/>
        <v>0.89705099721699999</v>
      </c>
      <c r="G68">
        <f t="shared" si="2"/>
        <v>0.61474694282513342</v>
      </c>
      <c r="H68">
        <f t="shared" si="3"/>
        <v>0.614746941475938</v>
      </c>
      <c r="J68">
        <f t="shared" si="24"/>
        <v>88</v>
      </c>
      <c r="K68">
        <f t="shared" si="4"/>
        <v>0.10294900278300001</v>
      </c>
      <c r="L68">
        <f>0</f>
        <v>0</v>
      </c>
      <c r="M68">
        <f t="shared" si="5"/>
        <v>0.89705099721699999</v>
      </c>
      <c r="N68">
        <f t="shared" si="25"/>
        <v>0.41848582783626737</v>
      </c>
      <c r="P68">
        <v>44</v>
      </c>
      <c r="Q68">
        <f t="shared" si="6"/>
        <v>0</v>
      </c>
      <c r="R68">
        <f t="shared" si="26"/>
        <v>300</v>
      </c>
      <c r="S68">
        <f>VLOOKUP(J68,Table1[#All],3,FALSE)</f>
        <v>750957.85439999995</v>
      </c>
      <c r="T68">
        <f t="shared" si="7"/>
        <v>0</v>
      </c>
      <c r="U68">
        <v>0</v>
      </c>
      <c r="V68">
        <f t="shared" si="8"/>
        <v>486791.95522523945</v>
      </c>
      <c r="X68">
        <v>44</v>
      </c>
      <c r="Y68">
        <f t="shared" si="9"/>
        <v>486791.95522523945</v>
      </c>
      <c r="Z68">
        <f t="shared" si="10"/>
        <v>6736.4749215745869</v>
      </c>
      <c r="AB68">
        <v>44</v>
      </c>
      <c r="AC68">
        <f t="shared" si="11"/>
        <v>0</v>
      </c>
      <c r="AD68">
        <f t="shared" si="12"/>
        <v>-300</v>
      </c>
      <c r="AE68">
        <f t="shared" si="13"/>
        <v>-77310.362242541305</v>
      </c>
      <c r="AF68">
        <f>0</f>
        <v>0</v>
      </c>
      <c r="AG68">
        <f t="shared" si="14"/>
        <v>-18.179099999999998</v>
      </c>
      <c r="AH68">
        <f t="shared" si="15"/>
        <v>-6736.4749215745869</v>
      </c>
      <c r="AI68">
        <f t="shared" si="16"/>
        <v>-84365.016264115882</v>
      </c>
      <c r="AJ68">
        <f t="shared" si="17"/>
        <v>-436677.20887201425</v>
      </c>
      <c r="AK68">
        <f t="shared" si="18"/>
        <v>-521042.22513613012</v>
      </c>
      <c r="AL68">
        <f t="shared" si="19"/>
        <v>7.5124682405043011E-2</v>
      </c>
      <c r="AM68">
        <f t="shared" si="20"/>
        <v>-16380.845866451178</v>
      </c>
      <c r="AN68">
        <f>0</f>
        <v>0</v>
      </c>
    </row>
    <row r="69" spans="1:40" x14ac:dyDescent="0.2">
      <c r="A69">
        <f t="shared" si="21"/>
        <v>89</v>
      </c>
      <c r="B69">
        <f>VLOOKUP(A69,Table21[#All],2,FALSE)</f>
        <v>0.1428879924</v>
      </c>
      <c r="C69">
        <f t="shared" si="22"/>
        <v>0.1</v>
      </c>
      <c r="D69">
        <f t="shared" si="23"/>
        <v>0.1</v>
      </c>
      <c r="E69">
        <f t="shared" si="0"/>
        <v>0.11573927384400001</v>
      </c>
      <c r="F69">
        <f t="shared" si="1"/>
        <v>0.88426072615600004</v>
      </c>
      <c r="G69">
        <f t="shared" si="2"/>
        <v>0.61206081063381379</v>
      </c>
      <c r="H69">
        <f t="shared" si="3"/>
        <v>0.61206081045225502</v>
      </c>
      <c r="J69">
        <f t="shared" si="24"/>
        <v>89</v>
      </c>
      <c r="K69">
        <f t="shared" si="4"/>
        <v>0.11573927384400001</v>
      </c>
      <c r="L69">
        <f>0</f>
        <v>0</v>
      </c>
      <c r="M69">
        <f t="shared" si="5"/>
        <v>0.88426072615600004</v>
      </c>
      <c r="N69">
        <f t="shared" si="25"/>
        <v>0.37540312918170543</v>
      </c>
      <c r="P69">
        <v>45</v>
      </c>
      <c r="Q69">
        <f t="shared" si="6"/>
        <v>0</v>
      </c>
      <c r="R69">
        <f t="shared" si="26"/>
        <v>300</v>
      </c>
      <c r="S69">
        <f>VLOOKUP(J69,Table1[#All],3,FALSE)</f>
        <v>750957.85439999995</v>
      </c>
      <c r="T69">
        <f t="shared" si="7"/>
        <v>0</v>
      </c>
      <c r="U69">
        <v>0</v>
      </c>
      <c r="V69">
        <f t="shared" si="8"/>
        <v>477705.44773618493</v>
      </c>
      <c r="X69">
        <v>45</v>
      </c>
      <c r="Y69">
        <f t="shared" si="9"/>
        <v>477705.44773618493</v>
      </c>
      <c r="Z69">
        <f t="shared" si="10"/>
        <v>6640.4253764429577</v>
      </c>
      <c r="AB69">
        <v>45</v>
      </c>
      <c r="AC69">
        <f t="shared" si="11"/>
        <v>0</v>
      </c>
      <c r="AD69">
        <f t="shared" si="12"/>
        <v>-300</v>
      </c>
      <c r="AE69">
        <f t="shared" si="13"/>
        <v>-86915.316755704291</v>
      </c>
      <c r="AF69">
        <f>0</f>
        <v>0</v>
      </c>
      <c r="AG69">
        <f t="shared" si="14"/>
        <v>-18.179099999999998</v>
      </c>
      <c r="AH69">
        <f t="shared" si="15"/>
        <v>-6640.4253764429577</v>
      </c>
      <c r="AI69">
        <f t="shared" si="16"/>
        <v>-93873.921232147244</v>
      </c>
      <c r="AJ69">
        <f t="shared" si="17"/>
        <v>-422416.16610387602</v>
      </c>
      <c r="AK69">
        <f t="shared" si="18"/>
        <v>-516290.08733602328</v>
      </c>
      <c r="AL69">
        <f t="shared" si="19"/>
        <v>7.0832448521957928E-2</v>
      </c>
      <c r="AM69">
        <f t="shared" si="20"/>
        <v>-13728.526608483042</v>
      </c>
      <c r="AN69">
        <f>0</f>
        <v>0</v>
      </c>
    </row>
    <row r="70" spans="1:40" x14ac:dyDescent="0.2">
      <c r="A70">
        <f t="shared" si="21"/>
        <v>90</v>
      </c>
      <c r="B70">
        <f>VLOOKUP(A70,Table21[#All],2,FALSE)</f>
        <v>0.16031822570000001</v>
      </c>
      <c r="C70">
        <f t="shared" si="22"/>
        <v>0.1</v>
      </c>
      <c r="D70">
        <f t="shared" si="23"/>
        <v>0.1</v>
      </c>
      <c r="E70">
        <f t="shared" si="0"/>
        <v>0.12985776281700001</v>
      </c>
      <c r="F70">
        <f t="shared" si="1"/>
        <v>0.87014223718299999</v>
      </c>
      <c r="G70">
        <f t="shared" si="2"/>
        <v>0.60322772453165285</v>
      </c>
      <c r="H70">
        <f t="shared" si="3"/>
        <v>0.60322772450761797</v>
      </c>
      <c r="J70">
        <f t="shared" si="24"/>
        <v>90</v>
      </c>
      <c r="K70">
        <f t="shared" si="4"/>
        <v>0.12985776281700001</v>
      </c>
      <c r="L70">
        <f>0</f>
        <v>0</v>
      </c>
      <c r="M70">
        <f t="shared" si="5"/>
        <v>0.87014223718299999</v>
      </c>
      <c r="N70">
        <f t="shared" si="25"/>
        <v>0.33195424361144954</v>
      </c>
      <c r="P70">
        <v>46</v>
      </c>
      <c r="Q70">
        <f t="shared" si="6"/>
        <v>0</v>
      </c>
      <c r="R70">
        <f t="shared" si="26"/>
        <v>300</v>
      </c>
      <c r="S70">
        <f>VLOOKUP(J70,Table1[#All],3,FALSE)</f>
        <v>750957.85439999995</v>
      </c>
      <c r="T70">
        <f t="shared" si="7"/>
        <v>0</v>
      </c>
      <c r="U70">
        <v>0</v>
      </c>
      <c r="V70">
        <f t="shared" si="8"/>
        <v>462318.29699267226</v>
      </c>
      <c r="X70">
        <v>46</v>
      </c>
      <c r="Y70">
        <f t="shared" si="9"/>
        <v>462318.29699267226</v>
      </c>
      <c r="Z70">
        <f t="shared" si="10"/>
        <v>6534.4014745776158</v>
      </c>
      <c r="AB70">
        <v>46</v>
      </c>
      <c r="AC70">
        <f t="shared" si="11"/>
        <v>0</v>
      </c>
      <c r="AD70">
        <f t="shared" si="12"/>
        <v>-300</v>
      </c>
      <c r="AE70">
        <f t="shared" si="13"/>
        <v>-97517.706942238423</v>
      </c>
      <c r="AF70">
        <f>0</f>
        <v>0</v>
      </c>
      <c r="AG70">
        <f t="shared" si="14"/>
        <v>-18.179099999999998</v>
      </c>
      <c r="AH70">
        <f t="shared" si="15"/>
        <v>-6534.4014745776158</v>
      </c>
      <c r="AI70">
        <f t="shared" si="16"/>
        <v>-104370.28751681604</v>
      </c>
      <c r="AJ70">
        <f t="shared" si="17"/>
        <v>-402282.67723583843</v>
      </c>
      <c r="AK70">
        <f t="shared" si="18"/>
        <v>-506652.96475265449</v>
      </c>
      <c r="AL70">
        <f t="shared" si="19"/>
        <v>6.6785450573552382E-2</v>
      </c>
      <c r="AM70">
        <f t="shared" si="20"/>
        <v>-11232.351188714811</v>
      </c>
      <c r="AN70">
        <f>0</f>
        <v>0</v>
      </c>
    </row>
    <row r="71" spans="1:40" x14ac:dyDescent="0.2">
      <c r="A71">
        <f t="shared" si="21"/>
        <v>91</v>
      </c>
      <c r="B71">
        <f>VLOOKUP(A71,Table21[#All],2,FALSE)</f>
        <v>0.17771857720000001</v>
      </c>
      <c r="C71">
        <f t="shared" si="22"/>
        <v>0.1</v>
      </c>
      <c r="D71">
        <f t="shared" si="23"/>
        <v>0.1</v>
      </c>
      <c r="E71">
        <f t="shared" si="0"/>
        <v>0.143952047532</v>
      </c>
      <c r="F71">
        <f t="shared" si="1"/>
        <v>0.85604795246800003</v>
      </c>
      <c r="G71">
        <f t="shared" si="2"/>
        <v>0.58602344576321841</v>
      </c>
      <c r="H71">
        <f t="shared" si="3"/>
        <v>0.58602344576008603</v>
      </c>
      <c r="J71">
        <f t="shared" si="24"/>
        <v>91</v>
      </c>
      <c r="K71">
        <f t="shared" si="4"/>
        <v>0.143952047532</v>
      </c>
      <c r="L71">
        <f>0</f>
        <v>0</v>
      </c>
      <c r="M71">
        <f t="shared" si="5"/>
        <v>0.85604795246800003</v>
      </c>
      <c r="N71">
        <f t="shared" si="25"/>
        <v>0.28884740817845728</v>
      </c>
      <c r="P71">
        <v>47</v>
      </c>
      <c r="Q71">
        <f t="shared" si="6"/>
        <v>0</v>
      </c>
      <c r="R71">
        <f t="shared" si="26"/>
        <v>300</v>
      </c>
      <c r="S71">
        <f>VLOOKUP(J71,Table1[#All],3,FALSE)</f>
        <v>750957.85439999995</v>
      </c>
      <c r="T71">
        <f t="shared" si="7"/>
        <v>0</v>
      </c>
      <c r="U71">
        <v>0</v>
      </c>
      <c r="V71">
        <f t="shared" si="8"/>
        <v>438625.82530032611</v>
      </c>
      <c r="X71">
        <v>47</v>
      </c>
      <c r="Y71">
        <f t="shared" si="9"/>
        <v>438625.82530032611</v>
      </c>
      <c r="Z71">
        <f t="shared" si="10"/>
        <v>6428.5593364888246</v>
      </c>
      <c r="AB71">
        <v>47</v>
      </c>
      <c r="AC71">
        <f t="shared" si="11"/>
        <v>0</v>
      </c>
      <c r="AD71">
        <f t="shared" si="12"/>
        <v>-300</v>
      </c>
      <c r="AE71">
        <f t="shared" si="13"/>
        <v>-108101.92075111753</v>
      </c>
      <c r="AF71">
        <f>0</f>
        <v>0</v>
      </c>
      <c r="AG71">
        <f t="shared" si="14"/>
        <v>-18.179099999999998</v>
      </c>
      <c r="AH71">
        <f t="shared" si="15"/>
        <v>-6428.5593364888246</v>
      </c>
      <c r="AI71">
        <f t="shared" si="16"/>
        <v>-114848.65918760635</v>
      </c>
      <c r="AJ71">
        <f t="shared" si="17"/>
        <v>-375484.73964793084</v>
      </c>
      <c r="AK71">
        <f t="shared" si="18"/>
        <v>-490333.3988355372</v>
      </c>
      <c r="AL71">
        <f t="shared" si="19"/>
        <v>6.2969677053161921E-2</v>
      </c>
      <c r="AM71">
        <f t="shared" si="20"/>
        <v>-8918.4917926125108</v>
      </c>
      <c r="AN71">
        <f>0</f>
        <v>0</v>
      </c>
    </row>
    <row r="72" spans="1:40" x14ac:dyDescent="0.2">
      <c r="A72">
        <f t="shared" si="21"/>
        <v>92</v>
      </c>
      <c r="B72">
        <f>VLOOKUP(A72,Table21[#All],2,FALSE)</f>
        <v>0.1962978041</v>
      </c>
      <c r="C72">
        <f t="shared" si="22"/>
        <v>0.1</v>
      </c>
      <c r="D72">
        <f t="shared" si="23"/>
        <v>0.1</v>
      </c>
      <c r="E72">
        <f t="shared" si="0"/>
        <v>0.159001221321</v>
      </c>
      <c r="F72">
        <f t="shared" si="1"/>
        <v>0.84099877867899997</v>
      </c>
      <c r="G72">
        <f t="shared" si="2"/>
        <v>0.55789241665405964</v>
      </c>
      <c r="H72">
        <f t="shared" si="3"/>
        <v>0.55789241665405964</v>
      </c>
      <c r="J72">
        <f t="shared" si="24"/>
        <v>92</v>
      </c>
      <c r="K72">
        <f t="shared" si="4"/>
        <v>0.159001221321</v>
      </c>
      <c r="L72">
        <f>0</f>
        <v>0</v>
      </c>
      <c r="M72">
        <f t="shared" si="5"/>
        <v>0.84099877867899997</v>
      </c>
      <c r="N72">
        <f t="shared" si="25"/>
        <v>0.24726723234685699</v>
      </c>
      <c r="P72">
        <v>48</v>
      </c>
      <c r="Q72">
        <f t="shared" si="6"/>
        <v>0</v>
      </c>
      <c r="R72">
        <f t="shared" si="26"/>
        <v>300</v>
      </c>
      <c r="S72">
        <f>VLOOKUP(J72,Table1[#All],3,FALSE)</f>
        <v>750957.85439999995</v>
      </c>
      <c r="T72">
        <f t="shared" si="7"/>
        <v>0</v>
      </c>
      <c r="U72">
        <v>0</v>
      </c>
      <c r="V72">
        <f t="shared" si="8"/>
        <v>403292.2538540464</v>
      </c>
      <c r="X72">
        <v>48</v>
      </c>
      <c r="Y72">
        <f t="shared" si="9"/>
        <v>403292.2538540464</v>
      </c>
      <c r="Z72">
        <f t="shared" si="10"/>
        <v>6315.5463838980231</v>
      </c>
      <c r="AB72">
        <v>48</v>
      </c>
      <c r="AC72">
        <f t="shared" si="11"/>
        <v>0</v>
      </c>
      <c r="AD72">
        <f t="shared" si="12"/>
        <v>-300</v>
      </c>
      <c r="AE72">
        <f t="shared" si="13"/>
        <v>-119403.21601019769</v>
      </c>
      <c r="AF72">
        <f>0</f>
        <v>0</v>
      </c>
      <c r="AG72">
        <f t="shared" si="14"/>
        <v>-18.179099999999998</v>
      </c>
      <c r="AH72">
        <f t="shared" si="15"/>
        <v>-6315.5463838980231</v>
      </c>
      <c r="AI72">
        <f t="shared" si="16"/>
        <v>-126036.94149409571</v>
      </c>
      <c r="AJ72">
        <f t="shared" si="17"/>
        <v>-339168.29294195422</v>
      </c>
      <c r="AK72">
        <f t="shared" si="18"/>
        <v>-465205.23443604994</v>
      </c>
      <c r="AL72">
        <f t="shared" si="19"/>
        <v>5.9371916998786467E-2</v>
      </c>
      <c r="AM72">
        <f t="shared" si="20"/>
        <v>-6829.5522531283341</v>
      </c>
      <c r="AN72">
        <f>0</f>
        <v>0</v>
      </c>
    </row>
    <row r="73" spans="1:40" x14ac:dyDescent="0.2">
      <c r="A73">
        <f t="shared" si="21"/>
        <v>93</v>
      </c>
      <c r="B73">
        <f>VLOOKUP(A73,Table21[#All],2,FALSE)</f>
        <v>0.21554927239999999</v>
      </c>
      <c r="C73">
        <f t="shared" si="22"/>
        <v>0.1</v>
      </c>
      <c r="D73">
        <f t="shared" si="23"/>
        <v>0.1</v>
      </c>
      <c r="E73">
        <f t="shared" si="0"/>
        <v>0.17459491064400001</v>
      </c>
      <c r="F73">
        <f t="shared" si="1"/>
        <v>0.82540508935599999</v>
      </c>
      <c r="G73">
        <f t="shared" si="2"/>
        <v>0.51450467357955776</v>
      </c>
      <c r="H73">
        <f t="shared" si="3"/>
        <v>0.51450467357955776</v>
      </c>
      <c r="J73">
        <f t="shared" si="24"/>
        <v>93</v>
      </c>
      <c r="K73">
        <f t="shared" si="4"/>
        <v>0.17459491064400001</v>
      </c>
      <c r="L73">
        <f>0</f>
        <v>0</v>
      </c>
      <c r="M73">
        <f t="shared" si="5"/>
        <v>0.82540508935599999</v>
      </c>
      <c r="N73">
        <f t="shared" si="25"/>
        <v>0.20795144041104324</v>
      </c>
      <c r="P73">
        <v>49</v>
      </c>
      <c r="Q73">
        <f t="shared" si="6"/>
        <v>0</v>
      </c>
      <c r="R73">
        <f t="shared" si="26"/>
        <v>300</v>
      </c>
      <c r="S73">
        <f>VLOOKUP(J73,Table1[#All],3,FALSE)</f>
        <v>750957.85439999995</v>
      </c>
      <c r="T73">
        <f t="shared" si="7"/>
        <v>0</v>
      </c>
      <c r="U73">
        <v>0</v>
      </c>
      <c r="V73">
        <f t="shared" si="8"/>
        <v>351464.40864772088</v>
      </c>
      <c r="X73">
        <v>49</v>
      </c>
      <c r="Y73">
        <f t="shared" si="9"/>
        <v>351464.40864772088</v>
      </c>
      <c r="Z73">
        <f t="shared" si="10"/>
        <v>6198.4443491362199</v>
      </c>
      <c r="AB73">
        <v>49</v>
      </c>
      <c r="AC73">
        <f t="shared" si="11"/>
        <v>0</v>
      </c>
      <c r="AD73">
        <f t="shared" si="12"/>
        <v>-300</v>
      </c>
      <c r="AE73">
        <f t="shared" si="13"/>
        <v>-131113.41948637797</v>
      </c>
      <c r="AF73">
        <f>0</f>
        <v>0</v>
      </c>
      <c r="AG73">
        <f t="shared" si="14"/>
        <v>-18.179099999999998</v>
      </c>
      <c r="AH73">
        <f t="shared" si="15"/>
        <v>-6198.4443491362199</v>
      </c>
      <c r="AI73">
        <f t="shared" si="16"/>
        <v>-137630.04293551421</v>
      </c>
      <c r="AJ73">
        <f t="shared" si="17"/>
        <v>-290100.51162532577</v>
      </c>
      <c r="AK73">
        <f t="shared" si="18"/>
        <v>-427730.55456084001</v>
      </c>
      <c r="AL73">
        <f t="shared" si="19"/>
        <v>5.5979714254129009E-2</v>
      </c>
      <c r="AM73">
        <f t="shared" si="20"/>
        <v>-4979.2379960200915</v>
      </c>
      <c r="AN73">
        <f>0</f>
        <v>0</v>
      </c>
    </row>
    <row r="74" spans="1:40" x14ac:dyDescent="0.2">
      <c r="A74">
        <f t="shared" si="21"/>
        <v>94</v>
      </c>
      <c r="B74">
        <f>VLOOKUP(A74,Table21[#All],2,FALSE)</f>
        <v>0.2352042781</v>
      </c>
      <c r="C74">
        <f t="shared" si="22"/>
        <v>0.1</v>
      </c>
      <c r="D74">
        <f t="shared" si="23"/>
        <v>0.1</v>
      </c>
      <c r="E74">
        <f t="shared" si="0"/>
        <v>0.19051546526099999</v>
      </c>
      <c r="F74">
        <f t="shared" si="1"/>
        <v>0.80948453473900006</v>
      </c>
      <c r="G74">
        <f t="shared" si="2"/>
        <v>0.44958191732254654</v>
      </c>
      <c r="H74">
        <f t="shared" si="3"/>
        <v>0.44958191732231173</v>
      </c>
      <c r="J74">
        <f t="shared" si="24"/>
        <v>94</v>
      </c>
      <c r="K74">
        <f t="shared" si="4"/>
        <v>0.19051546526099999</v>
      </c>
      <c r="L74">
        <f>0</f>
        <v>0</v>
      </c>
      <c r="M74">
        <f t="shared" si="5"/>
        <v>0.80948453473900006</v>
      </c>
      <c r="N74">
        <f t="shared" si="25"/>
        <v>0.17164417725418604</v>
      </c>
      <c r="P74">
        <v>50</v>
      </c>
      <c r="Q74">
        <f t="shared" si="6"/>
        <v>0</v>
      </c>
      <c r="R74">
        <f t="shared" si="26"/>
        <v>300</v>
      </c>
      <c r="S74">
        <f>VLOOKUP(J74,Table1[#All],3,FALSE)</f>
        <v>750957.85439999995</v>
      </c>
      <c r="T74">
        <f t="shared" si="7"/>
        <v>0</v>
      </c>
      <c r="U74">
        <v>0</v>
      </c>
      <c r="V74">
        <f t="shared" si="8"/>
        <v>275849.55118920136</v>
      </c>
      <c r="X74">
        <v>50</v>
      </c>
      <c r="Y74">
        <f t="shared" si="9"/>
        <v>275849.55118920136</v>
      </c>
      <c r="Z74">
        <f t="shared" si="10"/>
        <v>6078.8876937758178</v>
      </c>
      <c r="AB74">
        <v>50</v>
      </c>
      <c r="AC74">
        <f t="shared" si="11"/>
        <v>0</v>
      </c>
      <c r="AD74">
        <f t="shared" si="12"/>
        <v>-300</v>
      </c>
      <c r="AE74">
        <f t="shared" si="13"/>
        <v>-143069.08502241829</v>
      </c>
      <c r="AF74">
        <f>0</f>
        <v>0</v>
      </c>
      <c r="AG74">
        <f t="shared" si="14"/>
        <v>-18.179099999999998</v>
      </c>
      <c r="AH74">
        <f t="shared" si="15"/>
        <v>-6078.8876937758178</v>
      </c>
      <c r="AI74">
        <f t="shared" si="16"/>
        <v>-149466.15181619412</v>
      </c>
      <c r="AJ74">
        <f t="shared" si="17"/>
        <v>-223295.94560235264</v>
      </c>
      <c r="AK74">
        <f t="shared" si="18"/>
        <v>-372762.09741854679</v>
      </c>
      <c r="AL74">
        <f t="shared" si="19"/>
        <v>5.2781324342921029E-2</v>
      </c>
      <c r="AM74">
        <f t="shared" si="20"/>
        <v>-3377.0781038375148</v>
      </c>
      <c r="AN74">
        <f>0</f>
        <v>0</v>
      </c>
    </row>
    <row r="75" spans="1:40" x14ac:dyDescent="0.2">
      <c r="A75">
        <f t="shared" si="21"/>
        <v>95</v>
      </c>
      <c r="B75">
        <f>VLOOKUP(A75,Table21[#All],2,FALSE)</f>
        <v>0.25599362689999999</v>
      </c>
      <c r="C75">
        <f t="shared" si="22"/>
        <v>0.1</v>
      </c>
      <c r="D75">
        <f t="shared" si="23"/>
        <v>0.1</v>
      </c>
      <c r="E75">
        <f t="shared" si="0"/>
        <v>0.20735483778900002</v>
      </c>
      <c r="F75">
        <f t="shared" si="1"/>
        <v>0.79264516221100001</v>
      </c>
      <c r="G75">
        <f t="shared" si="2"/>
        <v>0.35369393140766425</v>
      </c>
      <c r="H75">
        <f t="shared" si="3"/>
        <v>0.35369393140743055</v>
      </c>
      <c r="J75">
        <f t="shared" si="24"/>
        <v>95</v>
      </c>
      <c r="K75">
        <f t="shared" si="4"/>
        <v>0.20735483778900002</v>
      </c>
      <c r="L75">
        <f>0</f>
        <v>0</v>
      </c>
      <c r="M75">
        <f t="shared" si="5"/>
        <v>0.79264516221100001</v>
      </c>
      <c r="N75">
        <f t="shared" si="25"/>
        <v>0.13894330696526325</v>
      </c>
      <c r="P75">
        <v>51</v>
      </c>
      <c r="Q75">
        <f t="shared" si="6"/>
        <v>0</v>
      </c>
      <c r="R75">
        <f t="shared" si="26"/>
        <v>300</v>
      </c>
      <c r="S75">
        <f>VLOOKUP(J75,Table1[#All],3,FALSE)</f>
        <v>750957.85439999995</v>
      </c>
      <c r="T75">
        <f t="shared" si="7"/>
        <v>0</v>
      </c>
      <c r="U75">
        <v>0</v>
      </c>
      <c r="V75">
        <f t="shared" si="8"/>
        <v>164739.35422723339</v>
      </c>
      <c r="X75">
        <v>51</v>
      </c>
      <c r="Y75">
        <f t="shared" si="9"/>
        <v>164739.35422723339</v>
      </c>
      <c r="Z75">
        <f t="shared" si="10"/>
        <v>5952.4311031451252</v>
      </c>
      <c r="AB75">
        <v>51</v>
      </c>
      <c r="AC75">
        <f t="shared" si="11"/>
        <v>0</v>
      </c>
      <c r="AD75">
        <f t="shared" si="12"/>
        <v>-300</v>
      </c>
      <c r="AE75">
        <f t="shared" si="13"/>
        <v>-155714.74408548747</v>
      </c>
      <c r="AF75">
        <f>0</f>
        <v>0</v>
      </c>
      <c r="AG75">
        <f t="shared" si="14"/>
        <v>-18.179099999999998</v>
      </c>
      <c r="AH75">
        <f t="shared" si="15"/>
        <v>-5952.4311031451252</v>
      </c>
      <c r="AI75">
        <f t="shared" si="16"/>
        <v>-161985.3542886326</v>
      </c>
      <c r="AJ75">
        <f t="shared" si="17"/>
        <v>-130579.8521539808</v>
      </c>
      <c r="AK75">
        <f t="shared" si="18"/>
        <v>-292565.20644261339</v>
      </c>
      <c r="AL75">
        <f t="shared" si="19"/>
        <v>4.9765673807224638E-2</v>
      </c>
      <c r="AM75">
        <f t="shared" si="20"/>
        <v>-2022.9735098917229</v>
      </c>
      <c r="AN75">
        <f>0</f>
        <v>0</v>
      </c>
    </row>
    <row r="76" spans="1:40" x14ac:dyDescent="0.2">
      <c r="A76">
        <f t="shared" si="21"/>
        <v>96</v>
      </c>
      <c r="B76">
        <f>VLOOKUP(A76,Table21[#All],2,FALSE)</f>
        <v>0.277144169</v>
      </c>
      <c r="C76">
        <f t="shared" si="22"/>
        <v>0.1</v>
      </c>
      <c r="D76">
        <f t="shared" si="23"/>
        <v>0.1</v>
      </c>
      <c r="E76">
        <f t="shared" si="0"/>
        <v>0.22448677689000002</v>
      </c>
      <c r="F76">
        <f t="shared" si="1"/>
        <v>0.77551322310999993</v>
      </c>
      <c r="G76">
        <f t="shared" si="2"/>
        <v>0.21166076925542882</v>
      </c>
      <c r="H76">
        <f t="shared" si="3"/>
        <v>0.21166076925531901</v>
      </c>
      <c r="J76">
        <f t="shared" si="24"/>
        <v>96</v>
      </c>
      <c r="K76">
        <f t="shared" si="4"/>
        <v>0.22448677689000002</v>
      </c>
      <c r="L76">
        <f>0</f>
        <v>0</v>
      </c>
      <c r="M76">
        <f t="shared" si="5"/>
        <v>0.77551322310999993</v>
      </c>
      <c r="N76">
        <f t="shared" si="25"/>
        <v>0.11013274008761385</v>
      </c>
      <c r="P76">
        <v>52</v>
      </c>
      <c r="Q76">
        <f t="shared" si="6"/>
        <v>0</v>
      </c>
      <c r="R76">
        <f t="shared" si="26"/>
        <v>300</v>
      </c>
      <c r="S76">
        <f>VLOOKUP(J76,Table1[#All],3,FALSE)</f>
        <v>750957.85439999995</v>
      </c>
      <c r="T76">
        <f t="shared" si="7"/>
        <v>0</v>
      </c>
      <c r="U76">
        <v>0</v>
      </c>
      <c r="V76">
        <f t="shared" si="8"/>
        <v>0</v>
      </c>
      <c r="X76">
        <v>52</v>
      </c>
      <c r="Y76">
        <f t="shared" si="9"/>
        <v>0</v>
      </c>
      <c r="Z76">
        <f t="shared" si="10"/>
        <v>5823.7774608551408</v>
      </c>
      <c r="AB76">
        <v>52</v>
      </c>
      <c r="AC76">
        <f t="shared" si="11"/>
        <v>0</v>
      </c>
      <c r="AD76">
        <f t="shared" si="12"/>
        <v>-300</v>
      </c>
      <c r="AE76">
        <f t="shared" si="13"/>
        <v>-168580.1083144859</v>
      </c>
      <c r="AF76">
        <f>0</f>
        <v>0</v>
      </c>
      <c r="AG76">
        <f t="shared" si="14"/>
        <v>-18.179099999999998</v>
      </c>
      <c r="AH76">
        <f t="shared" si="15"/>
        <v>-5823.7774608551408</v>
      </c>
      <c r="AI76">
        <f t="shared" si="16"/>
        <v>-174722.06487534105</v>
      </c>
      <c r="AJ76">
        <f t="shared" si="17"/>
        <v>0</v>
      </c>
      <c r="AK76">
        <f t="shared" si="18"/>
        <v>-174722.06487534105</v>
      </c>
      <c r="AL76">
        <f t="shared" si="19"/>
        <v>4.6922321868932915E-2</v>
      </c>
      <c r="AM76">
        <f t="shared" si="20"/>
        <v>-902.90839790922178</v>
      </c>
      <c r="AN76">
        <f>0</f>
        <v>0</v>
      </c>
    </row>
    <row r="79" spans="1:40" ht="19" x14ac:dyDescent="0.25">
      <c r="A79" s="61" t="s">
        <v>134</v>
      </c>
      <c r="B79" s="61"/>
      <c r="C79" s="61"/>
    </row>
    <row r="80" spans="1:40" x14ac:dyDescent="0.2">
      <c r="A80">
        <f>E21</f>
        <v>0.36965794590806744</v>
      </c>
      <c r="B80">
        <v>0.01</v>
      </c>
      <c r="C80">
        <v>0.02</v>
      </c>
      <c r="D80">
        <v>0.03</v>
      </c>
      <c r="E80">
        <v>0.04</v>
      </c>
      <c r="F80">
        <v>0.05</v>
      </c>
      <c r="G80">
        <v>0.06</v>
      </c>
      <c r="H80">
        <v>7.0000000000000007E-2</v>
      </c>
      <c r="I80">
        <v>0.08</v>
      </c>
      <c r="J80">
        <v>0.09</v>
      </c>
      <c r="K80">
        <v>0.1</v>
      </c>
      <c r="L80">
        <v>0.11</v>
      </c>
      <c r="M80">
        <v>0.12</v>
      </c>
      <c r="N80">
        <v>0.13</v>
      </c>
      <c r="O80">
        <v>0.14000000000000001</v>
      </c>
      <c r="P80">
        <v>0.15</v>
      </c>
    </row>
    <row r="81" spans="1:16" x14ac:dyDescent="0.2">
      <c r="A81">
        <v>100</v>
      </c>
      <c r="B81">
        <f t="dataTable" ref="B81:P90" dt2D="1" dtr="1" r1="E4" r2="E11"/>
        <v>-2.3013823765988608</v>
      </c>
      <c r="C81">
        <v>-1.2958255825768121</v>
      </c>
      <c r="D81">
        <v>-0.62255214932582759</v>
      </c>
      <c r="E81">
        <v>-0.16622352402988799</v>
      </c>
      <c r="F81">
        <v>0.14700923553463177</v>
      </c>
      <c r="G81">
        <v>0.3648609509489813</v>
      </c>
      <c r="H81">
        <v>0.5184466530203482</v>
      </c>
      <c r="I81">
        <v>0.62824826253037858</v>
      </c>
      <c r="J81">
        <v>0.70787822840837655</v>
      </c>
      <c r="K81">
        <v>0.76647249125849426</v>
      </c>
      <c r="L81">
        <v>0.81022419058417672</v>
      </c>
      <c r="M81">
        <v>0.84337462484842196</v>
      </c>
      <c r="N81">
        <v>0.86885877207381224</v>
      </c>
      <c r="O81">
        <v>0.88872926530181029</v>
      </c>
      <c r="P81">
        <v>0.90443718623485392</v>
      </c>
    </row>
    <row r="82" spans="1:16" x14ac:dyDescent="0.2">
      <c r="A82">
        <v>200</v>
      </c>
      <c r="B82">
        <v>-2.3109254621368085</v>
      </c>
      <c r="C82">
        <v>-1.3031670463416878</v>
      </c>
      <c r="D82">
        <v>-0.62829078962304663</v>
      </c>
      <c r="E82">
        <v>-0.17077926043170019</v>
      </c>
      <c r="F82">
        <v>0.14333837159100157</v>
      </c>
      <c r="G82">
        <v>0.36186088667715227</v>
      </c>
      <c r="H82">
        <v>0.51596177798381282</v>
      </c>
      <c r="I82">
        <v>0.62616411811403838</v>
      </c>
      <c r="J82">
        <v>0.70610963709832963</v>
      </c>
      <c r="K82">
        <v>0.76495533475783983</v>
      </c>
      <c r="L82">
        <v>0.80890965833495632</v>
      </c>
      <c r="M82">
        <v>0.84222515072864634</v>
      </c>
      <c r="N82">
        <v>0.86784513545728126</v>
      </c>
      <c r="O82">
        <v>0.8878285026338707</v>
      </c>
      <c r="P82">
        <v>0.90363107200032444</v>
      </c>
    </row>
    <row r="83" spans="1:16" x14ac:dyDescent="0.2">
      <c r="A83">
        <v>300</v>
      </c>
      <c r="B83">
        <v>-2.3204685476747562</v>
      </c>
      <c r="C83">
        <v>-1.3105085101065646</v>
      </c>
      <c r="D83">
        <v>-0.63402942992026479</v>
      </c>
      <c r="E83">
        <v>-0.17533499683351136</v>
      </c>
      <c r="F83">
        <v>0.13966750764737201</v>
      </c>
      <c r="G83">
        <v>0.35886082240532385</v>
      </c>
      <c r="H83">
        <v>0.51347690294727799</v>
      </c>
      <c r="I83">
        <v>0.62407997369769763</v>
      </c>
      <c r="J83">
        <v>0.70434104578828294</v>
      </c>
      <c r="K83">
        <v>0.76343817825718563</v>
      </c>
      <c r="L83">
        <v>0.80759512608573603</v>
      </c>
      <c r="M83">
        <v>0.8410756766088705</v>
      </c>
      <c r="N83">
        <v>0.86683149884074995</v>
      </c>
      <c r="O83">
        <v>0.88692773996593133</v>
      </c>
      <c r="P83">
        <v>0.90282495776579508</v>
      </c>
    </row>
    <row r="84" spans="1:16" x14ac:dyDescent="0.2">
      <c r="A84">
        <v>400</v>
      </c>
      <c r="B84">
        <v>-2.330011633212707</v>
      </c>
      <c r="C84">
        <v>-1.3178499738714402</v>
      </c>
      <c r="D84">
        <v>-0.63976807021748272</v>
      </c>
      <c r="E84">
        <v>-0.17989073323532337</v>
      </c>
      <c r="F84">
        <v>0.13599664370374182</v>
      </c>
      <c r="G84">
        <v>0.35586075813349533</v>
      </c>
      <c r="H84">
        <v>0.51099202791074239</v>
      </c>
      <c r="I84">
        <v>0.62199582928135755</v>
      </c>
      <c r="J84">
        <v>0.70257245447823602</v>
      </c>
      <c r="K84">
        <v>0.7619210217565312</v>
      </c>
      <c r="L84">
        <v>0.80628059383651551</v>
      </c>
      <c r="M84">
        <v>0.83992620248909489</v>
      </c>
      <c r="N84">
        <v>0.86581786222421886</v>
      </c>
      <c r="O84">
        <v>0.88602697729799196</v>
      </c>
      <c r="P84">
        <v>0.90201884353126582</v>
      </c>
    </row>
    <row r="85" spans="1:16" x14ac:dyDescent="0.2">
      <c r="A85">
        <v>500</v>
      </c>
      <c r="B85">
        <v>-2.3395547187506538</v>
      </c>
      <c r="C85">
        <v>-1.3251914376363172</v>
      </c>
      <c r="D85">
        <v>-0.64550671051470132</v>
      </c>
      <c r="E85">
        <v>-0.18444646963713474</v>
      </c>
      <c r="F85">
        <v>0.13232577976011214</v>
      </c>
      <c r="G85">
        <v>0.35286069386166602</v>
      </c>
      <c r="H85">
        <v>0.50850715287420711</v>
      </c>
      <c r="I85">
        <v>0.61991168486501691</v>
      </c>
      <c r="J85">
        <v>0.70080386316818932</v>
      </c>
      <c r="K85">
        <v>0.76040386525587689</v>
      </c>
      <c r="L85">
        <v>0.80496606158729533</v>
      </c>
      <c r="M85">
        <v>0.83877672836931905</v>
      </c>
      <c r="N85">
        <v>0.86480422560768777</v>
      </c>
      <c r="O85">
        <v>0.88512621463005248</v>
      </c>
      <c r="P85">
        <v>0.90121272929673624</v>
      </c>
    </row>
    <row r="86" spans="1:16" x14ac:dyDescent="0.2">
      <c r="A86">
        <v>600</v>
      </c>
      <c r="B86">
        <v>-2.349097804288605</v>
      </c>
      <c r="C86">
        <v>-1.3325329014011942</v>
      </c>
      <c r="D86">
        <v>-0.65124535081192048</v>
      </c>
      <c r="E86">
        <v>-0.18900220603894738</v>
      </c>
      <c r="F86">
        <v>0.12865491581648195</v>
      </c>
      <c r="G86">
        <v>0.34986062958983727</v>
      </c>
      <c r="H86">
        <v>0.50602227783767217</v>
      </c>
      <c r="I86">
        <v>0.61782754044867638</v>
      </c>
      <c r="J86">
        <v>0.69903527185814252</v>
      </c>
      <c r="K86">
        <v>0.75888670875522246</v>
      </c>
      <c r="L86">
        <v>0.80365152933807482</v>
      </c>
      <c r="M86">
        <v>0.83762725424954354</v>
      </c>
      <c r="N86">
        <v>0.86379058899115668</v>
      </c>
      <c r="O86">
        <v>0.884225451962113</v>
      </c>
      <c r="P86">
        <v>0.90040661506220687</v>
      </c>
    </row>
    <row r="87" spans="1:16" x14ac:dyDescent="0.2">
      <c r="A87">
        <v>700</v>
      </c>
      <c r="B87">
        <v>-2.3586408898265527</v>
      </c>
      <c r="C87">
        <v>-1.3398743651660705</v>
      </c>
      <c r="D87">
        <v>-0.65698399110913763</v>
      </c>
      <c r="E87">
        <v>-0.19355794244075936</v>
      </c>
      <c r="F87">
        <v>0.12498405187285157</v>
      </c>
      <c r="G87">
        <v>0.34686056531800857</v>
      </c>
      <c r="H87">
        <v>0.50353740280113723</v>
      </c>
      <c r="I87">
        <v>0.61574339603233585</v>
      </c>
      <c r="J87">
        <v>0.6972666805480956</v>
      </c>
      <c r="K87">
        <v>0.75736955225456826</v>
      </c>
      <c r="L87">
        <v>0.80233699708885442</v>
      </c>
      <c r="M87">
        <v>0.83647778012976781</v>
      </c>
      <c r="N87">
        <v>0.86277695237462548</v>
      </c>
      <c r="O87">
        <v>0.88332468929417352</v>
      </c>
      <c r="P87">
        <v>0.89960050082767751</v>
      </c>
    </row>
    <row r="88" spans="1:16" x14ac:dyDescent="0.2">
      <c r="A88">
        <v>800</v>
      </c>
      <c r="B88">
        <v>-2.3681839753645009</v>
      </c>
      <c r="C88">
        <v>-1.3472158289309466</v>
      </c>
      <c r="D88">
        <v>-0.66272263140635634</v>
      </c>
      <c r="E88">
        <v>-0.19811367884257136</v>
      </c>
      <c r="F88">
        <v>0.12131318792922179</v>
      </c>
      <c r="G88">
        <v>0.34386050104617971</v>
      </c>
      <c r="H88">
        <v>0.50105252776460163</v>
      </c>
      <c r="I88">
        <v>0.61365925161599544</v>
      </c>
      <c r="J88">
        <v>0.6954980892380489</v>
      </c>
      <c r="K88">
        <v>0.75585239575391394</v>
      </c>
      <c r="L88">
        <v>0.80102246483963424</v>
      </c>
      <c r="M88">
        <v>0.83532830600999208</v>
      </c>
      <c r="N88">
        <v>0.86176331575809428</v>
      </c>
      <c r="O88">
        <v>0.88242392662623403</v>
      </c>
      <c r="P88">
        <v>0.89879438659314814</v>
      </c>
    </row>
    <row r="89" spans="1:16" x14ac:dyDescent="0.2">
      <c r="A89">
        <v>900</v>
      </c>
      <c r="B89">
        <v>-2.3777270609024517</v>
      </c>
      <c r="C89">
        <v>-1.3545572926958249</v>
      </c>
      <c r="D89">
        <v>-0.6684612717035745</v>
      </c>
      <c r="E89">
        <v>-0.20266941524438276</v>
      </c>
      <c r="F89">
        <v>0.11764232398559191</v>
      </c>
      <c r="G89">
        <v>0.34086043677435113</v>
      </c>
      <c r="H89">
        <v>0.49856765272806647</v>
      </c>
      <c r="I89">
        <v>0.61157510719965491</v>
      </c>
      <c r="J89">
        <v>0.69372949792800198</v>
      </c>
      <c r="K89">
        <v>0.75433523925325952</v>
      </c>
      <c r="L89">
        <v>0.79970793259041395</v>
      </c>
      <c r="M89">
        <v>0.83417883189021635</v>
      </c>
      <c r="N89">
        <v>0.8607496791415632</v>
      </c>
      <c r="O89">
        <v>0.88152316395829455</v>
      </c>
      <c r="P89">
        <v>0.89798827235861878</v>
      </c>
    </row>
    <row r="90" spans="1:16" x14ac:dyDescent="0.2">
      <c r="A90">
        <v>1000</v>
      </c>
      <c r="B90">
        <v>-2.3872701464404016</v>
      </c>
      <c r="C90">
        <v>-1.361898756460701</v>
      </c>
      <c r="D90">
        <v>-0.6741999120007921</v>
      </c>
      <c r="E90">
        <v>-0.20722515164619495</v>
      </c>
      <c r="F90">
        <v>0.11397146004196203</v>
      </c>
      <c r="G90">
        <v>0.3378603725025221</v>
      </c>
      <c r="H90">
        <v>0.4960827776915312</v>
      </c>
      <c r="I90">
        <v>0.60949096278331449</v>
      </c>
      <c r="J90">
        <v>0.6919609066179554</v>
      </c>
      <c r="K90">
        <v>0.7528180827526052</v>
      </c>
      <c r="L90">
        <v>0.79839340034119355</v>
      </c>
      <c r="M90">
        <v>0.83302935777044074</v>
      </c>
      <c r="N90">
        <v>0.85973604252503211</v>
      </c>
      <c r="O90">
        <v>0.88062240129035518</v>
      </c>
      <c r="P90">
        <v>0.8971821581240893</v>
      </c>
    </row>
    <row r="92" spans="1:16" ht="19" x14ac:dyDescent="0.25">
      <c r="A92" s="61" t="s">
        <v>135</v>
      </c>
      <c r="B92" s="61"/>
      <c r="C92" s="61"/>
    </row>
    <row r="93" spans="1:16" x14ac:dyDescent="0.2">
      <c r="A93">
        <f>E21</f>
        <v>0.36965794590806744</v>
      </c>
      <c r="B93">
        <v>0.05</v>
      </c>
      <c r="C93">
        <v>7.0000000000000007E-2</v>
      </c>
      <c r="D93">
        <v>0.09</v>
      </c>
      <c r="E93">
        <v>0.11</v>
      </c>
      <c r="F93">
        <v>0.13</v>
      </c>
      <c r="G93">
        <v>0.15</v>
      </c>
      <c r="H93">
        <v>0.17</v>
      </c>
      <c r="I93">
        <v>0.19</v>
      </c>
      <c r="J93">
        <v>0.21</v>
      </c>
      <c r="K93">
        <v>0.23</v>
      </c>
      <c r="L93">
        <v>0.25</v>
      </c>
      <c r="M93">
        <v>0.27</v>
      </c>
      <c r="N93">
        <v>0.28999999999999998</v>
      </c>
    </row>
    <row r="94" spans="1:16" x14ac:dyDescent="0.2">
      <c r="A94">
        <v>0.05</v>
      </c>
      <c r="B94">
        <f t="dataTable" ref="B94:N106" dt2D="1" dtr="1" r1="C25" r2="D25" ca="1"/>
        <v>0.35720396047759523</v>
      </c>
      <c r="C94">
        <v>0.35956926156208696</v>
      </c>
      <c r="D94">
        <v>0.36202975639322654</v>
      </c>
      <c r="E94">
        <v>0.36459003609057405</v>
      </c>
      <c r="F94">
        <v>0.36725492066894283</v>
      </c>
      <c r="G94">
        <v>0.37002947006850101</v>
      </c>
      <c r="H94">
        <v>0.37291899568810238</v>
      </c>
      <c r="I94">
        <v>0.37592907244342327</v>
      </c>
      <c r="J94">
        <v>0.37906555137233133</v>
      </c>
      <c r="K94">
        <v>0.3823345728108265</v>
      </c>
      <c r="L94">
        <v>0.38574258016380047</v>
      </c>
      <c r="M94">
        <v>0.38929633429585714</v>
      </c>
      <c r="N94">
        <v>0.39300292856841362</v>
      </c>
    </row>
    <row r="95" spans="1:16" x14ac:dyDescent="0.2">
      <c r="A95">
        <v>7.0000000000000007E-2</v>
      </c>
      <c r="B95">
        <v>0.35956926156208696</v>
      </c>
      <c r="C95">
        <v>0.3619769447396779</v>
      </c>
      <c r="D95">
        <v>0.36448015992825616</v>
      </c>
      <c r="E95">
        <v>0.36708342209366185</v>
      </c>
      <c r="F95">
        <v>0.36979146611304436</v>
      </c>
      <c r="G95">
        <v>0.37260925711976306</v>
      </c>
      <c r="H95">
        <v>0.37554200130894838</v>
      </c>
      <c r="I95">
        <v>0.37859515722302273</v>
      </c>
      <c r="J95">
        <v>0.38177444753718559</v>
      </c>
      <c r="K95">
        <v>0.3850858713656915</v>
      </c>
      <c r="L95">
        <v>0.38853571711052676</v>
      </c>
      <c r="M95">
        <v>0.39213057587495315</v>
      </c>
      <c r="N95">
        <v>0.39587735546525016</v>
      </c>
    </row>
    <row r="96" spans="1:16" x14ac:dyDescent="0.2">
      <c r="A96">
        <v>0.09</v>
      </c>
      <c r="B96">
        <v>0.36202975639322654</v>
      </c>
      <c r="C96">
        <v>0.36448015992825639</v>
      </c>
      <c r="D96">
        <v>0.36702635286777413</v>
      </c>
      <c r="E96">
        <v>0.36967276881762984</v>
      </c>
      <c r="F96">
        <v>0.37242405225140462</v>
      </c>
      <c r="G96">
        <v>0.37528506818924873</v>
      </c>
      <c r="H96">
        <v>0.37826091229722875</v>
      </c>
      <c r="I96">
        <v>0.38135692142434585</v>
      </c>
      <c r="J96">
        <v>0.3845786845950418</v>
      </c>
      <c r="K96">
        <v>0.38793205447569706</v>
      </c>
      <c r="L96">
        <v>0.39142315933432326</v>
      </c>
      <c r="M96">
        <v>0.39505841551337972</v>
      </c>
      <c r="N96">
        <v>0.39884454043640055</v>
      </c>
    </row>
    <row r="97" spans="1:14" x14ac:dyDescent="0.2">
      <c r="A97">
        <v>0.11</v>
      </c>
      <c r="B97">
        <v>0.36459003609057405</v>
      </c>
      <c r="C97">
        <v>0.36708342209366185</v>
      </c>
      <c r="D97">
        <v>0.36967276881762984</v>
      </c>
      <c r="E97">
        <v>0.37236242335618425</v>
      </c>
      <c r="F97">
        <v>0.37515693458797578</v>
      </c>
      <c r="G97">
        <v>0.37806106220950092</v>
      </c>
      <c r="H97">
        <v>0.38107978615068311</v>
      </c>
      <c r="I97">
        <v>0.38421831638839121</v>
      </c>
      <c r="J97">
        <v>0.38748210317368215</v>
      </c>
      <c r="K97">
        <v>0.39087684768915698</v>
      </c>
      <c r="L97">
        <v>0.39440851315344388</v>
      </c>
      <c r="M97">
        <v>0.39808333639040855</v>
      </c>
      <c r="N97">
        <v>0.40190783988139511</v>
      </c>
    </row>
    <row r="98" spans="1:14" x14ac:dyDescent="0.2">
      <c r="A98">
        <v>0.13</v>
      </c>
      <c r="B98">
        <v>0.36725492066894283</v>
      </c>
      <c r="C98">
        <v>0.36979146611304436</v>
      </c>
      <c r="D98">
        <v>0.37242405225140462</v>
      </c>
      <c r="E98">
        <v>0.37515693458797567</v>
      </c>
      <c r="F98">
        <v>0.37799456131059955</v>
      </c>
      <c r="G98">
        <v>0.38094158169894243</v>
      </c>
      <c r="H98">
        <v>0.38400285487962454</v>
      </c>
      <c r="I98">
        <v>0.38718345894201489</v>
      </c>
      <c r="J98">
        <v>0.3904887004286538</v>
      </c>
      <c r="K98">
        <v>0.39392412421476591</v>
      </c>
      <c r="L98">
        <v>0.39749552379186215</v>
      </c>
      <c r="M98">
        <v>0.40120895197095452</v>
      </c>
      <c r="N98">
        <v>0.40507073202148164</v>
      </c>
    </row>
    <row r="99" spans="1:14" x14ac:dyDescent="0.2">
      <c r="A99">
        <v>0.15</v>
      </c>
      <c r="B99">
        <v>0.37002947006850101</v>
      </c>
      <c r="C99">
        <v>0.37260925711976306</v>
      </c>
      <c r="D99">
        <v>0.37528506818924873</v>
      </c>
      <c r="E99">
        <v>0.37806106220950092</v>
      </c>
      <c r="F99">
        <v>0.38094158169894243</v>
      </c>
      <c r="G99">
        <v>0.38393116056664217</v>
      </c>
      <c r="H99">
        <v>0.38703453223104128</v>
      </c>
      <c r="I99">
        <v>0.39025663806450722</v>
      </c>
      <c r="J99">
        <v>0.39360263617600882</v>
      </c>
      <c r="K99">
        <v>0.39707791054462627</v>
      </c>
      <c r="L99">
        <v>0.40068808051708155</v>
      </c>
      <c r="M99">
        <v>0.404439010682906</v>
      </c>
      <c r="N99">
        <v>0.40833682114137138</v>
      </c>
    </row>
    <row r="100" spans="1:14" x14ac:dyDescent="0.2">
      <c r="A100">
        <v>0.17</v>
      </c>
      <c r="B100">
        <v>0.37291899568810238</v>
      </c>
      <c r="C100">
        <v>0.37554200130894838</v>
      </c>
      <c r="D100">
        <v>0.37826091229722875</v>
      </c>
      <c r="E100">
        <v>0.38107978615068311</v>
      </c>
      <c r="F100">
        <v>0.38400285487962443</v>
      </c>
      <c r="G100">
        <v>0.38703453223104128</v>
      </c>
      <c r="H100">
        <v>0.3901794211956417</v>
      </c>
      <c r="I100">
        <v>0.39344232180825223</v>
      </c>
      <c r="J100">
        <v>0.39682823925234301</v>
      </c>
      <c r="K100">
        <v>0.40034239227983442</v>
      </c>
      <c r="L100">
        <v>0.40399022195769668</v>
      </c>
      <c r="M100">
        <v>0.40777740075327623</v>
      </c>
      <c r="N100">
        <v>0.41170984197067229</v>
      </c>
    </row>
    <row r="101" spans="1:14" x14ac:dyDescent="0.2">
      <c r="A101">
        <v>0.19</v>
      </c>
      <c r="B101">
        <v>0.37592907244342327</v>
      </c>
      <c r="C101">
        <v>0.37859515722302256</v>
      </c>
      <c r="D101">
        <v>0.38135692142434574</v>
      </c>
      <c r="E101">
        <v>0.38421831638839121</v>
      </c>
      <c r="F101">
        <v>0.38718345894201489</v>
      </c>
      <c r="G101">
        <v>0.39025663806450722</v>
      </c>
      <c r="H101">
        <v>0.39344232180825223</v>
      </c>
      <c r="I101">
        <v>0.39674516448255326</v>
      </c>
      <c r="J101">
        <v>0.40017001411005687</v>
      </c>
      <c r="K101">
        <v>0.40372192016546243</v>
      </c>
      <c r="L101">
        <v>0.40740614160660149</v>
      </c>
      <c r="M101">
        <v>0.41122815520823697</v>
      </c>
      <c r="N101">
        <v>0.41519366420932913</v>
      </c>
    </row>
    <row r="102" spans="1:14" x14ac:dyDescent="0.2">
      <c r="A102">
        <v>0.21</v>
      </c>
      <c r="B102">
        <v>0.37906555137233133</v>
      </c>
      <c r="C102">
        <v>0.38177444753718559</v>
      </c>
      <c r="D102">
        <v>0.3845786845950418</v>
      </c>
      <c r="E102">
        <v>0.38748210317368215</v>
      </c>
      <c r="F102">
        <v>0.3904887004286538</v>
      </c>
      <c r="G102">
        <v>0.39360263617600882</v>
      </c>
      <c r="H102">
        <v>0.39682823925234301</v>
      </c>
      <c r="I102">
        <v>0.40017001411005709</v>
      </c>
      <c r="J102">
        <v>0.40363264765601375</v>
      </c>
      <c r="K102">
        <v>0.40722101634203595</v>
      </c>
      <c r="L102">
        <v>0.4109401935159625</v>
      </c>
      <c r="M102">
        <v>0.41479545704226617</v>
      </c>
      <c r="N102">
        <v>0.41879229720152056</v>
      </c>
    </row>
    <row r="103" spans="1:14" x14ac:dyDescent="0.2">
      <c r="A103">
        <v>0.23</v>
      </c>
      <c r="B103">
        <v>0.3823345728108265</v>
      </c>
      <c r="C103">
        <v>0.3850858713656915</v>
      </c>
      <c r="D103">
        <v>0.38793205447569706</v>
      </c>
      <c r="E103">
        <v>0.39087684768915698</v>
      </c>
      <c r="F103">
        <v>0.3939241242147658</v>
      </c>
      <c r="G103">
        <v>0.39707791054462649</v>
      </c>
      <c r="H103">
        <v>0.40034239227983442</v>
      </c>
      <c r="I103">
        <v>0.40372192016546243</v>
      </c>
      <c r="J103">
        <v>0.40722101634203595</v>
      </c>
      <c r="K103">
        <v>0.41084438082078545</v>
      </c>
      <c r="L103">
        <v>0.414596898190221</v>
      </c>
      <c r="M103">
        <v>0.41848364456178383</v>
      </c>
      <c r="N103">
        <v>0.42250989476259709</v>
      </c>
    </row>
    <row r="104" spans="1:14" x14ac:dyDescent="0.2">
      <c r="A104">
        <v>0.25</v>
      </c>
      <c r="B104">
        <v>0.38574258016380059</v>
      </c>
      <c r="C104">
        <v>0.38853571711052665</v>
      </c>
      <c r="D104">
        <v>0.39142315933432326</v>
      </c>
      <c r="E104">
        <v>0.39440851315344388</v>
      </c>
      <c r="F104">
        <v>0.39749552379186215</v>
      </c>
      <c r="G104">
        <v>0.40068808051708149</v>
      </c>
      <c r="H104">
        <v>0.40399022195769668</v>
      </c>
      <c r="I104">
        <v>0.40740614160660149</v>
      </c>
      <c r="J104">
        <v>0.41094019351596262</v>
      </c>
      <c r="K104">
        <v>0.414596898190221</v>
      </c>
      <c r="L104">
        <v>0.41838094868360187</v>
      </c>
      <c r="M104">
        <v>0.42229721690880612</v>
      </c>
      <c r="N104">
        <v>0.42635076016376455</v>
      </c>
    </row>
    <row r="105" spans="1:14" x14ac:dyDescent="0.2">
      <c r="A105">
        <v>0.27</v>
      </c>
      <c r="B105">
        <v>0.38929633429585714</v>
      </c>
      <c r="C105">
        <v>0.39213057587495315</v>
      </c>
      <c r="D105">
        <v>0.39505841551337972</v>
      </c>
      <c r="E105">
        <v>0.39808333639040855</v>
      </c>
      <c r="F105">
        <v>0.40120895197095452</v>
      </c>
      <c r="G105">
        <v>0.404439010682906</v>
      </c>
      <c r="H105">
        <v>0.40777740075327623</v>
      </c>
      <c r="I105">
        <v>0.41122815520823713</v>
      </c>
      <c r="J105">
        <v>0.41479545704226617</v>
      </c>
      <c r="K105">
        <v>0.41848364456178383</v>
      </c>
      <c r="L105">
        <v>0.42229721690880612</v>
      </c>
      <c r="M105">
        <v>0.42624083977034022</v>
      </c>
      <c r="N105">
        <v>0.43031935127936766</v>
      </c>
    </row>
    <row r="106" spans="1:14" x14ac:dyDescent="0.2">
      <c r="A106">
        <v>0.28999999999999998</v>
      </c>
      <c r="B106">
        <v>0.39300292856841362</v>
      </c>
      <c r="C106">
        <v>0.39587735546525016</v>
      </c>
      <c r="D106">
        <v>0.39884454043640055</v>
      </c>
      <c r="E106">
        <v>0.40190783988139511</v>
      </c>
      <c r="F106">
        <v>0.40507073202148164</v>
      </c>
      <c r="G106">
        <v>0.40833682114137115</v>
      </c>
      <c r="H106">
        <v>0.41170984197067229</v>
      </c>
      <c r="I106">
        <v>0.41519366420932913</v>
      </c>
      <c r="J106">
        <v>0.41879229720152056</v>
      </c>
      <c r="K106">
        <v>0.42250989476259709</v>
      </c>
      <c r="L106">
        <v>0.42635076016376455</v>
      </c>
      <c r="M106">
        <v>0.43031935127936766</v>
      </c>
      <c r="N106">
        <v>0.43442028590176052</v>
      </c>
    </row>
  </sheetData>
  <mergeCells count="8">
    <mergeCell ref="X23:Z23"/>
    <mergeCell ref="AB23:AJ23"/>
    <mergeCell ref="AK23:AN23"/>
    <mergeCell ref="A79:C79"/>
    <mergeCell ref="A92:C92"/>
    <mergeCell ref="A23:H23"/>
    <mergeCell ref="J23:N23"/>
    <mergeCell ref="P23:V23"/>
  </mergeCells>
  <conditionalFormatting sqref="B81:P9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4:N10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282C68E-FFD3-544F-AD0E-5B664C6A2B0A}">
          <x14:formula1>
            <xm:f>'male lifetable'!$A$2:$A$76</xm:f>
          </x14:formula1>
          <xm:sqref>E2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D8CB5-9B48-6743-83CD-4EBB09F60E12}">
  <sheetPr codeName="Sheet15"/>
  <dimension ref="A1:AK42"/>
  <sheetViews>
    <sheetView workbookViewId="0">
      <selection activeCell="B16" sqref="B16"/>
    </sheetView>
  </sheetViews>
  <sheetFormatPr baseColWidth="10" defaultRowHeight="16" x14ac:dyDescent="0.2"/>
  <cols>
    <col min="1" max="1" width="32" customWidth="1"/>
    <col min="2" max="2" width="21.1640625" bestFit="1" customWidth="1"/>
  </cols>
  <sheetData>
    <row r="1" spans="1:12" ht="19" x14ac:dyDescent="0.25">
      <c r="A1" s="6" t="s">
        <v>18</v>
      </c>
      <c r="B1" s="8">
        <f>ROUND(VLOOKUP(B2,Table2[#All],3,FALSE),0)</f>
        <v>515</v>
      </c>
    </row>
    <row r="2" spans="1:12" ht="19" x14ac:dyDescent="0.25">
      <c r="A2" s="6" t="s">
        <v>0</v>
      </c>
      <c r="B2" s="8">
        <v>51</v>
      </c>
    </row>
    <row r="3" spans="1:12" ht="19" x14ac:dyDescent="0.25">
      <c r="A3" s="6" t="s">
        <v>13</v>
      </c>
      <c r="B3" s="8">
        <f>VLOOKUP(B2,'Total Costs_Both Incentives'!$A$1:$O$73,10,FALSE)</f>
        <v>5215</v>
      </c>
    </row>
    <row r="4" spans="1:12" ht="19" x14ac:dyDescent="0.25">
      <c r="A4" s="6" t="s">
        <v>6</v>
      </c>
      <c r="B4" s="7">
        <v>6.0596999999999998E-2</v>
      </c>
    </row>
    <row r="5" spans="1:12" ht="19" x14ac:dyDescent="0.25">
      <c r="A5" s="6" t="s">
        <v>4</v>
      </c>
      <c r="B5" s="7">
        <f>(1+B4)^(-1)</f>
        <v>0.94286519761983112</v>
      </c>
    </row>
    <row r="6" spans="1:12" ht="19" x14ac:dyDescent="0.25">
      <c r="A6" s="6" t="s">
        <v>53</v>
      </c>
      <c r="B6" s="7">
        <v>0.01</v>
      </c>
    </row>
    <row r="7" spans="1:12" ht="19" x14ac:dyDescent="0.25">
      <c r="A7" s="6" t="s">
        <v>8</v>
      </c>
      <c r="B7" s="8" t="s">
        <v>9</v>
      </c>
    </row>
    <row r="8" spans="1:12" ht="19" x14ac:dyDescent="0.25">
      <c r="A8" s="6" t="s">
        <v>10</v>
      </c>
      <c r="B8" s="8" t="s">
        <v>49</v>
      </c>
    </row>
    <row r="9" spans="1:12" ht="19" x14ac:dyDescent="0.25">
      <c r="A9" s="6" t="s">
        <v>112</v>
      </c>
      <c r="B9" s="8">
        <f>SUM(AJ23:AJ42)/SUM(AK23:AK42)</f>
        <v>3.6051385659160558E-2</v>
      </c>
    </row>
    <row r="10" spans="1:12" ht="19" x14ac:dyDescent="0.25">
      <c r="A10" s="6" t="s">
        <v>36</v>
      </c>
      <c r="B10" s="8">
        <f>'Male T20 (after)'!B10</f>
        <v>10901.300299441413</v>
      </c>
    </row>
    <row r="11" spans="1:12" ht="19" x14ac:dyDescent="0.25">
      <c r="A11" s="6" t="s">
        <v>84</v>
      </c>
      <c r="B11" s="8">
        <v>300</v>
      </c>
      <c r="L11" s="29"/>
    </row>
    <row r="12" spans="1:12" ht="19" x14ac:dyDescent="0.25">
      <c r="A12" s="6" t="s">
        <v>113</v>
      </c>
      <c r="B12" s="53">
        <f>SUM(AK23:AK42)*B1</f>
        <v>60109063.323443905</v>
      </c>
    </row>
    <row r="13" spans="1:12" ht="19" x14ac:dyDescent="0.25">
      <c r="A13" s="6" t="s">
        <v>109</v>
      </c>
      <c r="B13" s="29">
        <f>NPV(B4,O23:O42)</f>
        <v>3424.3616219313126</v>
      </c>
    </row>
    <row r="14" spans="1:12" ht="19" x14ac:dyDescent="0.25">
      <c r="A14" s="6" t="s">
        <v>103</v>
      </c>
      <c r="B14" s="29">
        <f>ROUND(B13*B1,0)</f>
        <v>1763546</v>
      </c>
    </row>
    <row r="15" spans="1:12" ht="19" x14ac:dyDescent="0.25">
      <c r="A15" s="6" t="s">
        <v>110</v>
      </c>
      <c r="B15" s="29">
        <f>SUM(AJ23:AJ42)</f>
        <v>4207.7961621055911</v>
      </c>
    </row>
    <row r="16" spans="1:12" ht="19" x14ac:dyDescent="0.25">
      <c r="A16" s="6" t="s">
        <v>107</v>
      </c>
      <c r="B16" s="29">
        <f>ROUND(B12-B14,0)</f>
        <v>58345517</v>
      </c>
    </row>
    <row r="17" spans="1:37" ht="19" x14ac:dyDescent="0.25">
      <c r="A17" s="6" t="s">
        <v>138</v>
      </c>
      <c r="B17" s="37">
        <f>B16/B14</f>
        <v>33.084204778327305</v>
      </c>
    </row>
    <row r="18" spans="1:37" ht="19" x14ac:dyDescent="0.25">
      <c r="A18" s="6"/>
      <c r="B18" s="8"/>
    </row>
    <row r="19" spans="1:37" ht="19" x14ac:dyDescent="0.25">
      <c r="A19" s="6"/>
      <c r="B19" s="8"/>
    </row>
    <row r="21" spans="1:37" ht="19" x14ac:dyDescent="0.25">
      <c r="A21" s="60" t="s">
        <v>66</v>
      </c>
      <c r="B21" s="60"/>
      <c r="C21" s="60"/>
      <c r="D21" s="60"/>
      <c r="E21" s="60"/>
      <c r="G21" s="60" t="s">
        <v>65</v>
      </c>
      <c r="H21" s="60"/>
      <c r="I21" s="60"/>
      <c r="J21" s="60"/>
      <c r="K21" s="60"/>
      <c r="M21" s="61" t="s">
        <v>74</v>
      </c>
      <c r="N21" s="61"/>
      <c r="O21" s="61"/>
      <c r="P21" s="61"/>
      <c r="Q21" s="61"/>
      <c r="R21" s="61"/>
      <c r="S21" s="61"/>
      <c r="U21" s="60" t="s">
        <v>46</v>
      </c>
      <c r="V21" s="60"/>
      <c r="W21" s="60"/>
      <c r="Y21" s="60" t="s">
        <v>68</v>
      </c>
      <c r="Z21" s="60"/>
      <c r="AA21" s="60"/>
      <c r="AB21" s="60"/>
      <c r="AC21" s="60"/>
      <c r="AD21" s="60"/>
      <c r="AE21" s="60"/>
      <c r="AF21" s="60"/>
      <c r="AG21" s="60"/>
      <c r="AH21" s="60" t="s">
        <v>69</v>
      </c>
      <c r="AI21" s="60"/>
      <c r="AJ21" s="60"/>
      <c r="AK21" s="60"/>
    </row>
    <row r="22" spans="1:37" ht="19" x14ac:dyDescent="0.25">
      <c r="A22" s="11" t="s">
        <v>5</v>
      </c>
      <c r="B22" s="11" t="s">
        <v>1</v>
      </c>
      <c r="C22" s="11" t="s">
        <v>2</v>
      </c>
      <c r="D22" s="11" t="s">
        <v>3</v>
      </c>
      <c r="E22" s="12" t="s">
        <v>7</v>
      </c>
      <c r="G22" s="11" t="s">
        <v>5</v>
      </c>
      <c r="H22" s="14" t="s">
        <v>26</v>
      </c>
      <c r="I22" s="14" t="s">
        <v>47</v>
      </c>
      <c r="J22" s="14" t="s">
        <v>27</v>
      </c>
      <c r="K22" s="15" t="s">
        <v>28</v>
      </c>
      <c r="M22" s="26" t="s">
        <v>34</v>
      </c>
      <c r="N22" s="26" t="s">
        <v>36</v>
      </c>
      <c r="O22" s="26" t="s">
        <v>50</v>
      </c>
      <c r="P22" s="26" t="s">
        <v>72</v>
      </c>
      <c r="Q22" s="6" t="s">
        <v>70</v>
      </c>
      <c r="R22" s="6" t="s">
        <v>71</v>
      </c>
      <c r="S22" s="6" t="s">
        <v>73</v>
      </c>
      <c r="T22" s="9"/>
      <c r="U22" s="14" t="s">
        <v>34</v>
      </c>
      <c r="V22" s="11" t="s">
        <v>16</v>
      </c>
      <c r="W22" s="12" t="s">
        <v>17</v>
      </c>
      <c r="Y22" s="14" t="s">
        <v>34</v>
      </c>
      <c r="Z22" s="11" t="s">
        <v>29</v>
      </c>
      <c r="AA22" s="11" t="s">
        <v>30</v>
      </c>
      <c r="AB22" s="11" t="s">
        <v>31</v>
      </c>
      <c r="AC22" s="11" t="s">
        <v>71</v>
      </c>
      <c r="AD22" s="11" t="s">
        <v>33</v>
      </c>
      <c r="AE22" s="11" t="s">
        <v>51</v>
      </c>
      <c r="AF22" s="11" t="s">
        <v>43</v>
      </c>
      <c r="AG22" s="11" t="s">
        <v>44</v>
      </c>
      <c r="AH22" s="11" t="s">
        <v>45</v>
      </c>
      <c r="AI22" s="11" t="s">
        <v>41</v>
      </c>
      <c r="AJ22" s="11" t="s">
        <v>38</v>
      </c>
      <c r="AK22" s="12" t="s">
        <v>39</v>
      </c>
    </row>
    <row r="23" spans="1:37" x14ac:dyDescent="0.2">
      <c r="A23">
        <f>B2</f>
        <v>51</v>
      </c>
      <c r="B23">
        <f>VLOOKUP(A23,Table21[#All],2,FALSE)</f>
        <v>4.4427371439999998E-3</v>
      </c>
      <c r="C23">
        <f>1-B23</f>
        <v>0.99555726285599999</v>
      </c>
      <c r="D23">
        <f>$B$5*(B23+C23*D24)</f>
        <v>8.3569538708775162E-2</v>
      </c>
      <c r="E23">
        <f>D23-PRODUCT(C23:C42)*E42*$B$5^(20)</f>
        <v>7.9915041019269301E-2</v>
      </c>
      <c r="G23">
        <f>B2</f>
        <v>51</v>
      </c>
      <c r="H23">
        <f>B23</f>
        <v>4.4427371439999998E-3</v>
      </c>
      <c r="I23">
        <f>Lapses!B2</f>
        <v>9.8600000000000007E-3</v>
      </c>
      <c r="J23">
        <f>1-H23-I23</f>
        <v>0.98569726285600001</v>
      </c>
      <c r="K23">
        <f>1</f>
        <v>1</v>
      </c>
      <c r="M23">
        <v>1</v>
      </c>
      <c r="N23">
        <f>$B$10</f>
        <v>10901.300299441413</v>
      </c>
      <c r="O23">
        <f>$B$11</f>
        <v>300</v>
      </c>
      <c r="P23">
        <f>VLOOKUP(A23,'Death Benefits'!$A$1:$E$98,2,FALSE)</f>
        <v>654854.3689</v>
      </c>
      <c r="Q23">
        <f>I23</f>
        <v>9.8600000000000007E-3</v>
      </c>
      <c r="R23">
        <v>0</v>
      </c>
      <c r="S23">
        <f>ABS(MIN(AF24-S24*J24,0))*$B$5</f>
        <v>0</v>
      </c>
      <c r="U23">
        <v>1</v>
      </c>
      <c r="V23">
        <f>S23</f>
        <v>0</v>
      </c>
      <c r="W23">
        <f>$B$6*P23*J23</f>
        <v>6454.8815899402334</v>
      </c>
      <c r="Y23">
        <v>1</v>
      </c>
      <c r="Z23">
        <f>N23</f>
        <v>10901.300299441413</v>
      </c>
      <c r="AA23">
        <f>-O23</f>
        <v>-300</v>
      </c>
      <c r="AB23">
        <f>-P23*H23</f>
        <v>-2909.3458286227083</v>
      </c>
      <c r="AC23">
        <f>-R23</f>
        <v>0</v>
      </c>
      <c r="AD23">
        <f>SUM(Z23:AA23)*$B$4</f>
        <v>642.40699424525133</v>
      </c>
      <c r="AE23">
        <f>-W23</f>
        <v>-6454.8815899402334</v>
      </c>
      <c r="AF23">
        <f>SUM(Z23:AE23)</f>
        <v>1879.4798751237222</v>
      </c>
      <c r="AG23">
        <f>-V23*K23</f>
        <v>0</v>
      </c>
      <c r="AH23">
        <f>SUM(AF23:AG23)</f>
        <v>1879.4798751237222</v>
      </c>
      <c r="AI23">
        <f>$B$5^Y23</f>
        <v>0.94286519761983112</v>
      </c>
      <c r="AJ23">
        <f>AH23*AI23*K23</f>
        <v>1772.0961638810238</v>
      </c>
      <c r="AK23">
        <f>B10</f>
        <v>10901.300299441413</v>
      </c>
    </row>
    <row r="24" spans="1:37" x14ac:dyDescent="0.2">
      <c r="A24">
        <f>A23+1</f>
        <v>52</v>
      </c>
      <c r="B24">
        <f>VLOOKUP(A24,Table21[#All],2,FALSE)</f>
        <v>4.8912929250000004E-3</v>
      </c>
      <c r="C24">
        <f t="shared" ref="C24:C42" si="0">1-B24</f>
        <v>0.99510870707499999</v>
      </c>
      <c r="D24">
        <f t="shared" ref="D24:D42" si="1">$B$5*(B24+C24*D25)</f>
        <v>8.4566571952263886E-2</v>
      </c>
      <c r="E24">
        <f t="shared" ref="E24:E42" si="2">D24-PRODUCT(C24:C43)*E43*$B$5^(20)</f>
        <v>8.4566571952263886E-2</v>
      </c>
      <c r="G24">
        <f>G23+1</f>
        <v>52</v>
      </c>
      <c r="H24">
        <f t="shared" ref="H24:H42" si="3">B24</f>
        <v>4.8912929250000004E-3</v>
      </c>
      <c r="I24">
        <f>Lapses!B3</f>
        <v>9.92E-3</v>
      </c>
      <c r="J24">
        <f t="shared" ref="J24:J42" si="4">1-H24-I24</f>
        <v>0.98518870707499995</v>
      </c>
      <c r="K24">
        <f>J23*K23</f>
        <v>0.98569726285600001</v>
      </c>
      <c r="M24">
        <v>2</v>
      </c>
      <c r="N24">
        <f t="shared" ref="N24:N42" si="5">$B$10</f>
        <v>10901.300299441413</v>
      </c>
      <c r="O24">
        <f>$B$11</f>
        <v>300</v>
      </c>
      <c r="P24">
        <f>VLOOKUP(A24,'Death Benefits'!$A$1:$E$98,2,FALSE)</f>
        <v>615415.01980000001</v>
      </c>
      <c r="Q24">
        <f t="shared" ref="Q24:Q42" si="6">I24</f>
        <v>9.92E-3</v>
      </c>
      <c r="R24">
        <v>0</v>
      </c>
      <c r="S24">
        <f t="shared" ref="S24:S41" si="7">ABS(MIN(AF25-S25*J25,0))*$B$5</f>
        <v>0</v>
      </c>
      <c r="U24">
        <v>2</v>
      </c>
      <c r="V24">
        <f t="shared" ref="V24:V42" si="8">S24</f>
        <v>0</v>
      </c>
      <c r="W24">
        <f t="shared" ref="W24:W42" si="9">$B$6*P24*J24</f>
        <v>6062.9992767129752</v>
      </c>
      <c r="Y24">
        <v>2</v>
      </c>
      <c r="Z24">
        <f t="shared" ref="Z24:Z42" si="10">N24</f>
        <v>10901.300299441413</v>
      </c>
      <c r="AA24">
        <f t="shared" ref="AA24:AA42" si="11">-O24</f>
        <v>-300</v>
      </c>
      <c r="AB24">
        <f t="shared" ref="AB24:AB42" si="12">-P24*H24</f>
        <v>-3010.1751322864752</v>
      </c>
      <c r="AC24">
        <f t="shared" ref="AC24:AC42" si="13">-R24</f>
        <v>0</v>
      </c>
      <c r="AD24">
        <f t="shared" ref="AD24:AD42" si="14">SUM(Z24:AA24)*$B$4</f>
        <v>642.40699424525133</v>
      </c>
      <c r="AE24">
        <f t="shared" ref="AE24:AE42" si="15">-W24</f>
        <v>-6062.9992767129752</v>
      </c>
      <c r="AF24">
        <f t="shared" ref="AF24:AF42" si="16">SUM(Z24:AE24)</f>
        <v>2170.5328846872144</v>
      </c>
      <c r="AG24">
        <f t="shared" ref="AG24:AG42" si="17">-V24*K24</f>
        <v>0</v>
      </c>
      <c r="AH24">
        <f>MAX(SUM(AF24:AG24),0)</f>
        <v>2170.5328846872144</v>
      </c>
      <c r="AI24">
        <f t="shared" ref="AI24:AI42" si="18">$B$5^Y24</f>
        <v>0.88899478088268324</v>
      </c>
      <c r="AJ24">
        <f t="shared" ref="AJ24:AJ42" si="19">AH24*AI24*K24</f>
        <v>1901.9939532399287</v>
      </c>
      <c r="AK24">
        <f>$B$10*AI23*K24</f>
        <v>10131.446597275586</v>
      </c>
    </row>
    <row r="25" spans="1:37" x14ac:dyDescent="0.2">
      <c r="A25">
        <f t="shared" ref="A25:A42" si="20">A24+1</f>
        <v>53</v>
      </c>
      <c r="B25">
        <f>VLOOKUP(A25,Table21[#All],2,FALSE)</f>
        <v>5.3450468990000003E-3</v>
      </c>
      <c r="C25">
        <f t="shared" si="0"/>
        <v>0.99465495310100005</v>
      </c>
      <c r="D25">
        <f t="shared" si="1"/>
        <v>8.5216578837013418E-2</v>
      </c>
      <c r="E25">
        <f t="shared" si="2"/>
        <v>8.5216578837013418E-2</v>
      </c>
      <c r="G25">
        <f t="shared" ref="G25:G42" si="21">G24+1</f>
        <v>53</v>
      </c>
      <c r="H25">
        <f t="shared" si="3"/>
        <v>5.3450468990000003E-3</v>
      </c>
      <c r="I25">
        <f>Lapses!B4</f>
        <v>9.9399999999999992E-3</v>
      </c>
      <c r="J25">
        <f t="shared" si="4"/>
        <v>0.9847149531010001</v>
      </c>
      <c r="K25">
        <f t="shared" ref="K25:K42" si="22">J24*K24</f>
        <v>0.97109781196046907</v>
      </c>
      <c r="M25">
        <v>3</v>
      </c>
      <c r="N25">
        <f t="shared" si="5"/>
        <v>10901.300299441413</v>
      </c>
      <c r="O25">
        <f t="shared" ref="O25:O42" si="23">$B$11</f>
        <v>300</v>
      </c>
      <c r="P25">
        <f>VLOOKUP(A25,'Death Benefits'!$A$1:$E$98,2,FALSE)</f>
        <v>700508.13009999995</v>
      </c>
      <c r="Q25">
        <f t="shared" si="6"/>
        <v>9.9399999999999992E-3</v>
      </c>
      <c r="R25">
        <v>0</v>
      </c>
      <c r="S25">
        <f t="shared" si="7"/>
        <v>0</v>
      </c>
      <c r="U25">
        <v>3</v>
      </c>
      <c r="V25">
        <f t="shared" si="8"/>
        <v>0</v>
      </c>
      <c r="W25">
        <f t="shared" si="9"/>
        <v>6898.0083047829066</v>
      </c>
      <c r="Y25">
        <v>3</v>
      </c>
      <c r="Z25">
        <f t="shared" si="10"/>
        <v>10901.300299441413</v>
      </c>
      <c r="AA25">
        <f t="shared" si="11"/>
        <v>-300</v>
      </c>
      <c r="AB25">
        <f t="shared" si="12"/>
        <v>-3744.2488085152936</v>
      </c>
      <c r="AC25">
        <f t="shared" si="13"/>
        <v>0</v>
      </c>
      <c r="AD25">
        <f t="shared" si="14"/>
        <v>642.40699424525133</v>
      </c>
      <c r="AE25">
        <f t="shared" si="15"/>
        <v>-6898.0083047829066</v>
      </c>
      <c r="AF25">
        <f t="shared" si="16"/>
        <v>601.4501803884641</v>
      </c>
      <c r="AG25">
        <f t="shared" si="17"/>
        <v>0</v>
      </c>
      <c r="AH25">
        <f t="shared" ref="AH25:AH42" si="24">MAX(SUM(AF25:AG25),0)</f>
        <v>601.4501803884641</v>
      </c>
      <c r="AI25">
        <f t="shared" si="18"/>
        <v>0.83820223975994956</v>
      </c>
      <c r="AJ25">
        <f t="shared" si="19"/>
        <v>489.56622916216281</v>
      </c>
      <c r="AK25">
        <f t="shared" ref="AK25:AK42" si="25">$B$10*AI24*K25</f>
        <v>9411.1022131585742</v>
      </c>
    </row>
    <row r="26" spans="1:37" x14ac:dyDescent="0.2">
      <c r="A26">
        <f t="shared" si="20"/>
        <v>54</v>
      </c>
      <c r="B26">
        <f>VLOOKUP(A26,Table21[#All],2,FALSE)</f>
        <v>5.7992964030000003E-3</v>
      </c>
      <c r="C26">
        <f t="shared" si="0"/>
        <v>0.99420070359699997</v>
      </c>
      <c r="D26">
        <f t="shared" si="1"/>
        <v>8.5492361648316431E-2</v>
      </c>
      <c r="E26">
        <f t="shared" si="2"/>
        <v>8.5492361648316431E-2</v>
      </c>
      <c r="G26">
        <f t="shared" si="21"/>
        <v>54</v>
      </c>
      <c r="H26">
        <f t="shared" si="3"/>
        <v>5.7992964030000003E-3</v>
      </c>
      <c r="I26">
        <f>Lapses!B5</f>
        <v>1.0019999999999999E-2</v>
      </c>
      <c r="J26">
        <f t="shared" si="4"/>
        <v>0.98418070359699994</v>
      </c>
      <c r="K26">
        <f t="shared" si="22"/>
        <v>0.95625453636113711</v>
      </c>
      <c r="M26">
        <v>4</v>
      </c>
      <c r="N26">
        <f t="shared" si="5"/>
        <v>10901.300299441413</v>
      </c>
      <c r="O26">
        <f t="shared" si="23"/>
        <v>300</v>
      </c>
      <c r="P26">
        <f>VLOOKUP(A26,'Death Benefits'!$A$1:$E$98,2,FALSE)</f>
        <v>712169.81129999994</v>
      </c>
      <c r="Q26">
        <f t="shared" si="6"/>
        <v>1.0019999999999999E-2</v>
      </c>
      <c r="R26">
        <v>0</v>
      </c>
      <c r="S26">
        <f t="shared" si="7"/>
        <v>48.292014778966021</v>
      </c>
      <c r="U26">
        <v>4</v>
      </c>
      <c r="V26">
        <f t="shared" si="8"/>
        <v>48.292014778966021</v>
      </c>
      <c r="W26">
        <f t="shared" si="9"/>
        <v>7009.0378596577666</v>
      </c>
      <c r="Y26">
        <v>4</v>
      </c>
      <c r="Z26">
        <f t="shared" si="10"/>
        <v>10901.300299441413</v>
      </c>
      <c r="AA26">
        <f t="shared" si="11"/>
        <v>-300</v>
      </c>
      <c r="AB26">
        <f t="shared" si="12"/>
        <v>-4130.0838249972785</v>
      </c>
      <c r="AC26">
        <f t="shared" si="13"/>
        <v>0</v>
      </c>
      <c r="AD26">
        <f t="shared" si="14"/>
        <v>642.40699424525133</v>
      </c>
      <c r="AE26">
        <f t="shared" si="15"/>
        <v>-7009.0378596577666</v>
      </c>
      <c r="AF26">
        <f t="shared" si="16"/>
        <v>104.58560903161924</v>
      </c>
      <c r="AG26">
        <f t="shared" si="17"/>
        <v>-46.179458202405335</v>
      </c>
      <c r="AH26">
        <f t="shared" si="24"/>
        <v>58.406150829213907</v>
      </c>
      <c r="AI26">
        <f t="shared" si="18"/>
        <v>0.79031172043664999</v>
      </c>
      <c r="AJ26">
        <f t="shared" si="19"/>
        <v>44.139815822475647</v>
      </c>
      <c r="AK26">
        <f t="shared" si="25"/>
        <v>8737.7704014429255</v>
      </c>
    </row>
    <row r="27" spans="1:37" x14ac:dyDescent="0.2">
      <c r="A27">
        <f t="shared" si="20"/>
        <v>55</v>
      </c>
      <c r="B27">
        <f>VLOOKUP(A27,Table21[#All],2,FALSE)</f>
        <v>6.2493387739999996E-3</v>
      </c>
      <c r="C27">
        <f t="shared" si="0"/>
        <v>0.99375066122599998</v>
      </c>
      <c r="D27">
        <f t="shared" si="1"/>
        <v>8.5368724420580425E-2</v>
      </c>
      <c r="E27">
        <f t="shared" si="2"/>
        <v>8.5368724420580425E-2</v>
      </c>
      <c r="G27">
        <f t="shared" si="21"/>
        <v>55</v>
      </c>
      <c r="H27">
        <f t="shared" si="3"/>
        <v>6.2493387739999996E-3</v>
      </c>
      <c r="I27">
        <f>Lapses!B6</f>
        <v>9.8499999999999994E-3</v>
      </c>
      <c r="J27">
        <f t="shared" si="4"/>
        <v>0.98390066122599995</v>
      </c>
      <c r="K27">
        <f t="shared" si="22"/>
        <v>0.94112726241372691</v>
      </c>
      <c r="M27">
        <v>5</v>
      </c>
      <c r="N27">
        <f t="shared" si="5"/>
        <v>10901.300299441413</v>
      </c>
      <c r="O27">
        <f t="shared" si="23"/>
        <v>300</v>
      </c>
      <c r="P27">
        <f>VLOOKUP(A27,'Death Benefits'!$A$1:$E$98,2,FALSE)</f>
        <v>641007.90509999997</v>
      </c>
      <c r="Q27">
        <f t="shared" si="6"/>
        <v>9.8499999999999994E-3</v>
      </c>
      <c r="R27">
        <v>0</v>
      </c>
      <c r="S27">
        <f t="shared" si="7"/>
        <v>998.24009254102623</v>
      </c>
      <c r="U27">
        <v>5</v>
      </c>
      <c r="V27">
        <f t="shared" si="8"/>
        <v>998.24009254102623</v>
      </c>
      <c r="W27">
        <f t="shared" si="9"/>
        <v>6306.88101678983</v>
      </c>
      <c r="Y27">
        <v>5</v>
      </c>
      <c r="Z27">
        <f t="shared" si="10"/>
        <v>10901.300299441413</v>
      </c>
      <c r="AA27">
        <f t="shared" si="11"/>
        <v>-300</v>
      </c>
      <c r="AB27">
        <f t="shared" si="12"/>
        <v>-4005.8755557819418</v>
      </c>
      <c r="AC27">
        <f t="shared" si="13"/>
        <v>0</v>
      </c>
      <c r="AD27">
        <f t="shared" si="14"/>
        <v>642.40699424525133</v>
      </c>
      <c r="AE27">
        <f t="shared" si="15"/>
        <v>-6306.88101678983</v>
      </c>
      <c r="AF27">
        <f t="shared" si="16"/>
        <v>930.95072111489208</v>
      </c>
      <c r="AG27">
        <f t="shared" si="17"/>
        <v>-939.47096552476137</v>
      </c>
      <c r="AH27">
        <f t="shared" si="24"/>
        <v>0</v>
      </c>
      <c r="AI27">
        <f t="shared" si="18"/>
        <v>0.74515741647077072</v>
      </c>
      <c r="AJ27">
        <f t="shared" si="19"/>
        <v>0</v>
      </c>
      <c r="AK27">
        <f t="shared" si="25"/>
        <v>8108.21171619488</v>
      </c>
    </row>
    <row r="28" spans="1:37" x14ac:dyDescent="0.2">
      <c r="A28">
        <f t="shared" si="20"/>
        <v>56</v>
      </c>
      <c r="B28">
        <f>VLOOKUP(A28,Table21[#All],2,FALSE)</f>
        <v>6.6904713489999998E-3</v>
      </c>
      <c r="C28">
        <f t="shared" si="0"/>
        <v>0.99330952865099997</v>
      </c>
      <c r="D28">
        <f t="shared" si="1"/>
        <v>8.4822559148088394E-2</v>
      </c>
      <c r="E28">
        <f t="shared" si="2"/>
        <v>8.4822559148088394E-2</v>
      </c>
      <c r="G28">
        <f t="shared" si="21"/>
        <v>56</v>
      </c>
      <c r="H28">
        <f t="shared" si="3"/>
        <v>6.6904713489999998E-3</v>
      </c>
      <c r="I28">
        <f>Lapses!B7</f>
        <v>9.7599999999999996E-3</v>
      </c>
      <c r="J28">
        <f t="shared" si="4"/>
        <v>0.98354952865099998</v>
      </c>
      <c r="K28">
        <f t="shared" si="22"/>
        <v>0.92597573578668102</v>
      </c>
      <c r="M28">
        <v>6</v>
      </c>
      <c r="N28">
        <f t="shared" si="5"/>
        <v>10901.300299441413</v>
      </c>
      <c r="O28">
        <f t="shared" si="23"/>
        <v>300</v>
      </c>
      <c r="P28">
        <f>VLOOKUP(A28,'Death Benefits'!$A$1:$E$98,2,FALSE)</f>
        <v>600104.60250000004</v>
      </c>
      <c r="Q28">
        <f t="shared" si="6"/>
        <v>9.7599999999999996E-3</v>
      </c>
      <c r="R28">
        <v>0</v>
      </c>
      <c r="S28">
        <f t="shared" si="7"/>
        <v>2425.0218549296264</v>
      </c>
      <c r="U28">
        <v>6</v>
      </c>
      <c r="V28">
        <f t="shared" si="8"/>
        <v>2425.0218549296264</v>
      </c>
      <c r="W28">
        <f t="shared" si="9"/>
        <v>5902.3259893017075</v>
      </c>
      <c r="Y28">
        <v>6</v>
      </c>
      <c r="Z28">
        <f t="shared" si="10"/>
        <v>10901.300299441413</v>
      </c>
      <c r="AA28">
        <f t="shared" si="11"/>
        <v>-300</v>
      </c>
      <c r="AB28">
        <f t="shared" si="12"/>
        <v>-4014.9826494292838</v>
      </c>
      <c r="AC28">
        <f t="shared" si="13"/>
        <v>0</v>
      </c>
      <c r="AD28">
        <f t="shared" si="14"/>
        <v>642.40699424525133</v>
      </c>
      <c r="AE28">
        <f t="shared" si="15"/>
        <v>-5902.3259893017075</v>
      </c>
      <c r="AF28">
        <f t="shared" si="16"/>
        <v>1326.398654955673</v>
      </c>
      <c r="AG28">
        <f t="shared" si="17"/>
        <v>-2245.5113964172428</v>
      </c>
      <c r="AH28">
        <f t="shared" si="24"/>
        <v>0</v>
      </c>
      <c r="AI28">
        <f t="shared" si="18"/>
        <v>0.70258299473859609</v>
      </c>
      <c r="AJ28">
        <f t="shared" si="19"/>
        <v>0</v>
      </c>
      <c r="AK28">
        <f t="shared" si="25"/>
        <v>7521.8719918352981</v>
      </c>
    </row>
    <row r="29" spans="1:37" x14ac:dyDescent="0.2">
      <c r="A29">
        <f t="shared" si="20"/>
        <v>57</v>
      </c>
      <c r="B29">
        <f>VLOOKUP(A29,Table21[#All],2,FALSE)</f>
        <v>7.117991465E-3</v>
      </c>
      <c r="C29">
        <f t="shared" si="0"/>
        <v>0.99288200853499997</v>
      </c>
      <c r="D29">
        <f t="shared" si="1"/>
        <v>8.3832962449152962E-2</v>
      </c>
      <c r="E29">
        <f t="shared" si="2"/>
        <v>8.3832962449152962E-2</v>
      </c>
      <c r="G29">
        <f t="shared" si="21"/>
        <v>57</v>
      </c>
      <c r="H29">
        <f t="shared" si="3"/>
        <v>7.117991465E-3</v>
      </c>
      <c r="I29">
        <f>Lapses!B8</f>
        <v>1.026E-2</v>
      </c>
      <c r="J29">
        <f t="shared" si="4"/>
        <v>0.98262200853499992</v>
      </c>
      <c r="K29">
        <f t="shared" si="22"/>
        <v>0.91074299847525297</v>
      </c>
      <c r="M29">
        <v>7</v>
      </c>
      <c r="N29">
        <f t="shared" si="5"/>
        <v>10901.300299441413</v>
      </c>
      <c r="O29">
        <f t="shared" si="23"/>
        <v>300</v>
      </c>
      <c r="P29">
        <f>VLOOKUP(A29,'Death Benefits'!$A$1:$E$98,2,FALSE)</f>
        <v>600104.60250000004</v>
      </c>
      <c r="Q29">
        <f t="shared" si="6"/>
        <v>1.026E-2</v>
      </c>
      <c r="R29">
        <v>0</v>
      </c>
      <c r="S29">
        <f t="shared" si="7"/>
        <v>3711.8839484357522</v>
      </c>
      <c r="U29">
        <v>7</v>
      </c>
      <c r="V29">
        <f t="shared" si="8"/>
        <v>3711.8839484357522</v>
      </c>
      <c r="W29">
        <f t="shared" si="9"/>
        <v>5896.7598983964781</v>
      </c>
      <c r="Y29">
        <v>7</v>
      </c>
      <c r="Z29">
        <f t="shared" si="10"/>
        <v>10901.300299441413</v>
      </c>
      <c r="AA29">
        <f t="shared" si="11"/>
        <v>-300</v>
      </c>
      <c r="AB29">
        <f t="shared" si="12"/>
        <v>-4271.5394387022179</v>
      </c>
      <c r="AC29">
        <f t="shared" si="13"/>
        <v>0</v>
      </c>
      <c r="AD29">
        <f t="shared" si="14"/>
        <v>642.40699424525133</v>
      </c>
      <c r="AE29">
        <f t="shared" si="15"/>
        <v>-5896.7598983964781</v>
      </c>
      <c r="AF29">
        <f t="shared" si="16"/>
        <v>1075.4079565879683</v>
      </c>
      <c r="AG29">
        <f t="shared" si="17"/>
        <v>-3380.5723171905383</v>
      </c>
      <c r="AH29">
        <f t="shared" si="24"/>
        <v>0</v>
      </c>
      <c r="AI29">
        <f t="shared" si="18"/>
        <v>0.66244105417853916</v>
      </c>
      <c r="AJ29">
        <f t="shared" si="19"/>
        <v>0</v>
      </c>
      <c r="AK29">
        <f t="shared" si="25"/>
        <v>6975.4427479455117</v>
      </c>
    </row>
    <row r="30" spans="1:37" x14ac:dyDescent="0.2">
      <c r="A30">
        <f t="shared" si="20"/>
        <v>58</v>
      </c>
      <c r="B30">
        <f>VLOOKUP(A30,Table21[#All],2,FALSE)</f>
        <v>7.5271964599999998E-3</v>
      </c>
      <c r="C30">
        <f t="shared" si="0"/>
        <v>0.99247280354</v>
      </c>
      <c r="D30">
        <f t="shared" si="1"/>
        <v>8.238138701936297E-2</v>
      </c>
      <c r="E30">
        <f t="shared" si="2"/>
        <v>8.238138701936297E-2</v>
      </c>
      <c r="G30">
        <f t="shared" si="21"/>
        <v>58</v>
      </c>
      <c r="H30">
        <f t="shared" si="3"/>
        <v>7.5271964599999998E-3</v>
      </c>
      <c r="I30">
        <f>Lapses!B9</f>
        <v>9.9500000000000005E-3</v>
      </c>
      <c r="J30">
        <f t="shared" si="4"/>
        <v>0.98252280353999999</v>
      </c>
      <c r="K30">
        <f t="shared" si="22"/>
        <v>0.89491611442094143</v>
      </c>
      <c r="M30">
        <v>8</v>
      </c>
      <c r="N30">
        <f t="shared" si="5"/>
        <v>10901.300299441413</v>
      </c>
      <c r="O30">
        <f t="shared" si="23"/>
        <v>300</v>
      </c>
      <c r="P30">
        <f>VLOOKUP(A30,'Death Benefits'!$A$1:$E$98,2,FALSE)</f>
        <v>600104.60250000004</v>
      </c>
      <c r="Q30">
        <f t="shared" si="6"/>
        <v>9.9500000000000005E-3</v>
      </c>
      <c r="R30">
        <v>0</v>
      </c>
      <c r="S30">
        <f t="shared" si="7"/>
        <v>4852.0507130686819</v>
      </c>
      <c r="U30">
        <v>8</v>
      </c>
      <c r="V30">
        <f t="shared" si="8"/>
        <v>4852.0507130686819</v>
      </c>
      <c r="W30">
        <f t="shared" si="9"/>
        <v>5896.1645646555735</v>
      </c>
      <c r="Y30">
        <v>8</v>
      </c>
      <c r="Z30">
        <f t="shared" si="10"/>
        <v>10901.300299441413</v>
      </c>
      <c r="AA30">
        <f t="shared" si="11"/>
        <v>-300</v>
      </c>
      <c r="AB30">
        <f t="shared" si="12"/>
        <v>-4517.105239567707</v>
      </c>
      <c r="AC30">
        <f t="shared" si="13"/>
        <v>0</v>
      </c>
      <c r="AD30">
        <f t="shared" si="14"/>
        <v>642.40699424525133</v>
      </c>
      <c r="AE30">
        <f t="shared" si="15"/>
        <v>-5896.1645646555735</v>
      </c>
      <c r="AF30">
        <f t="shared" si="16"/>
        <v>830.43748946338383</v>
      </c>
      <c r="AG30">
        <f t="shared" si="17"/>
        <v>-4342.1783711127828</v>
      </c>
      <c r="AH30">
        <f t="shared" si="24"/>
        <v>0</v>
      </c>
      <c r="AI30">
        <f t="shared" si="18"/>
        <v>0.62459261545953759</v>
      </c>
      <c r="AJ30">
        <f t="shared" si="19"/>
        <v>0</v>
      </c>
      <c r="AK30">
        <f t="shared" si="25"/>
        <v>6462.6088546423553</v>
      </c>
    </row>
    <row r="31" spans="1:37" x14ac:dyDescent="0.2">
      <c r="A31">
        <f t="shared" si="20"/>
        <v>59</v>
      </c>
      <c r="B31">
        <f>VLOOKUP(A31,Table21[#All],2,FALSE)</f>
        <v>7.9133836699999995E-3</v>
      </c>
      <c r="C31">
        <f t="shared" si="0"/>
        <v>0.99208661632999995</v>
      </c>
      <c r="D31">
        <f t="shared" si="1"/>
        <v>8.0451832215226268E-2</v>
      </c>
      <c r="E31">
        <f t="shared" si="2"/>
        <v>8.0451832215226268E-2</v>
      </c>
      <c r="G31">
        <f t="shared" si="21"/>
        <v>59</v>
      </c>
      <c r="H31">
        <f t="shared" si="3"/>
        <v>7.9133836699999995E-3</v>
      </c>
      <c r="I31">
        <f>Lapses!B10</f>
        <v>0.01</v>
      </c>
      <c r="J31">
        <f t="shared" si="4"/>
        <v>0.98208661632999994</v>
      </c>
      <c r="K31">
        <f t="shared" si="22"/>
        <v>0.87927548967398683</v>
      </c>
      <c r="M31">
        <v>9</v>
      </c>
      <c r="N31">
        <f t="shared" si="5"/>
        <v>10901.300299441413</v>
      </c>
      <c r="O31">
        <f t="shared" si="23"/>
        <v>300</v>
      </c>
      <c r="P31">
        <f>VLOOKUP(A31,'Death Benefits'!$A$1:$E$98,2,FALSE)</f>
        <v>600104.60250000004</v>
      </c>
      <c r="Q31">
        <f t="shared" si="6"/>
        <v>0.01</v>
      </c>
      <c r="R31">
        <v>0</v>
      </c>
      <c r="S31">
        <f t="shared" si="7"/>
        <v>5852.2055808525074</v>
      </c>
      <c r="U31">
        <v>9</v>
      </c>
      <c r="V31">
        <f t="shared" si="8"/>
        <v>5852.2055808525074</v>
      </c>
      <c r="W31">
        <f t="shared" si="9"/>
        <v>5893.5469851328471</v>
      </c>
      <c r="Y31">
        <v>9</v>
      </c>
      <c r="Z31">
        <f t="shared" si="10"/>
        <v>10901.300299441413</v>
      </c>
      <c r="AA31">
        <f t="shared" si="11"/>
        <v>-300</v>
      </c>
      <c r="AB31">
        <f t="shared" si="12"/>
        <v>-4748.8579617153409</v>
      </c>
      <c r="AC31">
        <f t="shared" si="13"/>
        <v>0</v>
      </c>
      <c r="AD31">
        <f t="shared" si="14"/>
        <v>642.40699424525133</v>
      </c>
      <c r="AE31">
        <f t="shared" si="15"/>
        <v>-5893.5469851328471</v>
      </c>
      <c r="AF31">
        <f t="shared" si="16"/>
        <v>601.3023468384763</v>
      </c>
      <c r="AG31">
        <f t="shared" si="17"/>
        <v>-5145.7009277769266</v>
      </c>
      <c r="AH31">
        <f t="shared" si="24"/>
        <v>0</v>
      </c>
      <c r="AI31">
        <f t="shared" si="18"/>
        <v>0.58890663980714408</v>
      </c>
      <c r="AJ31">
        <f t="shared" si="19"/>
        <v>0</v>
      </c>
      <c r="AK31">
        <f t="shared" si="25"/>
        <v>5986.8739681949273</v>
      </c>
    </row>
    <row r="32" spans="1:37" x14ac:dyDescent="0.2">
      <c r="A32">
        <f t="shared" si="20"/>
        <v>60</v>
      </c>
      <c r="B32">
        <f>VLOOKUP(A32,Table21[#All],2,FALSE)</f>
        <v>8.2718504339999999E-3</v>
      </c>
      <c r="C32">
        <f t="shared" si="0"/>
        <v>0.99172814956599997</v>
      </c>
      <c r="D32">
        <f t="shared" si="1"/>
        <v>7.8031078081011104E-2</v>
      </c>
      <c r="E32">
        <f t="shared" si="2"/>
        <v>7.8031078081011104E-2</v>
      </c>
      <c r="G32">
        <f t="shared" si="21"/>
        <v>60</v>
      </c>
      <c r="H32">
        <f t="shared" si="3"/>
        <v>8.2718504339999999E-3</v>
      </c>
      <c r="I32">
        <f>Lapses!B11</f>
        <v>1.021E-2</v>
      </c>
      <c r="J32">
        <f t="shared" si="4"/>
        <v>0.98151814956599992</v>
      </c>
      <c r="K32">
        <f t="shared" si="22"/>
        <v>0.86352469047582958</v>
      </c>
      <c r="M32">
        <v>10</v>
      </c>
      <c r="N32">
        <f t="shared" si="5"/>
        <v>10901.300299441413</v>
      </c>
      <c r="O32">
        <f t="shared" si="23"/>
        <v>300</v>
      </c>
      <c r="P32">
        <f>VLOOKUP(A32,'Death Benefits'!$A$1:$E$98,2,FALSE)</f>
        <v>600104.60250000004</v>
      </c>
      <c r="Q32">
        <f t="shared" si="6"/>
        <v>1.021E-2</v>
      </c>
      <c r="R32">
        <v>0</v>
      </c>
      <c r="S32">
        <f t="shared" si="7"/>
        <v>6720.6376901796739</v>
      </c>
      <c r="U32">
        <v>10</v>
      </c>
      <c r="V32">
        <f t="shared" si="8"/>
        <v>6720.6376901796739</v>
      </c>
      <c r="W32">
        <f t="shared" si="9"/>
        <v>5890.1355899184</v>
      </c>
      <c r="Y32">
        <v>10</v>
      </c>
      <c r="Z32">
        <f t="shared" si="10"/>
        <v>10901.300299441413</v>
      </c>
      <c r="AA32">
        <f t="shared" si="11"/>
        <v>-300</v>
      </c>
      <c r="AB32">
        <f t="shared" si="12"/>
        <v>-4963.9755166350224</v>
      </c>
      <c r="AC32">
        <f t="shared" si="13"/>
        <v>0</v>
      </c>
      <c r="AD32">
        <f t="shared" si="14"/>
        <v>642.40699424525133</v>
      </c>
      <c r="AE32">
        <f t="shared" si="15"/>
        <v>-5890.1355899184</v>
      </c>
      <c r="AF32">
        <f t="shared" si="16"/>
        <v>389.59618713324198</v>
      </c>
      <c r="AG32">
        <f t="shared" si="17"/>
        <v>-5803.436581212597</v>
      </c>
      <c r="AH32">
        <f t="shared" si="24"/>
        <v>0</v>
      </c>
      <c r="AI32">
        <f t="shared" si="18"/>
        <v>0.55525957532139369</v>
      </c>
      <c r="AJ32">
        <f t="shared" si="19"/>
        <v>0</v>
      </c>
      <c r="AK32">
        <f t="shared" si="25"/>
        <v>5543.6973683865945</v>
      </c>
    </row>
    <row r="33" spans="1:37" x14ac:dyDescent="0.2">
      <c r="A33">
        <f t="shared" si="20"/>
        <v>61</v>
      </c>
      <c r="B33">
        <f>VLOOKUP(A33,Table21[#All],2,FALSE)</f>
        <v>8.6035763530000007E-3</v>
      </c>
      <c r="C33">
        <f t="shared" si="0"/>
        <v>0.99139642364699998</v>
      </c>
      <c r="D33">
        <f t="shared" si="1"/>
        <v>7.5108967026985593E-2</v>
      </c>
      <c r="E33">
        <f t="shared" si="2"/>
        <v>7.5108967026985593E-2</v>
      </c>
      <c r="G33">
        <f t="shared" si="21"/>
        <v>61</v>
      </c>
      <c r="H33">
        <f t="shared" si="3"/>
        <v>8.6035763530000007E-3</v>
      </c>
      <c r="I33">
        <f>Lapses!B12</f>
        <v>9.9500000000000005E-3</v>
      </c>
      <c r="J33">
        <f t="shared" si="4"/>
        <v>0.98144642364699997</v>
      </c>
      <c r="K33">
        <f t="shared" si="22"/>
        <v>0.84756515630038909</v>
      </c>
      <c r="M33">
        <v>11</v>
      </c>
      <c r="N33">
        <f t="shared" si="5"/>
        <v>10901.300299441413</v>
      </c>
      <c r="O33">
        <f t="shared" si="23"/>
        <v>300</v>
      </c>
      <c r="P33">
        <f>VLOOKUP(A33,'Death Benefits'!$A$1:$E$98,2,FALSE)</f>
        <v>600104.60250000004</v>
      </c>
      <c r="Q33">
        <f t="shared" si="6"/>
        <v>9.9500000000000005E-3</v>
      </c>
      <c r="R33">
        <v>0</v>
      </c>
      <c r="S33">
        <f t="shared" si="7"/>
        <v>7457.2023116748214</v>
      </c>
      <c r="U33">
        <v>11</v>
      </c>
      <c r="V33">
        <f t="shared" si="8"/>
        <v>7457.2023116748214</v>
      </c>
      <c r="W33">
        <f t="shared" si="9"/>
        <v>5889.7051593772958</v>
      </c>
      <c r="Y33">
        <v>11</v>
      </c>
      <c r="Z33">
        <f t="shared" si="10"/>
        <v>10901.300299441413</v>
      </c>
      <c r="AA33">
        <f t="shared" si="11"/>
        <v>-300</v>
      </c>
      <c r="AB33">
        <f t="shared" si="12"/>
        <v>-5163.0457673954652</v>
      </c>
      <c r="AC33">
        <f t="shared" si="13"/>
        <v>0</v>
      </c>
      <c r="AD33">
        <f t="shared" si="14"/>
        <v>642.40699424525133</v>
      </c>
      <c r="AE33">
        <f t="shared" si="15"/>
        <v>-5889.7051593772958</v>
      </c>
      <c r="AF33">
        <f t="shared" si="16"/>
        <v>190.95636691390337</v>
      </c>
      <c r="AG33">
        <f t="shared" si="17"/>
        <v>-6320.4648428582932</v>
      </c>
      <c r="AH33">
        <f t="shared" si="24"/>
        <v>0</v>
      </c>
      <c r="AI33">
        <f t="shared" si="18"/>
        <v>0.52353492921570932</v>
      </c>
      <c r="AJ33">
        <f t="shared" si="19"/>
        <v>0</v>
      </c>
      <c r="AK33">
        <f t="shared" si="25"/>
        <v>5130.3554345078419</v>
      </c>
    </row>
    <row r="34" spans="1:37" x14ac:dyDescent="0.2">
      <c r="A34">
        <f t="shared" si="20"/>
        <v>62</v>
      </c>
      <c r="B34">
        <f>VLOOKUP(A34,Table21[#All],2,FALSE)</f>
        <v>8.932270095E-3</v>
      </c>
      <c r="C34">
        <f t="shared" si="0"/>
        <v>0.99106772990500003</v>
      </c>
      <c r="D34">
        <f t="shared" si="1"/>
        <v>7.167341645991307E-2</v>
      </c>
      <c r="E34">
        <f t="shared" si="2"/>
        <v>7.167341645991307E-2</v>
      </c>
      <c r="G34">
        <f t="shared" si="21"/>
        <v>62</v>
      </c>
      <c r="H34">
        <f t="shared" si="3"/>
        <v>8.932270095E-3</v>
      </c>
      <c r="I34">
        <f>Lapses!B13</f>
        <v>0.01</v>
      </c>
      <c r="J34">
        <f t="shared" si="4"/>
        <v>0.98106772990500002</v>
      </c>
      <c r="K34">
        <f t="shared" si="22"/>
        <v>0.83183979145882736</v>
      </c>
      <c r="M34">
        <v>12</v>
      </c>
      <c r="N34">
        <f t="shared" si="5"/>
        <v>10901.300299441413</v>
      </c>
      <c r="O34">
        <f t="shared" si="23"/>
        <v>300</v>
      </c>
      <c r="P34">
        <f>VLOOKUP(A34,'Death Benefits'!$A$1:$E$98,2,FALSE)</f>
        <v>600104.60250000004</v>
      </c>
      <c r="Q34">
        <f t="shared" si="6"/>
        <v>0.01</v>
      </c>
      <c r="R34">
        <v>0</v>
      </c>
      <c r="S34">
        <f t="shared" si="7"/>
        <v>8057.6136155479608</v>
      </c>
      <c r="U34">
        <v>12</v>
      </c>
      <c r="V34">
        <f t="shared" si="8"/>
        <v>8057.6136155479608</v>
      </c>
      <c r="W34">
        <f t="shared" si="9"/>
        <v>5887.4326008021744</v>
      </c>
      <c r="Y34">
        <v>12</v>
      </c>
      <c r="Z34">
        <f t="shared" si="10"/>
        <v>10901.300299441413</v>
      </c>
      <c r="AA34">
        <f t="shared" si="11"/>
        <v>-300</v>
      </c>
      <c r="AB34">
        <f t="shared" si="12"/>
        <v>-5360.2963947826129</v>
      </c>
      <c r="AC34">
        <f t="shared" si="13"/>
        <v>0</v>
      </c>
      <c r="AD34">
        <f t="shared" si="14"/>
        <v>642.40699424525133</v>
      </c>
      <c r="AE34">
        <f t="shared" si="15"/>
        <v>-5887.4326008021744</v>
      </c>
      <c r="AF34">
        <f t="shared" si="16"/>
        <v>-4.0217018981229558</v>
      </c>
      <c r="AG34">
        <f t="shared" si="17"/>
        <v>-6702.6436296132233</v>
      </c>
      <c r="AH34">
        <f t="shared" si="24"/>
        <v>0</v>
      </c>
      <c r="AI34">
        <f t="shared" si="18"/>
        <v>0.49362286449585413</v>
      </c>
      <c r="AJ34">
        <f t="shared" si="19"/>
        <v>0</v>
      </c>
      <c r="AK34">
        <f t="shared" si="25"/>
        <v>4747.485607856398</v>
      </c>
    </row>
    <row r="35" spans="1:37" x14ac:dyDescent="0.2">
      <c r="A35">
        <f t="shared" si="20"/>
        <v>63</v>
      </c>
      <c r="B35">
        <f>VLOOKUP(A35,Table21[#All],2,FALSE)</f>
        <v>9.2873225940000009E-3</v>
      </c>
      <c r="C35">
        <f t="shared" si="0"/>
        <v>0.990712677406</v>
      </c>
      <c r="D35">
        <f t="shared" si="1"/>
        <v>6.7688956423356511E-2</v>
      </c>
      <c r="E35">
        <f t="shared" si="2"/>
        <v>6.7688956423356511E-2</v>
      </c>
      <c r="G35">
        <f t="shared" si="21"/>
        <v>63</v>
      </c>
      <c r="H35">
        <f t="shared" si="3"/>
        <v>9.2873225940000009E-3</v>
      </c>
      <c r="I35">
        <f>Lapses!B14</f>
        <v>9.8799999999999999E-3</v>
      </c>
      <c r="J35">
        <f t="shared" si="4"/>
        <v>0.980832677406</v>
      </c>
      <c r="K35">
        <f t="shared" si="22"/>
        <v>0.81609117585116042</v>
      </c>
      <c r="M35">
        <v>13</v>
      </c>
      <c r="N35">
        <f t="shared" si="5"/>
        <v>10901.300299441413</v>
      </c>
      <c r="O35">
        <f t="shared" si="23"/>
        <v>300</v>
      </c>
      <c r="P35">
        <f>VLOOKUP(A35,'Death Benefits'!$A$1:$E$98,2,FALSE)</f>
        <v>600104.60250000004</v>
      </c>
      <c r="Q35">
        <f t="shared" si="6"/>
        <v>9.8799999999999999E-3</v>
      </c>
      <c r="R35">
        <v>0</v>
      </c>
      <c r="S35">
        <f t="shared" si="7"/>
        <v>8492.98890614837</v>
      </c>
      <c r="U35">
        <v>13</v>
      </c>
      <c r="V35">
        <f t="shared" si="8"/>
        <v>8492.98890614837</v>
      </c>
      <c r="W35">
        <f t="shared" si="9"/>
        <v>5886.0220399373839</v>
      </c>
      <c r="Y35">
        <v>13</v>
      </c>
      <c r="Z35">
        <f t="shared" si="10"/>
        <v>10901.300299441413</v>
      </c>
      <c r="AA35">
        <f t="shared" si="11"/>
        <v>-300</v>
      </c>
      <c r="AB35">
        <f t="shared" si="12"/>
        <v>-5573.3650335616394</v>
      </c>
      <c r="AC35">
        <f t="shared" si="13"/>
        <v>0</v>
      </c>
      <c r="AD35">
        <f t="shared" si="14"/>
        <v>642.40699424525133</v>
      </c>
      <c r="AE35">
        <f t="shared" si="15"/>
        <v>-5886.0220399373839</v>
      </c>
      <c r="AF35">
        <f t="shared" si="16"/>
        <v>-215.6797798123589</v>
      </c>
      <c r="AG35">
        <f t="shared" si="17"/>
        <v>-6931.053302909484</v>
      </c>
      <c r="AH35">
        <f t="shared" si="24"/>
        <v>0</v>
      </c>
      <c r="AI35">
        <f t="shared" si="18"/>
        <v>0.46541981968255058</v>
      </c>
      <c r="AJ35">
        <f t="shared" si="19"/>
        <v>0</v>
      </c>
      <c r="AK35">
        <f t="shared" si="25"/>
        <v>4391.4935909269361</v>
      </c>
    </row>
    <row r="36" spans="1:37" x14ac:dyDescent="0.2">
      <c r="A36">
        <f t="shared" si="20"/>
        <v>64</v>
      </c>
      <c r="B36">
        <f>VLOOKUP(A36,Table21[#All],2,FALSE)</f>
        <v>9.6981247830000006E-3</v>
      </c>
      <c r="C36">
        <f t="shared" si="0"/>
        <v>0.99030187521699997</v>
      </c>
      <c r="D36">
        <f t="shared" si="1"/>
        <v>6.3089312317468588E-2</v>
      </c>
      <c r="E36">
        <f t="shared" si="2"/>
        <v>6.3089312317468588E-2</v>
      </c>
      <c r="G36">
        <f t="shared" si="21"/>
        <v>64</v>
      </c>
      <c r="H36">
        <f t="shared" si="3"/>
        <v>9.6981247830000006E-3</v>
      </c>
      <c r="I36">
        <f>Lapses!B15</f>
        <v>9.9699999999999997E-3</v>
      </c>
      <c r="J36">
        <f t="shared" si="4"/>
        <v>0.98033187521699994</v>
      </c>
      <c r="K36">
        <f t="shared" si="22"/>
        <v>0.80044889301750444</v>
      </c>
      <c r="M36">
        <v>14</v>
      </c>
      <c r="N36">
        <f t="shared" si="5"/>
        <v>10901.300299441413</v>
      </c>
      <c r="O36">
        <f t="shared" si="23"/>
        <v>300</v>
      </c>
      <c r="P36">
        <f>VLOOKUP(A36,'Death Benefits'!$A$1:$E$98,2,FALSE)</f>
        <v>600104.60250000004</v>
      </c>
      <c r="Q36">
        <f t="shared" si="6"/>
        <v>9.9699999999999997E-3</v>
      </c>
      <c r="R36">
        <v>0</v>
      </c>
      <c r="S36">
        <f t="shared" si="7"/>
        <v>8719.9447899613497</v>
      </c>
      <c r="U36">
        <v>14</v>
      </c>
      <c r="V36">
        <f t="shared" si="8"/>
        <v>8719.9447899613497</v>
      </c>
      <c r="W36">
        <f t="shared" si="9"/>
        <v>5883.0167029517743</v>
      </c>
      <c r="Y36">
        <v>14</v>
      </c>
      <c r="Z36">
        <f t="shared" si="10"/>
        <v>10901.300299441413</v>
      </c>
      <c r="AA36">
        <f t="shared" si="11"/>
        <v>-300</v>
      </c>
      <c r="AB36">
        <f t="shared" si="12"/>
        <v>-5819.8893178976141</v>
      </c>
      <c r="AC36">
        <f t="shared" si="13"/>
        <v>0</v>
      </c>
      <c r="AD36">
        <f t="shared" si="14"/>
        <v>642.40699424525133</v>
      </c>
      <c r="AE36">
        <f t="shared" si="15"/>
        <v>-5883.0167029517743</v>
      </c>
      <c r="AF36">
        <f t="shared" si="16"/>
        <v>-459.19872716272403</v>
      </c>
      <c r="AG36">
        <f t="shared" si="17"/>
        <v>-6979.8701542983172</v>
      </c>
      <c r="AH36">
        <f t="shared" si="24"/>
        <v>0</v>
      </c>
      <c r="AI36">
        <f t="shared" si="18"/>
        <v>0.43882815026117428</v>
      </c>
      <c r="AJ36">
        <f t="shared" si="19"/>
        <v>0</v>
      </c>
      <c r="AK36">
        <f t="shared" si="25"/>
        <v>4061.2225158096398</v>
      </c>
    </row>
    <row r="37" spans="1:37" x14ac:dyDescent="0.2">
      <c r="A37">
        <f t="shared" si="20"/>
        <v>65</v>
      </c>
      <c r="B37">
        <f>VLOOKUP(A37,Table21[#All],2,FALSE)</f>
        <v>1.01940676E-2</v>
      </c>
      <c r="C37">
        <f t="shared" si="0"/>
        <v>0.98980593240000003</v>
      </c>
      <c r="D37">
        <f t="shared" si="1"/>
        <v>5.7774515049194633E-2</v>
      </c>
      <c r="E37">
        <f t="shared" si="2"/>
        <v>5.7774515049194633E-2</v>
      </c>
      <c r="G37">
        <f t="shared" si="21"/>
        <v>65</v>
      </c>
      <c r="H37">
        <f t="shared" si="3"/>
        <v>1.01940676E-2</v>
      </c>
      <c r="I37">
        <f>Lapses!B16</f>
        <v>1.0149999999999999E-2</v>
      </c>
      <c r="J37">
        <f t="shared" si="4"/>
        <v>0.97965593240000004</v>
      </c>
      <c r="K37">
        <f t="shared" si="22"/>
        <v>0.78470556430722194</v>
      </c>
      <c r="M37">
        <v>15</v>
      </c>
      <c r="N37">
        <f t="shared" si="5"/>
        <v>10901.300299441413</v>
      </c>
      <c r="O37">
        <f t="shared" si="23"/>
        <v>300</v>
      </c>
      <c r="P37">
        <f>VLOOKUP(A37,'Death Benefits'!$A$1:$E$98,2,FALSE)</f>
        <v>600104.60250000004</v>
      </c>
      <c r="Q37">
        <f t="shared" si="6"/>
        <v>1.0149999999999999E-2</v>
      </c>
      <c r="R37">
        <v>0</v>
      </c>
      <c r="S37">
        <f t="shared" si="7"/>
        <v>8672.0113390419192</v>
      </c>
      <c r="U37">
        <v>15</v>
      </c>
      <c r="V37">
        <f t="shared" si="8"/>
        <v>8672.0113390419192</v>
      </c>
      <c r="W37">
        <f t="shared" si="9"/>
        <v>5878.9603389966896</v>
      </c>
      <c r="Y37">
        <v>15</v>
      </c>
      <c r="Z37">
        <f t="shared" si="10"/>
        <v>10901.300299441413</v>
      </c>
      <c r="AA37">
        <f t="shared" si="11"/>
        <v>-300</v>
      </c>
      <c r="AB37">
        <f t="shared" si="12"/>
        <v>-6117.5068849561294</v>
      </c>
      <c r="AC37">
        <f t="shared" si="13"/>
        <v>0</v>
      </c>
      <c r="AD37">
        <f t="shared" si="14"/>
        <v>642.40699424525133</v>
      </c>
      <c r="AE37">
        <f t="shared" si="15"/>
        <v>-5878.9603389966896</v>
      </c>
      <c r="AF37">
        <f t="shared" si="16"/>
        <v>-752.7599302661547</v>
      </c>
      <c r="AG37">
        <f t="shared" si="17"/>
        <v>-6804.975551481517</v>
      </c>
      <c r="AH37">
        <f t="shared" si="24"/>
        <v>0</v>
      </c>
      <c r="AI37">
        <f t="shared" si="18"/>
        <v>0.41375579061714701</v>
      </c>
      <c r="AJ37">
        <f t="shared" si="19"/>
        <v>0</v>
      </c>
      <c r="AK37">
        <f t="shared" si="25"/>
        <v>3753.8724742736085</v>
      </c>
    </row>
    <row r="38" spans="1:37" x14ac:dyDescent="0.2">
      <c r="A38">
        <f t="shared" si="20"/>
        <v>66</v>
      </c>
      <c r="B38">
        <f>VLOOKUP(A38,Table21[#All],2,FALSE)</f>
        <v>1.080454197E-2</v>
      </c>
      <c r="C38">
        <f t="shared" si="0"/>
        <v>0.98919545802999997</v>
      </c>
      <c r="D38">
        <f t="shared" si="1"/>
        <v>5.1607500082134959E-2</v>
      </c>
      <c r="E38">
        <f t="shared" si="2"/>
        <v>5.1607500082134959E-2</v>
      </c>
      <c r="G38">
        <f t="shared" si="21"/>
        <v>66</v>
      </c>
      <c r="H38">
        <f t="shared" si="3"/>
        <v>1.080454197E-2</v>
      </c>
      <c r="I38">
        <f>Lapses!B17</f>
        <v>9.9600000000000001E-3</v>
      </c>
      <c r="J38">
        <f t="shared" si="4"/>
        <v>0.97923545803000001</v>
      </c>
      <c r="K38">
        <f t="shared" si="22"/>
        <v>0.76874146126085974</v>
      </c>
      <c r="M38">
        <v>16</v>
      </c>
      <c r="N38">
        <f t="shared" si="5"/>
        <v>10901.300299441413</v>
      </c>
      <c r="O38">
        <f t="shared" si="23"/>
        <v>300</v>
      </c>
      <c r="P38">
        <f>VLOOKUP(A38,'Death Benefits'!$A$1:$E$98,2,FALSE)</f>
        <v>600104.60250000004</v>
      </c>
      <c r="Q38">
        <f t="shared" si="6"/>
        <v>9.9600000000000001E-3</v>
      </c>
      <c r="R38">
        <v>0</v>
      </c>
      <c r="S38">
        <f t="shared" si="7"/>
        <v>8252.2788778973481</v>
      </c>
      <c r="U38">
        <v>16</v>
      </c>
      <c r="V38">
        <f t="shared" si="8"/>
        <v>8252.2788778973481</v>
      </c>
      <c r="W38">
        <f t="shared" si="9"/>
        <v>5876.4370529499865</v>
      </c>
      <c r="Y38">
        <v>16</v>
      </c>
      <c r="Z38">
        <f t="shared" si="10"/>
        <v>10901.300299441413</v>
      </c>
      <c r="AA38">
        <f t="shared" si="11"/>
        <v>-300</v>
      </c>
      <c r="AB38">
        <f t="shared" si="12"/>
        <v>-6483.8553641014169</v>
      </c>
      <c r="AC38">
        <f t="shared" si="13"/>
        <v>0</v>
      </c>
      <c r="AD38">
        <f t="shared" si="14"/>
        <v>642.40699424525133</v>
      </c>
      <c r="AE38">
        <f t="shared" si="15"/>
        <v>-5876.4370529499865</v>
      </c>
      <c r="AF38">
        <f t="shared" si="16"/>
        <v>-1116.585123364739</v>
      </c>
      <c r="AG38">
        <f t="shared" si="17"/>
        <v>-6343.8689233269351</v>
      </c>
      <c r="AH38">
        <f t="shared" si="24"/>
        <v>0</v>
      </c>
      <c r="AI38">
        <f t="shared" si="18"/>
        <v>0.39011593528658578</v>
      </c>
      <c r="AJ38">
        <f t="shared" si="19"/>
        <v>0</v>
      </c>
      <c r="AK38">
        <f t="shared" si="25"/>
        <v>3467.3900066615383</v>
      </c>
    </row>
    <row r="39" spans="1:37" x14ac:dyDescent="0.2">
      <c r="A39">
        <f t="shared" si="20"/>
        <v>67</v>
      </c>
      <c r="B39">
        <f>VLOOKUP(A39,Table21[#All],2,FALSE)</f>
        <v>1.1558938830000001E-2</v>
      </c>
      <c r="C39">
        <f t="shared" si="0"/>
        <v>0.98844106116999997</v>
      </c>
      <c r="D39">
        <f t="shared" si="1"/>
        <v>4.4410048022359393E-2</v>
      </c>
      <c r="E39">
        <f t="shared" si="2"/>
        <v>4.4410048022359393E-2</v>
      </c>
      <c r="G39">
        <f t="shared" si="21"/>
        <v>67</v>
      </c>
      <c r="H39">
        <f t="shared" si="3"/>
        <v>1.1558938830000001E-2</v>
      </c>
      <c r="I39">
        <f>Lapses!B18</f>
        <v>9.9399999999999992E-3</v>
      </c>
      <c r="J39">
        <f t="shared" si="4"/>
        <v>0.97850106117000002</v>
      </c>
      <c r="K39">
        <f t="shared" si="22"/>
        <v>0.75277889692442945</v>
      </c>
      <c r="M39">
        <v>17</v>
      </c>
      <c r="N39">
        <f t="shared" si="5"/>
        <v>10901.300299441413</v>
      </c>
      <c r="O39">
        <f t="shared" si="23"/>
        <v>300</v>
      </c>
      <c r="P39">
        <f>VLOOKUP(A39,'Death Benefits'!$A$1:$E$98,2,FALSE)</f>
        <v>600104.60250000004</v>
      </c>
      <c r="Q39">
        <f t="shared" si="6"/>
        <v>9.9399999999999992E-3</v>
      </c>
      <c r="R39">
        <v>0</v>
      </c>
      <c r="S39">
        <f t="shared" si="7"/>
        <v>7345.3647670677065</v>
      </c>
      <c r="U39">
        <v>17</v>
      </c>
      <c r="V39">
        <f t="shared" si="8"/>
        <v>7345.3647670677065</v>
      </c>
      <c r="W39">
        <f t="shared" si="9"/>
        <v>5872.0299035925109</v>
      </c>
      <c r="Y39">
        <v>17</v>
      </c>
      <c r="Z39">
        <f t="shared" si="10"/>
        <v>10901.300299441413</v>
      </c>
      <c r="AA39">
        <f t="shared" si="11"/>
        <v>-300</v>
      </c>
      <c r="AB39">
        <f t="shared" si="12"/>
        <v>-6936.5723918989661</v>
      </c>
      <c r="AC39">
        <f t="shared" si="13"/>
        <v>0</v>
      </c>
      <c r="AD39">
        <f t="shared" si="14"/>
        <v>642.40699424525133</v>
      </c>
      <c r="AE39">
        <f t="shared" si="15"/>
        <v>-5872.0299035925109</v>
      </c>
      <c r="AF39">
        <f t="shared" si="16"/>
        <v>-1564.8950018048126</v>
      </c>
      <c r="AG39">
        <f t="shared" si="17"/>
        <v>-5529.4355868607963</v>
      </c>
      <c r="AH39">
        <f t="shared" si="24"/>
        <v>0</v>
      </c>
      <c r="AI39">
        <f t="shared" si="18"/>
        <v>0.36782673841863195</v>
      </c>
      <c r="AJ39">
        <f t="shared" si="19"/>
        <v>0</v>
      </c>
      <c r="AK39">
        <f t="shared" si="25"/>
        <v>3201.396233764433</v>
      </c>
    </row>
    <row r="40" spans="1:37" x14ac:dyDescent="0.2">
      <c r="A40">
        <f t="shared" si="20"/>
        <v>68</v>
      </c>
      <c r="B40">
        <f>VLOOKUP(A40,Table21[#All],2,FALSE)</f>
        <v>1.2486649109999999E-2</v>
      </c>
      <c r="C40">
        <f t="shared" si="0"/>
        <v>0.98751335089000003</v>
      </c>
      <c r="D40">
        <f t="shared" si="1"/>
        <v>3.5957859571616346E-2</v>
      </c>
      <c r="E40">
        <f t="shared" si="2"/>
        <v>3.5957859571616346E-2</v>
      </c>
      <c r="G40">
        <f t="shared" si="21"/>
        <v>68</v>
      </c>
      <c r="H40">
        <f t="shared" si="3"/>
        <v>1.2486649109999999E-2</v>
      </c>
      <c r="I40">
        <f>Lapses!B19</f>
        <v>9.8499999999999994E-3</v>
      </c>
      <c r="J40">
        <f t="shared" si="4"/>
        <v>0.97766335089</v>
      </c>
      <c r="K40">
        <f t="shared" si="22"/>
        <v>0.73659494946693627</v>
      </c>
      <c r="M40">
        <v>18</v>
      </c>
      <c r="N40">
        <f t="shared" si="5"/>
        <v>10901.300299441413</v>
      </c>
      <c r="O40">
        <f t="shared" si="23"/>
        <v>300</v>
      </c>
      <c r="P40">
        <f>VLOOKUP(A40,'Death Benefits'!$A$1:$E$98,2,FALSE)</f>
        <v>600104.60250000004</v>
      </c>
      <c r="Q40">
        <f t="shared" si="6"/>
        <v>9.8499999999999994E-3</v>
      </c>
      <c r="R40">
        <v>0</v>
      </c>
      <c r="S40">
        <f t="shared" si="7"/>
        <v>5803.5117691781152</v>
      </c>
      <c r="U40">
        <v>18</v>
      </c>
      <c r="V40">
        <f t="shared" si="8"/>
        <v>5803.5117691781152</v>
      </c>
      <c r="W40">
        <f t="shared" si="9"/>
        <v>5867.0027656466154</v>
      </c>
      <c r="Y40">
        <v>18</v>
      </c>
      <c r="Z40">
        <f t="shared" si="10"/>
        <v>10901.300299441413</v>
      </c>
      <c r="AA40">
        <f t="shared" si="11"/>
        <v>-300</v>
      </c>
      <c r="AB40">
        <f t="shared" si="12"/>
        <v>-7493.295600713529</v>
      </c>
      <c r="AC40">
        <f t="shared" si="13"/>
        <v>0</v>
      </c>
      <c r="AD40">
        <f t="shared" si="14"/>
        <v>642.40699424525133</v>
      </c>
      <c r="AE40">
        <f t="shared" si="15"/>
        <v>-5867.0027656466154</v>
      </c>
      <c r="AF40">
        <f t="shared" si="16"/>
        <v>-2116.5910726734801</v>
      </c>
      <c r="AG40">
        <f t="shared" si="17"/>
        <v>-4274.8374583485238</v>
      </c>
      <c r="AH40">
        <f t="shared" si="24"/>
        <v>0</v>
      </c>
      <c r="AI40">
        <f t="shared" si="18"/>
        <v>0.34681103040894135</v>
      </c>
      <c r="AJ40">
        <f t="shared" si="19"/>
        <v>0</v>
      </c>
      <c r="AK40">
        <f t="shared" si="25"/>
        <v>2953.5908662424454</v>
      </c>
    </row>
    <row r="41" spans="1:37" x14ac:dyDescent="0.2">
      <c r="A41">
        <f t="shared" si="20"/>
        <v>69</v>
      </c>
      <c r="B41">
        <f>VLOOKUP(A41,Table21[#All],2,FALSE)</f>
        <v>1.3617063760000001E-2</v>
      </c>
      <c r="C41">
        <f t="shared" si="0"/>
        <v>0.98638293623999995</v>
      </c>
      <c r="D41">
        <f t="shared" si="1"/>
        <v>2.5974483134795383E-2</v>
      </c>
      <c r="E41">
        <f t="shared" si="2"/>
        <v>2.5974483134795383E-2</v>
      </c>
      <c r="G41">
        <f t="shared" si="21"/>
        <v>69</v>
      </c>
      <c r="H41">
        <f t="shared" si="3"/>
        <v>1.3617063760000001E-2</v>
      </c>
      <c r="I41">
        <f>Lapses!B20</f>
        <v>9.8399999999999998E-3</v>
      </c>
      <c r="J41">
        <f t="shared" si="4"/>
        <v>0.97654293623999999</v>
      </c>
      <c r="K41">
        <f t="shared" si="22"/>
        <v>0.72014188654449518</v>
      </c>
      <c r="M41">
        <v>19</v>
      </c>
      <c r="N41">
        <f t="shared" si="5"/>
        <v>10901.300299441413</v>
      </c>
      <c r="O41">
        <f t="shared" si="23"/>
        <v>300</v>
      </c>
      <c r="P41">
        <f>VLOOKUP(A41,'Death Benefits'!$A$1:$E$98,2,FALSE)</f>
        <v>600104.60250000004</v>
      </c>
      <c r="Q41">
        <f t="shared" si="6"/>
        <v>9.8399999999999998E-3</v>
      </c>
      <c r="R41">
        <v>0</v>
      </c>
      <c r="S41">
        <f t="shared" si="7"/>
        <v>3447.8286616138598</v>
      </c>
      <c r="U41">
        <v>19</v>
      </c>
      <c r="V41">
        <f t="shared" si="8"/>
        <v>3447.8286616138598</v>
      </c>
      <c r="W41">
        <f t="shared" si="9"/>
        <v>5860.279105764881</v>
      </c>
      <c r="Y41">
        <v>19</v>
      </c>
      <c r="Z41">
        <f t="shared" si="10"/>
        <v>10901.300299441413</v>
      </c>
      <c r="AA41">
        <f t="shared" si="11"/>
        <v>-300</v>
      </c>
      <c r="AB41">
        <f t="shared" si="12"/>
        <v>-8171.662634911956</v>
      </c>
      <c r="AC41">
        <f t="shared" si="13"/>
        <v>0</v>
      </c>
      <c r="AD41">
        <f t="shared" si="14"/>
        <v>642.40699424525133</v>
      </c>
      <c r="AE41">
        <f t="shared" si="15"/>
        <v>-5860.279105764881</v>
      </c>
      <c r="AF41">
        <f t="shared" si="16"/>
        <v>-2788.2344469901727</v>
      </c>
      <c r="AG41">
        <f t="shared" si="17"/>
        <v>-2482.9258368567871</v>
      </c>
      <c r="AH41">
        <f t="shared" si="24"/>
        <v>0</v>
      </c>
      <c r="AI41">
        <f t="shared" si="18"/>
        <v>0.32699605072326376</v>
      </c>
      <c r="AJ41">
        <f t="shared" si="19"/>
        <v>0</v>
      </c>
      <c r="AK41">
        <f t="shared" si="25"/>
        <v>2722.6340857542377</v>
      </c>
    </row>
    <row r="42" spans="1:37" x14ac:dyDescent="0.2">
      <c r="A42">
        <f t="shared" si="20"/>
        <v>70</v>
      </c>
      <c r="B42">
        <f>VLOOKUP(A42,Table21[#All],2,FALSE)</f>
        <v>1.4979573689999999E-2</v>
      </c>
      <c r="C42">
        <f t="shared" si="0"/>
        <v>0.98502042630999997</v>
      </c>
      <c r="D42">
        <f t="shared" si="1"/>
        <v>1.4123718707482672E-2</v>
      </c>
      <c r="E42">
        <f t="shared" si="2"/>
        <v>1.4123718707482672E-2</v>
      </c>
      <c r="G42">
        <f t="shared" si="21"/>
        <v>70</v>
      </c>
      <c r="H42">
        <f t="shared" si="3"/>
        <v>1.4979573689999999E-2</v>
      </c>
      <c r="I42">
        <f>Lapses!B21</f>
        <v>0</v>
      </c>
      <c r="J42">
        <f t="shared" si="4"/>
        <v>0.98502042630999997</v>
      </c>
      <c r="K42">
        <f t="shared" si="22"/>
        <v>0.70324947239557423</v>
      </c>
      <c r="M42">
        <v>20</v>
      </c>
      <c r="N42">
        <f t="shared" si="5"/>
        <v>10901.300299441413</v>
      </c>
      <c r="O42">
        <f t="shared" si="23"/>
        <v>300</v>
      </c>
      <c r="P42">
        <f>VLOOKUP(A42,'Death Benefits'!$A$1:$E$98,2,FALSE)</f>
        <v>600104.60250000004</v>
      </c>
      <c r="Q42">
        <f t="shared" si="6"/>
        <v>0</v>
      </c>
      <c r="R42">
        <v>0</v>
      </c>
      <c r="S42">
        <v>0</v>
      </c>
      <c r="U42">
        <v>20</v>
      </c>
      <c r="V42">
        <f t="shared" si="8"/>
        <v>0</v>
      </c>
      <c r="W42">
        <f t="shared" si="9"/>
        <v>5911.1529138514315</v>
      </c>
      <c r="Y42">
        <v>20</v>
      </c>
      <c r="Z42">
        <f t="shared" si="10"/>
        <v>10901.300299441413</v>
      </c>
      <c r="AA42">
        <f t="shared" si="11"/>
        <v>-300</v>
      </c>
      <c r="AB42">
        <f t="shared" si="12"/>
        <v>-8989.3111148569078</v>
      </c>
      <c r="AC42">
        <f t="shared" si="13"/>
        <v>0</v>
      </c>
      <c r="AD42">
        <f t="shared" si="14"/>
        <v>642.40699424525133</v>
      </c>
      <c r="AE42">
        <f t="shared" si="15"/>
        <v>-5911.1529138514315</v>
      </c>
      <c r="AF42">
        <f t="shared" si="16"/>
        <v>-3656.756735021675</v>
      </c>
      <c r="AG42">
        <f t="shared" si="17"/>
        <v>0</v>
      </c>
      <c r="AH42">
        <f t="shared" si="24"/>
        <v>0</v>
      </c>
      <c r="AI42">
        <f t="shared" si="18"/>
        <v>0.30831319598609441</v>
      </c>
      <c r="AJ42">
        <f t="shared" si="19"/>
        <v>0</v>
      </c>
      <c r="AK42">
        <f t="shared" si="25"/>
        <v>2506.8608381973095</v>
      </c>
    </row>
  </sheetData>
  <mergeCells count="6">
    <mergeCell ref="AH21:AK21"/>
    <mergeCell ref="A21:E21"/>
    <mergeCell ref="G21:K21"/>
    <mergeCell ref="M21:S21"/>
    <mergeCell ref="U21:W21"/>
    <mergeCell ref="Y21:AG21"/>
  </mergeCells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0753CA8-9AB8-0A46-9402-1CD5F5AEF545}">
          <x14:formula1>
            <xm:f>'male lifetable'!$A$2:$A$96</xm:f>
          </x14:formula1>
          <xm:sqref>B2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6F36A-522E-924B-9CAA-49952CC2D2EF}">
  <sheetPr codeName="Sheet9"/>
  <dimension ref="A1:AL44"/>
  <sheetViews>
    <sheetView workbookViewId="0">
      <selection activeCell="B20" sqref="B20"/>
    </sheetView>
  </sheetViews>
  <sheetFormatPr baseColWidth="10" defaultRowHeight="16" x14ac:dyDescent="0.2"/>
  <cols>
    <col min="1" max="1" width="33.1640625" customWidth="1"/>
    <col min="2" max="2" width="25.5" customWidth="1"/>
    <col min="19" max="19" width="12.5" customWidth="1"/>
  </cols>
  <sheetData>
    <row r="1" spans="1:7" s="8" customFormat="1" ht="19" x14ac:dyDescent="0.25">
      <c r="A1" s="6" t="s">
        <v>18</v>
      </c>
      <c r="B1" s="8">
        <f>ROUND(VLOOKUP(B2,Table2[#All],12,FALSE),0)</f>
        <v>309</v>
      </c>
    </row>
    <row r="2" spans="1:7" s="8" customFormat="1" ht="19" x14ac:dyDescent="0.25">
      <c r="A2" s="6" t="s">
        <v>0</v>
      </c>
      <c r="B2" s="8">
        <v>51</v>
      </c>
    </row>
    <row r="3" spans="1:7" s="8" customFormat="1" ht="19" x14ac:dyDescent="0.25">
      <c r="A3" s="6" t="s">
        <v>13</v>
      </c>
      <c r="B3" s="8">
        <f>VLOOKUP(B2,'Total Costs_Both Incentives'!$A$1:$J$73,10,FALSE)</f>
        <v>5215</v>
      </c>
    </row>
    <row r="4" spans="1:7" s="8" customFormat="1" ht="19" x14ac:dyDescent="0.25">
      <c r="A4" s="6" t="s">
        <v>6</v>
      </c>
      <c r="B4" s="7">
        <v>6.0596999999999998E-2</v>
      </c>
    </row>
    <row r="5" spans="1:7" s="8" customFormat="1" ht="19" x14ac:dyDescent="0.25">
      <c r="A5" s="6" t="s">
        <v>4</v>
      </c>
      <c r="B5" s="7">
        <f>(1+B4)^(-1)</f>
        <v>0.94286519761983112</v>
      </c>
    </row>
    <row r="6" spans="1:7" s="8" customFormat="1" ht="19" x14ac:dyDescent="0.25">
      <c r="A6" s="6" t="s">
        <v>53</v>
      </c>
      <c r="B6" s="7">
        <v>0.01</v>
      </c>
    </row>
    <row r="7" spans="1:7" s="8" customFormat="1" ht="19" x14ac:dyDescent="0.25">
      <c r="A7" s="6" t="s">
        <v>8</v>
      </c>
      <c r="B7" s="8" t="s">
        <v>9</v>
      </c>
    </row>
    <row r="8" spans="1:7" s="8" customFormat="1" ht="19" x14ac:dyDescent="0.25">
      <c r="A8" s="6" t="s">
        <v>10</v>
      </c>
      <c r="B8" s="8" t="s">
        <v>49</v>
      </c>
    </row>
    <row r="9" spans="1:7" s="8" customFormat="1" ht="19" x14ac:dyDescent="0.25">
      <c r="A9" s="6" t="s">
        <v>42</v>
      </c>
      <c r="B9" s="8">
        <f>SUM(AJ25:AJ44)/SUM(AK25:AK44)</f>
        <v>0.10000001620565505</v>
      </c>
    </row>
    <row r="10" spans="1:7" s="8" customFormat="1" ht="19" x14ac:dyDescent="0.25">
      <c r="A10" s="6" t="s">
        <v>121</v>
      </c>
      <c r="B10" s="8">
        <v>10901.300299441413</v>
      </c>
    </row>
    <row r="11" spans="1:7" ht="19" x14ac:dyDescent="0.25">
      <c r="A11" s="6" t="s">
        <v>84</v>
      </c>
      <c r="B11" s="8">
        <v>300</v>
      </c>
    </row>
    <row r="12" spans="1:7" ht="19" x14ac:dyDescent="0.25">
      <c r="A12" s="6" t="s">
        <v>102</v>
      </c>
      <c r="B12" s="54">
        <f>B3+NPV(B4,O26:O44)</f>
        <v>8546.8676631354847</v>
      </c>
    </row>
    <row r="13" spans="1:7" ht="19" x14ac:dyDescent="0.25">
      <c r="A13" s="6" t="s">
        <v>103</v>
      </c>
      <c r="B13" s="55">
        <f>B12*B1</f>
        <v>2640982.107908865</v>
      </c>
    </row>
    <row r="14" spans="1:7" ht="19" x14ac:dyDescent="0.25">
      <c r="A14" s="6" t="s">
        <v>120</v>
      </c>
      <c r="B14" s="8">
        <f>VLOOKUP(B2,Table3[#All],4,FALSE)</f>
        <v>0</v>
      </c>
      <c r="G14" s="37"/>
    </row>
    <row r="15" spans="1:7" ht="19" x14ac:dyDescent="0.25">
      <c r="A15" s="6" t="s">
        <v>108</v>
      </c>
      <c r="B15" s="8">
        <f>B1-B14</f>
        <v>309</v>
      </c>
    </row>
    <row r="16" spans="1:7" ht="19" x14ac:dyDescent="0.25">
      <c r="A16" s="6" t="s">
        <v>114</v>
      </c>
      <c r="B16" s="8">
        <v>0.15</v>
      </c>
    </row>
    <row r="17" spans="1:38" ht="19" x14ac:dyDescent="0.25">
      <c r="A17" s="6" t="s">
        <v>119</v>
      </c>
      <c r="B17" s="37">
        <f>SUM(AK25:AK44)*B15+SUM(AL25:AL44)*B14</f>
        <v>36533312.983097017</v>
      </c>
    </row>
    <row r="18" spans="1:38" ht="19" x14ac:dyDescent="0.25">
      <c r="A18" s="6" t="s">
        <v>107</v>
      </c>
      <c r="B18" s="37">
        <f>ROUND(B17-B13,0)</f>
        <v>33892331</v>
      </c>
    </row>
    <row r="19" spans="1:38" ht="19" x14ac:dyDescent="0.25">
      <c r="A19" s="6" t="s">
        <v>127</v>
      </c>
      <c r="B19" s="37">
        <f>B18-'Male T20 (before)'!B16</f>
        <v>-24453186</v>
      </c>
    </row>
    <row r="20" spans="1:38" ht="19" x14ac:dyDescent="0.25">
      <c r="A20" s="6" t="s">
        <v>128</v>
      </c>
      <c r="B20" s="57">
        <f>B19/'Male T20 (before)'!B16</f>
        <v>-0.41910993778665118</v>
      </c>
    </row>
    <row r="21" spans="1:38" ht="19" x14ac:dyDescent="0.25">
      <c r="A21" s="6" t="s">
        <v>137</v>
      </c>
      <c r="B21" s="37">
        <f>ROUND(B13-'Male T20 (before)'!B14,0)</f>
        <v>877436</v>
      </c>
    </row>
    <row r="23" spans="1:38" ht="19" x14ac:dyDescent="0.25">
      <c r="A23" s="60" t="s">
        <v>66</v>
      </c>
      <c r="B23" s="60"/>
      <c r="C23" s="60"/>
      <c r="D23" s="60"/>
      <c r="E23" s="60"/>
      <c r="G23" s="60" t="s">
        <v>65</v>
      </c>
      <c r="H23" s="60"/>
      <c r="I23" s="60"/>
      <c r="J23" s="60"/>
      <c r="K23" s="60"/>
      <c r="M23" s="61" t="s">
        <v>74</v>
      </c>
      <c r="N23" s="61"/>
      <c r="O23" s="61"/>
      <c r="P23" s="61"/>
      <c r="Q23" s="61"/>
      <c r="R23" s="61"/>
      <c r="S23" s="61"/>
      <c r="U23" s="60" t="s">
        <v>46</v>
      </c>
      <c r="V23" s="60"/>
      <c r="W23" s="60"/>
      <c r="Y23" s="60" t="s">
        <v>68</v>
      </c>
      <c r="Z23" s="60"/>
      <c r="AA23" s="60"/>
      <c r="AB23" s="60"/>
      <c r="AC23" s="60"/>
      <c r="AD23" s="60"/>
      <c r="AE23" s="60"/>
      <c r="AF23" s="60"/>
      <c r="AG23" s="60"/>
      <c r="AH23" s="60" t="s">
        <v>69</v>
      </c>
      <c r="AI23" s="60"/>
      <c r="AJ23" s="60"/>
      <c r="AK23" s="60"/>
    </row>
    <row r="24" spans="1:38" ht="19" x14ac:dyDescent="0.25">
      <c r="A24" s="11" t="s">
        <v>5</v>
      </c>
      <c r="B24" s="11" t="s">
        <v>1</v>
      </c>
      <c r="C24" s="11" t="s">
        <v>2</v>
      </c>
      <c r="D24" s="11" t="s">
        <v>3</v>
      </c>
      <c r="E24" s="12" t="s">
        <v>7</v>
      </c>
      <c r="G24" s="11" t="s">
        <v>5</v>
      </c>
      <c r="H24" s="14" t="s">
        <v>26</v>
      </c>
      <c r="I24" s="14" t="s">
        <v>47</v>
      </c>
      <c r="J24" s="14" t="s">
        <v>27</v>
      </c>
      <c r="K24" s="15" t="s">
        <v>28</v>
      </c>
      <c r="M24" s="26" t="s">
        <v>34</v>
      </c>
      <c r="N24" s="26" t="s">
        <v>36</v>
      </c>
      <c r="O24" s="26" t="s">
        <v>50</v>
      </c>
      <c r="P24" s="26" t="s">
        <v>72</v>
      </c>
      <c r="Q24" s="6" t="s">
        <v>70</v>
      </c>
      <c r="R24" s="6" t="s">
        <v>71</v>
      </c>
      <c r="S24" s="6" t="s">
        <v>73</v>
      </c>
      <c r="T24" s="9"/>
      <c r="U24" s="14" t="s">
        <v>34</v>
      </c>
      <c r="V24" s="11" t="s">
        <v>16</v>
      </c>
      <c r="W24" s="12" t="s">
        <v>17</v>
      </c>
      <c r="Y24" s="14" t="s">
        <v>34</v>
      </c>
      <c r="Z24" s="11" t="s">
        <v>29</v>
      </c>
      <c r="AA24" s="11" t="s">
        <v>30</v>
      </c>
      <c r="AB24" s="11" t="s">
        <v>31</v>
      </c>
      <c r="AC24" s="11" t="s">
        <v>71</v>
      </c>
      <c r="AD24" s="11" t="s">
        <v>33</v>
      </c>
      <c r="AE24" s="11" t="s">
        <v>51</v>
      </c>
      <c r="AF24" s="11" t="s">
        <v>43</v>
      </c>
      <c r="AG24" s="11" t="s">
        <v>44</v>
      </c>
      <c r="AH24" s="11" t="s">
        <v>45</v>
      </c>
      <c r="AI24" s="11" t="s">
        <v>41</v>
      </c>
      <c r="AJ24" s="11" t="s">
        <v>38</v>
      </c>
      <c r="AK24" s="12" t="s">
        <v>39</v>
      </c>
      <c r="AL24" s="56" t="s">
        <v>146</v>
      </c>
    </row>
    <row r="25" spans="1:38" x14ac:dyDescent="0.2">
      <c r="A25">
        <f>B2</f>
        <v>51</v>
      </c>
      <c r="B25">
        <f>VLOOKUP(A25,Table21[#All],3,FALSE)</f>
        <v>3.2469322356895318E-3</v>
      </c>
      <c r="C25">
        <f>1-B25</f>
        <v>0.9967530677643105</v>
      </c>
      <c r="D25">
        <f>$B$5*(B25+C25*D26)</f>
        <v>6.2520553255545425E-2</v>
      </c>
      <c r="E25">
        <f>D25-PRODUCT(C25:C44)*E44*$B$5^(20)</f>
        <v>5.9376462817203941E-2</v>
      </c>
      <c r="G25">
        <f>B2</f>
        <v>51</v>
      </c>
      <c r="H25">
        <f>B25</f>
        <v>3.2469322356895318E-3</v>
      </c>
      <c r="I25">
        <f>Lapses!B2</f>
        <v>9.8600000000000007E-3</v>
      </c>
      <c r="J25">
        <f>1-H25-I25</f>
        <v>0.98689306776431052</v>
      </c>
      <c r="K25">
        <f>1</f>
        <v>1</v>
      </c>
      <c r="M25">
        <v>1</v>
      </c>
      <c r="N25">
        <f>$B$10</f>
        <v>10901.300299441413</v>
      </c>
      <c r="O25">
        <f>$B$3</f>
        <v>5215</v>
      </c>
      <c r="P25">
        <f>VLOOKUP(A25,'Death Benefits'!$A$1:$E$98,2,FALSE)</f>
        <v>654854.3689</v>
      </c>
      <c r="Q25">
        <f>I25</f>
        <v>9.8600000000000007E-3</v>
      </c>
      <c r="R25">
        <v>0</v>
      </c>
      <c r="S25">
        <f>ABS(MIN(AF26-S26*J26,0))*$B$5</f>
        <v>0</v>
      </c>
      <c r="U25">
        <v>1</v>
      </c>
      <c r="V25">
        <f>S25</f>
        <v>0</v>
      </c>
      <c r="W25">
        <f>$B$6*P25*J25</f>
        <v>6462.7123706258253</v>
      </c>
      <c r="Y25">
        <v>1</v>
      </c>
      <c r="Z25">
        <f>N25</f>
        <v>10901.300299441413</v>
      </c>
      <c r="AA25">
        <f>-O25</f>
        <v>-5215</v>
      </c>
      <c r="AB25">
        <f>-P25*H25</f>
        <v>-2126.2677600635343</v>
      </c>
      <c r="AC25">
        <f>-R25</f>
        <v>0</v>
      </c>
      <c r="AD25">
        <f>SUM(Z25:AA25)*$B$4</f>
        <v>344.57273924525128</v>
      </c>
      <c r="AE25">
        <f>-W25</f>
        <v>-6462.7123706258253</v>
      </c>
      <c r="AF25">
        <f>SUM(Z25:AE25)</f>
        <v>-2558.1070920026955</v>
      </c>
      <c r="AG25">
        <f>-V25*K25</f>
        <v>0</v>
      </c>
      <c r="AH25">
        <f>SUM(AF25:AG25)</f>
        <v>-2558.1070920026955</v>
      </c>
      <c r="AI25">
        <f>$B$5^Y25</f>
        <v>0.94286519761983112</v>
      </c>
      <c r="AJ25">
        <f>AH25*AI25*K25</f>
        <v>-2411.9501488338128</v>
      </c>
      <c r="AK25">
        <f>B10</f>
        <v>10901.300299441413</v>
      </c>
      <c r="AL25">
        <f>AK25*1.15</f>
        <v>12536.495344357623</v>
      </c>
    </row>
    <row r="26" spans="1:38" x14ac:dyDescent="0.2">
      <c r="A26">
        <f>A25+1</f>
        <v>52</v>
      </c>
      <c r="B26">
        <f>VLOOKUP(A26,Table21[#All],3,FALSE)</f>
        <v>3.5747549669534625E-3</v>
      </c>
      <c r="C26">
        <f t="shared" ref="C26:C44" si="0">1-B26</f>
        <v>0.99642524503304652</v>
      </c>
      <c r="D26">
        <f t="shared" ref="D26:D44" si="1">$B$5*(B26+C26*D27)</f>
        <v>6.3267604610366429E-2</v>
      </c>
      <c r="E26">
        <f t="shared" ref="E26:E44" si="2">D26-PRODUCT(C26:C45)*E45*$B$5^(20)</f>
        <v>6.3267604610366429E-2</v>
      </c>
      <c r="G26">
        <f>G25+1</f>
        <v>52</v>
      </c>
      <c r="H26">
        <f t="shared" ref="H26:H44" si="3">B26</f>
        <v>3.5747549669534625E-3</v>
      </c>
      <c r="I26">
        <f>Lapses!B3</f>
        <v>9.92E-3</v>
      </c>
      <c r="J26">
        <f t="shared" ref="J26:J44" si="4">1-H26-I26</f>
        <v>0.98650524503304649</v>
      </c>
      <c r="K26">
        <f>J25*K25</f>
        <v>0.98689306776431052</v>
      </c>
      <c r="M26">
        <v>2</v>
      </c>
      <c r="N26">
        <f t="shared" ref="N26:N44" si="5">$B$10</f>
        <v>10901.300299441413</v>
      </c>
      <c r="O26">
        <f>$B$11</f>
        <v>300</v>
      </c>
      <c r="P26">
        <f>VLOOKUP(A26,'Death Benefits'!$A$1:$E$98,2,FALSE)</f>
        <v>615415.01980000001</v>
      </c>
      <c r="Q26">
        <f t="shared" ref="Q26:Q44" si="6">I26</f>
        <v>9.92E-3</v>
      </c>
      <c r="R26">
        <v>0</v>
      </c>
      <c r="S26">
        <f t="shared" ref="S26:S43" si="7">ABS(MIN(AF27-S27*J27,0))*$B$5</f>
        <v>0</v>
      </c>
      <c r="U26">
        <v>2</v>
      </c>
      <c r="V26">
        <f t="shared" ref="V26:V44" si="8">S26</f>
        <v>0</v>
      </c>
      <c r="W26">
        <f t="shared" ref="W26:W44" si="9">$B$6*P26*J26</f>
        <v>6071.1014490481621</v>
      </c>
      <c r="Y26">
        <v>2</v>
      </c>
      <c r="Z26">
        <f t="shared" ref="Z26:Z44" si="10">N26</f>
        <v>10901.300299441413</v>
      </c>
      <c r="AA26">
        <f t="shared" ref="AA26:AA44" si="11">-O26</f>
        <v>-300</v>
      </c>
      <c r="AB26">
        <f t="shared" ref="AB26:AB44" si="12">-P26*H26</f>
        <v>-2199.9578987678133</v>
      </c>
      <c r="AC26">
        <f t="shared" ref="AC26:AC44" si="13">-R26</f>
        <v>0</v>
      </c>
      <c r="AD26">
        <f t="shared" ref="AD26:AD44" si="14">SUM(Z26:AA26)*$B$4</f>
        <v>642.40699424525133</v>
      </c>
      <c r="AE26">
        <f t="shared" ref="AE26:AE44" si="15">-W26</f>
        <v>-6071.1014490481621</v>
      </c>
      <c r="AF26">
        <f t="shared" ref="AF26:AF44" si="16">SUM(Z26:AE26)</f>
        <v>2972.6479458706881</v>
      </c>
      <c r="AG26">
        <f t="shared" ref="AG26:AG44" si="17">-V26*K26</f>
        <v>0</v>
      </c>
      <c r="AH26">
        <f>MAX(SUM(AF26:AG26),0)</f>
        <v>2972.6479458706881</v>
      </c>
      <c r="AI26">
        <f t="shared" ref="AI26:AI44" si="18">$B$5^Y26</f>
        <v>0.88899478088268324</v>
      </c>
      <c r="AJ26">
        <f t="shared" ref="AJ26:AJ44" si="19">AH26*AI26*K26</f>
        <v>2608.0312322081381</v>
      </c>
      <c r="AK26">
        <f>$B$10*AI25*K26</f>
        <v>10143.73762620084</v>
      </c>
      <c r="AL26">
        <f t="shared" ref="AL26:AL44" si="20">AK26*1.15</f>
        <v>11665.298270130965</v>
      </c>
    </row>
    <row r="27" spans="1:38" x14ac:dyDescent="0.2">
      <c r="A27">
        <f t="shared" ref="A27:A44" si="21">A26+1</f>
        <v>53</v>
      </c>
      <c r="B27">
        <f>VLOOKUP(A27,Table21[#All],3,FALSE)</f>
        <v>3.9063767481886096E-3</v>
      </c>
      <c r="C27">
        <f t="shared" si="0"/>
        <v>0.99609362325181139</v>
      </c>
      <c r="D27">
        <f t="shared" si="1"/>
        <v>6.3754583694716066E-2</v>
      </c>
      <c r="E27">
        <f t="shared" si="2"/>
        <v>6.3754583694716066E-2</v>
      </c>
      <c r="G27">
        <f t="shared" ref="G27:G44" si="22">G26+1</f>
        <v>53</v>
      </c>
      <c r="H27">
        <f t="shared" si="3"/>
        <v>3.9063767481886096E-3</v>
      </c>
      <c r="I27">
        <f>Lapses!B4</f>
        <v>9.9399999999999992E-3</v>
      </c>
      <c r="J27">
        <f t="shared" si="4"/>
        <v>0.98615362325181144</v>
      </c>
      <c r="K27">
        <f t="shared" ref="K27:K44" si="23">J26*K26</f>
        <v>0.97357518763624606</v>
      </c>
      <c r="M27">
        <v>3</v>
      </c>
      <c r="N27">
        <f t="shared" si="5"/>
        <v>10901.300299441413</v>
      </c>
      <c r="O27">
        <f t="shared" ref="O27:O44" si="24">$B$11</f>
        <v>300</v>
      </c>
      <c r="P27">
        <f>VLOOKUP(A27,'Death Benefits'!$A$1:$E$98,2,FALSE)</f>
        <v>700508.13009999995</v>
      </c>
      <c r="Q27">
        <f t="shared" si="6"/>
        <v>9.9399999999999992E-3</v>
      </c>
      <c r="R27">
        <v>0</v>
      </c>
      <c r="S27">
        <f t="shared" si="7"/>
        <v>0</v>
      </c>
      <c r="U27">
        <v>3</v>
      </c>
      <c r="V27">
        <f t="shared" si="8"/>
        <v>0</v>
      </c>
      <c r="W27">
        <f t="shared" si="9"/>
        <v>6908.0863061546625</v>
      </c>
      <c r="Y27">
        <v>3</v>
      </c>
      <c r="Z27">
        <f t="shared" si="10"/>
        <v>10901.300299441413</v>
      </c>
      <c r="AA27">
        <f t="shared" si="11"/>
        <v>-300</v>
      </c>
      <c r="AB27">
        <f t="shared" si="12"/>
        <v>-2736.4486713397214</v>
      </c>
      <c r="AC27">
        <f t="shared" si="13"/>
        <v>0</v>
      </c>
      <c r="AD27">
        <f t="shared" si="14"/>
        <v>642.40699424525133</v>
      </c>
      <c r="AE27">
        <f t="shared" si="15"/>
        <v>-6908.0863061546625</v>
      </c>
      <c r="AF27">
        <f t="shared" si="16"/>
        <v>1599.1723161922801</v>
      </c>
      <c r="AG27">
        <f t="shared" si="17"/>
        <v>0</v>
      </c>
      <c r="AH27">
        <f t="shared" ref="AH27:AH44" si="25">MAX(SUM(AF27:AG27),0)</f>
        <v>1599.1723161922801</v>
      </c>
      <c r="AI27">
        <f t="shared" si="18"/>
        <v>0.83820223975994956</v>
      </c>
      <c r="AJ27">
        <f t="shared" si="19"/>
        <v>1305.0092107883304</v>
      </c>
      <c r="AK27">
        <f t="shared" ref="AK27:AK44" si="26">$B$10*AI26*K27</f>
        <v>9435.1109540062771</v>
      </c>
      <c r="AL27">
        <f t="shared" si="20"/>
        <v>10850.377597107217</v>
      </c>
    </row>
    <row r="28" spans="1:38" x14ac:dyDescent="0.2">
      <c r="A28">
        <f t="shared" si="21"/>
        <v>54</v>
      </c>
      <c r="B28">
        <f>VLOOKUP(A28,Table21[#All],3,FALSE)</f>
        <v>4.2383606828167216E-3</v>
      </c>
      <c r="C28">
        <f t="shared" si="0"/>
        <v>0.99576163931718331</v>
      </c>
      <c r="D28">
        <f t="shared" si="1"/>
        <v>6.3961400783478325E-2</v>
      </c>
      <c r="E28">
        <f t="shared" si="2"/>
        <v>6.3961400783478325E-2</v>
      </c>
      <c r="G28">
        <f t="shared" si="22"/>
        <v>54</v>
      </c>
      <c r="H28">
        <f t="shared" si="3"/>
        <v>4.2383606828167216E-3</v>
      </c>
      <c r="I28">
        <f>Lapses!B5</f>
        <v>1.0019999999999999E-2</v>
      </c>
      <c r="J28">
        <f t="shared" si="4"/>
        <v>0.98574163931718328</v>
      </c>
      <c r="K28">
        <f t="shared" si="23"/>
        <v>0.96009469879554621</v>
      </c>
      <c r="M28">
        <v>4</v>
      </c>
      <c r="N28">
        <f t="shared" si="5"/>
        <v>10901.300299441413</v>
      </c>
      <c r="O28">
        <f t="shared" si="24"/>
        <v>300</v>
      </c>
      <c r="P28">
        <f>VLOOKUP(A28,'Death Benefits'!$A$1:$E$98,2,FALSE)</f>
        <v>712169.81129999994</v>
      </c>
      <c r="Q28">
        <f t="shared" si="6"/>
        <v>1.0019999999999999E-2</v>
      </c>
      <c r="R28">
        <v>0</v>
      </c>
      <c r="S28">
        <f t="shared" si="7"/>
        <v>0</v>
      </c>
      <c r="U28">
        <v>4</v>
      </c>
      <c r="V28">
        <f t="shared" si="8"/>
        <v>0</v>
      </c>
      <c r="W28">
        <f t="shared" si="9"/>
        <v>7020.15437263071</v>
      </c>
      <c r="Y28">
        <v>4</v>
      </c>
      <c r="Z28">
        <f t="shared" si="10"/>
        <v>10901.300299441413</v>
      </c>
      <c r="AA28">
        <f t="shared" si="11"/>
        <v>-300</v>
      </c>
      <c r="AB28">
        <f t="shared" si="12"/>
        <v>-3018.4325277029234</v>
      </c>
      <c r="AC28">
        <f t="shared" si="13"/>
        <v>0</v>
      </c>
      <c r="AD28">
        <f t="shared" si="14"/>
        <v>642.40699424525133</v>
      </c>
      <c r="AE28">
        <f t="shared" si="15"/>
        <v>-7020.15437263071</v>
      </c>
      <c r="AF28">
        <f t="shared" si="16"/>
        <v>1205.1203933530305</v>
      </c>
      <c r="AG28">
        <f t="shared" si="17"/>
        <v>0</v>
      </c>
      <c r="AH28">
        <f t="shared" si="25"/>
        <v>1205.1203933530305</v>
      </c>
      <c r="AI28">
        <f t="shared" si="18"/>
        <v>0.79031172043664999</v>
      </c>
      <c r="AJ28">
        <f t="shared" si="19"/>
        <v>914.41413364786604</v>
      </c>
      <c r="AK28">
        <f t="shared" si="26"/>
        <v>8772.8598639032007</v>
      </c>
      <c r="AL28">
        <f t="shared" si="20"/>
        <v>10088.788843488681</v>
      </c>
    </row>
    <row r="29" spans="1:38" x14ac:dyDescent="0.2">
      <c r="A29">
        <f t="shared" si="21"/>
        <v>55</v>
      </c>
      <c r="B29">
        <f>VLOOKUP(A29,Table21[#All],3,FALSE)</f>
        <v>4.5672698742595464E-3</v>
      </c>
      <c r="C29">
        <f t="shared" si="0"/>
        <v>0.99543273012574041</v>
      </c>
      <c r="D29">
        <f t="shared" si="1"/>
        <v>6.3869611554376898E-2</v>
      </c>
      <c r="E29">
        <f t="shared" si="2"/>
        <v>6.3869611554376898E-2</v>
      </c>
      <c r="G29">
        <f t="shared" si="22"/>
        <v>55</v>
      </c>
      <c r="H29">
        <f t="shared" si="3"/>
        <v>4.5672698742595464E-3</v>
      </c>
      <c r="I29">
        <f>Lapses!B6</f>
        <v>9.8499999999999994E-3</v>
      </c>
      <c r="J29">
        <f t="shared" si="4"/>
        <v>0.98558273012574038</v>
      </c>
      <c r="K29">
        <f t="shared" si="23"/>
        <v>0.94640532229045904</v>
      </c>
      <c r="M29">
        <v>5</v>
      </c>
      <c r="N29">
        <f t="shared" si="5"/>
        <v>10901.300299441413</v>
      </c>
      <c r="O29">
        <f t="shared" si="24"/>
        <v>300</v>
      </c>
      <c r="P29">
        <f>VLOOKUP(A29,'Death Benefits'!$A$1:$E$98,2,FALSE)</f>
        <v>641007.90509999997</v>
      </c>
      <c r="Q29">
        <f t="shared" si="6"/>
        <v>9.8499999999999994E-3</v>
      </c>
      <c r="R29">
        <v>0</v>
      </c>
      <c r="S29">
        <f t="shared" si="7"/>
        <v>0</v>
      </c>
      <c r="U29">
        <v>5</v>
      </c>
      <c r="V29">
        <f t="shared" si="8"/>
        <v>0</v>
      </c>
      <c r="W29">
        <f t="shared" si="9"/>
        <v>6317.663211406395</v>
      </c>
      <c r="Y29">
        <v>5</v>
      </c>
      <c r="Z29">
        <f t="shared" si="10"/>
        <v>10901.300299441413</v>
      </c>
      <c r="AA29">
        <f t="shared" si="11"/>
        <v>-300</v>
      </c>
      <c r="AB29">
        <f t="shared" si="12"/>
        <v>-2927.656094125452</v>
      </c>
      <c r="AC29">
        <f t="shared" si="13"/>
        <v>0</v>
      </c>
      <c r="AD29">
        <f t="shared" si="14"/>
        <v>642.40699424525133</v>
      </c>
      <c r="AE29">
        <f t="shared" si="15"/>
        <v>-6317.663211406395</v>
      </c>
      <c r="AF29">
        <f t="shared" si="16"/>
        <v>1998.3879881548173</v>
      </c>
      <c r="AG29">
        <f t="shared" si="17"/>
        <v>0</v>
      </c>
      <c r="AH29">
        <f t="shared" si="25"/>
        <v>1998.3879881548173</v>
      </c>
      <c r="AI29">
        <f t="shared" si="18"/>
        <v>0.74515741647077072</v>
      </c>
      <c r="AJ29">
        <f t="shared" si="19"/>
        <v>1409.3050652676541</v>
      </c>
      <c r="AK29">
        <f t="shared" si="26"/>
        <v>8153.6844472913508</v>
      </c>
      <c r="AL29">
        <f t="shared" si="20"/>
        <v>9376.7371143850523</v>
      </c>
    </row>
    <row r="30" spans="1:38" x14ac:dyDescent="0.2">
      <c r="A30">
        <f t="shared" si="21"/>
        <v>56</v>
      </c>
      <c r="B30">
        <f>VLOOKUP(A30,Table21[#All],3,FALSE)</f>
        <v>4.889667425938834E-3</v>
      </c>
      <c r="C30">
        <f t="shared" si="0"/>
        <v>0.99511033257406112</v>
      </c>
      <c r="D30">
        <f t="shared" si="1"/>
        <v>6.3462498890807129E-2</v>
      </c>
      <c r="E30">
        <f t="shared" si="2"/>
        <v>6.3462498890807129E-2</v>
      </c>
      <c r="G30">
        <f t="shared" si="22"/>
        <v>56</v>
      </c>
      <c r="H30">
        <f t="shared" si="3"/>
        <v>4.889667425938834E-3</v>
      </c>
      <c r="I30">
        <f>Lapses!B7</f>
        <v>9.7599999999999996E-3</v>
      </c>
      <c r="J30">
        <f t="shared" si="4"/>
        <v>0.98535033257406113</v>
      </c>
      <c r="K30">
        <f t="shared" si="23"/>
        <v>0.93276074134856179</v>
      </c>
      <c r="M30">
        <v>6</v>
      </c>
      <c r="N30">
        <f t="shared" si="5"/>
        <v>10901.300299441413</v>
      </c>
      <c r="O30">
        <f t="shared" si="24"/>
        <v>300</v>
      </c>
      <c r="P30">
        <f>VLOOKUP(A30,'Death Benefits'!$A$1:$E$98,2,FALSE)</f>
        <v>600104.60250000004</v>
      </c>
      <c r="Q30">
        <f t="shared" si="6"/>
        <v>9.7599999999999996E-3</v>
      </c>
      <c r="R30">
        <v>0</v>
      </c>
      <c r="S30">
        <f t="shared" si="7"/>
        <v>0</v>
      </c>
      <c r="U30">
        <v>6</v>
      </c>
      <c r="V30">
        <f t="shared" si="8"/>
        <v>0</v>
      </c>
      <c r="W30">
        <f t="shared" si="9"/>
        <v>5913.1326965259977</v>
      </c>
      <c r="Y30">
        <v>6</v>
      </c>
      <c r="Z30">
        <f t="shared" si="10"/>
        <v>10901.300299441413</v>
      </c>
      <c r="AA30">
        <f t="shared" si="11"/>
        <v>-300</v>
      </c>
      <c r="AB30">
        <f t="shared" si="12"/>
        <v>-2934.3119270002226</v>
      </c>
      <c r="AC30">
        <f t="shared" si="13"/>
        <v>0</v>
      </c>
      <c r="AD30">
        <f t="shared" si="14"/>
        <v>642.40699424525133</v>
      </c>
      <c r="AE30">
        <f t="shared" si="15"/>
        <v>-5913.1326965259977</v>
      </c>
      <c r="AF30">
        <f t="shared" si="16"/>
        <v>2396.262670160444</v>
      </c>
      <c r="AG30">
        <f t="shared" si="17"/>
        <v>0</v>
      </c>
      <c r="AH30">
        <f t="shared" si="25"/>
        <v>2396.262670160444</v>
      </c>
      <c r="AI30">
        <f t="shared" si="18"/>
        <v>0.70258299473859609</v>
      </c>
      <c r="AJ30">
        <f t="shared" si="19"/>
        <v>1570.3711754798655</v>
      </c>
      <c r="AK30">
        <f t="shared" si="26"/>
        <v>7576.9878456616398</v>
      </c>
      <c r="AL30">
        <f t="shared" si="20"/>
        <v>8713.5360225108852</v>
      </c>
    </row>
    <row r="31" spans="1:38" x14ac:dyDescent="0.2">
      <c r="A31">
        <f t="shared" si="21"/>
        <v>57</v>
      </c>
      <c r="B31">
        <f>VLOOKUP(A31,Table21[#All],3,FALSE)</f>
        <v>5.2021164412763329E-3</v>
      </c>
      <c r="C31">
        <f t="shared" si="0"/>
        <v>0.99479788355872367</v>
      </c>
      <c r="D31">
        <f t="shared" si="1"/>
        <v>6.2725173749021465E-2</v>
      </c>
      <c r="E31">
        <f t="shared" si="2"/>
        <v>6.2725173749021465E-2</v>
      </c>
      <c r="G31">
        <f t="shared" si="22"/>
        <v>57</v>
      </c>
      <c r="H31">
        <f t="shared" si="3"/>
        <v>5.2021164412763329E-3</v>
      </c>
      <c r="I31">
        <f>Lapses!B8</f>
        <v>1.026E-2</v>
      </c>
      <c r="J31">
        <f t="shared" si="4"/>
        <v>0.98453788355872363</v>
      </c>
      <c r="K31">
        <f t="shared" si="23"/>
        <v>0.91909610669983322</v>
      </c>
      <c r="M31">
        <v>7</v>
      </c>
      <c r="N31">
        <f t="shared" si="5"/>
        <v>10901.300299441413</v>
      </c>
      <c r="O31">
        <f t="shared" si="24"/>
        <v>300</v>
      </c>
      <c r="P31">
        <f>VLOOKUP(A31,'Death Benefits'!$A$1:$E$98,2,FALSE)</f>
        <v>600104.60250000004</v>
      </c>
      <c r="Q31">
        <f t="shared" si="6"/>
        <v>1.026E-2</v>
      </c>
      <c r="R31">
        <v>0</v>
      </c>
      <c r="S31">
        <f t="shared" si="7"/>
        <v>0</v>
      </c>
      <c r="U31">
        <v>7</v>
      </c>
      <c r="V31">
        <f t="shared" si="8"/>
        <v>0</v>
      </c>
      <c r="W31">
        <f t="shared" si="9"/>
        <v>5908.2571525919921</v>
      </c>
      <c r="Y31">
        <v>7</v>
      </c>
      <c r="Z31">
        <f t="shared" si="10"/>
        <v>10901.300299441413</v>
      </c>
      <c r="AA31">
        <f t="shared" si="11"/>
        <v>-300</v>
      </c>
      <c r="AB31">
        <f t="shared" si="12"/>
        <v>-3121.8140191508487</v>
      </c>
      <c r="AC31">
        <f t="shared" si="13"/>
        <v>0</v>
      </c>
      <c r="AD31">
        <f t="shared" si="14"/>
        <v>642.40699424525133</v>
      </c>
      <c r="AE31">
        <f t="shared" si="15"/>
        <v>-5908.2571525919921</v>
      </c>
      <c r="AF31">
        <f t="shared" si="16"/>
        <v>2213.636121943824</v>
      </c>
      <c r="AG31">
        <f t="shared" si="17"/>
        <v>0</v>
      </c>
      <c r="AH31">
        <f t="shared" si="25"/>
        <v>2213.636121943824</v>
      </c>
      <c r="AI31">
        <f t="shared" si="18"/>
        <v>0.66244105417853916</v>
      </c>
      <c r="AJ31">
        <f t="shared" si="19"/>
        <v>1347.7656982427563</v>
      </c>
      <c r="AK31">
        <f t="shared" si="26"/>
        <v>7039.4197736108217</v>
      </c>
      <c r="AL31">
        <f t="shared" si="20"/>
        <v>8095.3327396524446</v>
      </c>
    </row>
    <row r="32" spans="1:38" x14ac:dyDescent="0.2">
      <c r="A32">
        <f t="shared" si="21"/>
        <v>58</v>
      </c>
      <c r="B32">
        <f>VLOOKUP(A32,Table21[#All],3,FALSE)</f>
        <v>5.5011800244246295E-3</v>
      </c>
      <c r="C32">
        <f t="shared" si="0"/>
        <v>0.99449881997557532</v>
      </c>
      <c r="D32">
        <f t="shared" si="1"/>
        <v>6.1644697556088618E-2</v>
      </c>
      <c r="E32">
        <f t="shared" si="2"/>
        <v>6.1644697556088618E-2</v>
      </c>
      <c r="G32">
        <f t="shared" si="22"/>
        <v>58</v>
      </c>
      <c r="H32">
        <f t="shared" si="3"/>
        <v>5.5011800244246295E-3</v>
      </c>
      <c r="I32">
        <f>Lapses!B9</f>
        <v>9.9500000000000005E-3</v>
      </c>
      <c r="J32">
        <f t="shared" si="4"/>
        <v>0.98454881997557531</v>
      </c>
      <c r="K32">
        <f t="shared" si="23"/>
        <v>0.90488493567731665</v>
      </c>
      <c r="M32">
        <v>8</v>
      </c>
      <c r="N32">
        <f t="shared" si="5"/>
        <v>10901.300299441413</v>
      </c>
      <c r="O32">
        <f t="shared" si="24"/>
        <v>300</v>
      </c>
      <c r="P32">
        <f>VLOOKUP(A32,'Death Benefits'!$A$1:$E$98,2,FALSE)</f>
        <v>600104.60250000004</v>
      </c>
      <c r="Q32">
        <f t="shared" si="6"/>
        <v>9.9500000000000005E-3</v>
      </c>
      <c r="R32">
        <v>0</v>
      </c>
      <c r="S32">
        <f t="shared" si="7"/>
        <v>0</v>
      </c>
      <c r="U32">
        <v>8</v>
      </c>
      <c r="V32">
        <f t="shared" si="8"/>
        <v>0</v>
      </c>
      <c r="W32">
        <f t="shared" si="9"/>
        <v>5908.3227825328677</v>
      </c>
      <c r="Y32">
        <v>8</v>
      </c>
      <c r="Z32">
        <f t="shared" si="10"/>
        <v>10901.300299441413</v>
      </c>
      <c r="AA32">
        <f t="shared" si="11"/>
        <v>-300</v>
      </c>
      <c r="AB32">
        <f t="shared" si="12"/>
        <v>-3301.2834518382829</v>
      </c>
      <c r="AC32">
        <f t="shared" si="13"/>
        <v>0</v>
      </c>
      <c r="AD32">
        <f t="shared" si="14"/>
        <v>642.40699424525133</v>
      </c>
      <c r="AE32">
        <f t="shared" si="15"/>
        <v>-5908.3227825328677</v>
      </c>
      <c r="AF32">
        <f t="shared" si="16"/>
        <v>2034.1010593155142</v>
      </c>
      <c r="AG32">
        <f t="shared" si="17"/>
        <v>0</v>
      </c>
      <c r="AH32">
        <f t="shared" si="25"/>
        <v>2034.1010593155142</v>
      </c>
      <c r="AI32">
        <f t="shared" si="18"/>
        <v>0.62459261545953759</v>
      </c>
      <c r="AJ32">
        <f t="shared" si="19"/>
        <v>1149.64228573738</v>
      </c>
      <c r="AK32">
        <f t="shared" si="26"/>
        <v>6534.598386938892</v>
      </c>
      <c r="AL32">
        <f t="shared" si="20"/>
        <v>7514.7881449797251</v>
      </c>
    </row>
    <row r="33" spans="1:38" x14ac:dyDescent="0.2">
      <c r="A33">
        <f t="shared" si="21"/>
        <v>59</v>
      </c>
      <c r="B33">
        <f>VLOOKUP(A33,Table21[#All],3,FALSE)</f>
        <v>5.783421278074634E-3</v>
      </c>
      <c r="C33">
        <f t="shared" si="0"/>
        <v>0.99421657872192537</v>
      </c>
      <c r="D33">
        <f t="shared" si="1"/>
        <v>6.0210228576179615E-2</v>
      </c>
      <c r="E33">
        <f t="shared" si="2"/>
        <v>6.0210228576179615E-2</v>
      </c>
      <c r="G33">
        <f t="shared" si="22"/>
        <v>59</v>
      </c>
      <c r="H33">
        <f t="shared" si="3"/>
        <v>5.783421278074634E-3</v>
      </c>
      <c r="I33">
        <f>Lapses!B10</f>
        <v>0.01</v>
      </c>
      <c r="J33">
        <f t="shared" si="4"/>
        <v>0.98421657872192536</v>
      </c>
      <c r="K33">
        <f t="shared" si="23"/>
        <v>0.8909033956347765</v>
      </c>
      <c r="M33">
        <v>9</v>
      </c>
      <c r="N33">
        <f t="shared" si="5"/>
        <v>10901.300299441413</v>
      </c>
      <c r="O33">
        <f t="shared" si="24"/>
        <v>300</v>
      </c>
      <c r="P33">
        <f>VLOOKUP(A33,'Death Benefits'!$A$1:$E$98,2,FALSE)</f>
        <v>600104.60250000004</v>
      </c>
      <c r="Q33">
        <f t="shared" si="6"/>
        <v>0.01</v>
      </c>
      <c r="R33">
        <v>0</v>
      </c>
      <c r="S33">
        <f t="shared" si="7"/>
        <v>0</v>
      </c>
      <c r="U33">
        <v>9</v>
      </c>
      <c r="V33">
        <f t="shared" si="8"/>
        <v>0</v>
      </c>
      <c r="W33">
        <f t="shared" si="9"/>
        <v>5906.3289874783104</v>
      </c>
      <c r="Y33">
        <v>9</v>
      </c>
      <c r="Z33">
        <f t="shared" si="10"/>
        <v>10901.300299441413</v>
      </c>
      <c r="AA33">
        <f t="shared" si="11"/>
        <v>-300</v>
      </c>
      <c r="AB33">
        <f t="shared" si="12"/>
        <v>-3470.6577271690203</v>
      </c>
      <c r="AC33">
        <f t="shared" si="13"/>
        <v>0</v>
      </c>
      <c r="AD33">
        <f t="shared" si="14"/>
        <v>642.40699424525133</v>
      </c>
      <c r="AE33">
        <f t="shared" si="15"/>
        <v>-5906.3289874783104</v>
      </c>
      <c r="AF33">
        <f t="shared" si="16"/>
        <v>1866.7205790393336</v>
      </c>
      <c r="AG33">
        <f t="shared" si="17"/>
        <v>0</v>
      </c>
      <c r="AH33">
        <f t="shared" si="25"/>
        <v>1866.7205790393336</v>
      </c>
      <c r="AI33">
        <f t="shared" si="18"/>
        <v>0.58890663980714408</v>
      </c>
      <c r="AJ33">
        <f t="shared" si="19"/>
        <v>979.39161249078893</v>
      </c>
      <c r="AK33">
        <f t="shared" si="26"/>
        <v>6066.0468876255391</v>
      </c>
      <c r="AL33">
        <f t="shared" si="20"/>
        <v>6975.9539207693697</v>
      </c>
    </row>
    <row r="34" spans="1:38" x14ac:dyDescent="0.2">
      <c r="A34">
        <f t="shared" si="21"/>
        <v>60</v>
      </c>
      <c r="B34">
        <f>VLOOKUP(A34,Table21[#All],3,FALSE)</f>
        <v>6.0454033071097764E-3</v>
      </c>
      <c r="C34">
        <f t="shared" si="0"/>
        <v>0.99395459669289021</v>
      </c>
      <c r="D34">
        <f t="shared" si="1"/>
        <v>5.8413194631890118E-2</v>
      </c>
      <c r="E34">
        <f t="shared" si="2"/>
        <v>5.8413194631890118E-2</v>
      </c>
      <c r="G34">
        <f t="shared" si="22"/>
        <v>60</v>
      </c>
      <c r="H34">
        <f t="shared" si="3"/>
        <v>6.0454033071097764E-3</v>
      </c>
      <c r="I34">
        <f>Lapses!B11</f>
        <v>1.021E-2</v>
      </c>
      <c r="J34">
        <f t="shared" si="4"/>
        <v>0.98374459669289016</v>
      </c>
      <c r="K34">
        <f t="shared" si="23"/>
        <v>0.87684189202340557</v>
      </c>
      <c r="M34">
        <v>10</v>
      </c>
      <c r="N34">
        <f t="shared" si="5"/>
        <v>10901.300299441413</v>
      </c>
      <c r="O34">
        <f t="shared" si="24"/>
        <v>300</v>
      </c>
      <c r="P34">
        <f>VLOOKUP(A34,'Death Benefits'!$A$1:$E$98,2,FALSE)</f>
        <v>600104.60250000004</v>
      </c>
      <c r="Q34">
        <f t="shared" si="6"/>
        <v>1.021E-2</v>
      </c>
      <c r="R34">
        <v>0</v>
      </c>
      <c r="S34">
        <f t="shared" si="7"/>
        <v>0</v>
      </c>
      <c r="U34">
        <v>10</v>
      </c>
      <c r="V34">
        <f t="shared" si="8"/>
        <v>0</v>
      </c>
      <c r="W34">
        <f t="shared" si="9"/>
        <v>5903.4966015990976</v>
      </c>
      <c r="Y34">
        <v>10</v>
      </c>
      <c r="Z34">
        <f t="shared" si="10"/>
        <v>10901.300299441413</v>
      </c>
      <c r="AA34">
        <f t="shared" si="11"/>
        <v>-300</v>
      </c>
      <c r="AB34">
        <f t="shared" si="12"/>
        <v>-3627.8743485652981</v>
      </c>
      <c r="AC34">
        <f t="shared" si="13"/>
        <v>0</v>
      </c>
      <c r="AD34">
        <f t="shared" si="14"/>
        <v>642.40699424525133</v>
      </c>
      <c r="AE34">
        <f t="shared" si="15"/>
        <v>-5903.4966015990976</v>
      </c>
      <c r="AF34">
        <f t="shared" si="16"/>
        <v>1712.3363435222691</v>
      </c>
      <c r="AG34">
        <f t="shared" si="17"/>
        <v>0</v>
      </c>
      <c r="AH34">
        <f t="shared" si="25"/>
        <v>1712.3363435222691</v>
      </c>
      <c r="AI34">
        <f t="shared" si="18"/>
        <v>0.55525957532139369</v>
      </c>
      <c r="AJ34">
        <f t="shared" si="19"/>
        <v>833.69351168440642</v>
      </c>
      <c r="AK34">
        <f t="shared" si="26"/>
        <v>5629.19177982362</v>
      </c>
      <c r="AL34">
        <f t="shared" si="20"/>
        <v>6473.5705467971629</v>
      </c>
    </row>
    <row r="35" spans="1:38" x14ac:dyDescent="0.2">
      <c r="A35">
        <f t="shared" si="21"/>
        <v>61</v>
      </c>
      <c r="B35">
        <f>VLOOKUP(A35,Table21[#All],3,FALSE)</f>
        <v>6.287842043614697E-3</v>
      </c>
      <c r="C35">
        <f t="shared" si="0"/>
        <v>0.99371215795638534</v>
      </c>
      <c r="D35">
        <f t="shared" si="1"/>
        <v>5.6247494468968325E-2</v>
      </c>
      <c r="E35">
        <f t="shared" si="2"/>
        <v>5.6247494468968325E-2</v>
      </c>
      <c r="G35">
        <f t="shared" si="22"/>
        <v>61</v>
      </c>
      <c r="H35">
        <f t="shared" si="3"/>
        <v>6.287842043614697E-3</v>
      </c>
      <c r="I35">
        <f>Lapses!B12</f>
        <v>9.9500000000000005E-3</v>
      </c>
      <c r="J35">
        <f t="shared" si="4"/>
        <v>0.98376215795638533</v>
      </c>
      <c r="K35">
        <f t="shared" si="23"/>
        <v>0.86258847343199585</v>
      </c>
      <c r="M35">
        <v>11</v>
      </c>
      <c r="N35">
        <f t="shared" si="5"/>
        <v>10901.300299441413</v>
      </c>
      <c r="O35">
        <f t="shared" si="24"/>
        <v>300</v>
      </c>
      <c r="P35">
        <f>VLOOKUP(A35,'Death Benefits'!$A$1:$E$98,2,FALSE)</f>
        <v>600104.60250000004</v>
      </c>
      <c r="Q35">
        <f t="shared" si="6"/>
        <v>9.9500000000000005E-3</v>
      </c>
      <c r="R35">
        <v>0</v>
      </c>
      <c r="S35">
        <f t="shared" si="7"/>
        <v>0</v>
      </c>
      <c r="U35">
        <v>11</v>
      </c>
      <c r="V35">
        <f t="shared" si="8"/>
        <v>0</v>
      </c>
      <c r="W35">
        <f t="shared" si="9"/>
        <v>5903.6019875495886</v>
      </c>
      <c r="Y35">
        <v>11</v>
      </c>
      <c r="Z35">
        <f t="shared" si="10"/>
        <v>10901.300299441413</v>
      </c>
      <c r="AA35">
        <f t="shared" si="11"/>
        <v>-300</v>
      </c>
      <c r="AB35">
        <f t="shared" si="12"/>
        <v>-3773.3629501661858</v>
      </c>
      <c r="AC35">
        <f t="shared" si="13"/>
        <v>0</v>
      </c>
      <c r="AD35">
        <f t="shared" si="14"/>
        <v>642.40699424525133</v>
      </c>
      <c r="AE35">
        <f t="shared" si="15"/>
        <v>-5903.6019875495886</v>
      </c>
      <c r="AF35">
        <f t="shared" si="16"/>
        <v>1566.7423559708905</v>
      </c>
      <c r="AG35">
        <f t="shared" si="17"/>
        <v>0</v>
      </c>
      <c r="AH35">
        <f t="shared" si="25"/>
        <v>1566.7423559708905</v>
      </c>
      <c r="AI35">
        <f t="shared" si="18"/>
        <v>0.52353492921570932</v>
      </c>
      <c r="AJ35">
        <f t="shared" si="19"/>
        <v>707.53332035558969</v>
      </c>
      <c r="AK35">
        <f t="shared" si="26"/>
        <v>5221.2923449241516</v>
      </c>
      <c r="AL35">
        <f t="shared" si="20"/>
        <v>6004.4861966627741</v>
      </c>
    </row>
    <row r="36" spans="1:38" x14ac:dyDescent="0.2">
      <c r="A36">
        <f t="shared" si="21"/>
        <v>62</v>
      </c>
      <c r="B36">
        <f>VLOOKUP(A36,Table21[#All],3,FALSE)</f>
        <v>6.5280647423648468E-3</v>
      </c>
      <c r="C36">
        <f t="shared" si="0"/>
        <v>0.99347193525763511</v>
      </c>
      <c r="D36">
        <f t="shared" si="1"/>
        <v>5.3705775279476918E-2</v>
      </c>
      <c r="E36">
        <f t="shared" si="2"/>
        <v>5.3705775279476918E-2</v>
      </c>
      <c r="G36">
        <f t="shared" si="22"/>
        <v>62</v>
      </c>
      <c r="H36">
        <f t="shared" si="3"/>
        <v>6.5280647423648468E-3</v>
      </c>
      <c r="I36">
        <f>Lapses!B13</f>
        <v>0.01</v>
      </c>
      <c r="J36">
        <f t="shared" si="4"/>
        <v>0.9834719352576351</v>
      </c>
      <c r="K36">
        <f t="shared" si="23"/>
        <v>0.84858189805176443</v>
      </c>
      <c r="M36">
        <v>12</v>
      </c>
      <c r="N36">
        <f t="shared" si="5"/>
        <v>10901.300299441413</v>
      </c>
      <c r="O36">
        <f t="shared" si="24"/>
        <v>300</v>
      </c>
      <c r="P36">
        <f>VLOOKUP(A36,'Death Benefits'!$A$1:$E$98,2,FALSE)</f>
        <v>600104.60250000004</v>
      </c>
      <c r="Q36">
        <f t="shared" si="6"/>
        <v>0.01</v>
      </c>
      <c r="R36">
        <v>0</v>
      </c>
      <c r="S36">
        <f t="shared" si="7"/>
        <v>0</v>
      </c>
      <c r="U36">
        <v>12</v>
      </c>
      <c r="V36">
        <f t="shared" si="8"/>
        <v>0</v>
      </c>
      <c r="W36">
        <f t="shared" si="9"/>
        <v>5901.8603477768893</v>
      </c>
      <c r="Y36">
        <v>12</v>
      </c>
      <c r="Z36">
        <f t="shared" si="10"/>
        <v>10901.300299441413</v>
      </c>
      <c r="AA36">
        <f t="shared" si="11"/>
        <v>-300</v>
      </c>
      <c r="AB36">
        <f t="shared" si="12"/>
        <v>-3917.5216973111214</v>
      </c>
      <c r="AC36">
        <f t="shared" si="13"/>
        <v>0</v>
      </c>
      <c r="AD36">
        <f t="shared" si="14"/>
        <v>642.40699424525133</v>
      </c>
      <c r="AE36">
        <f t="shared" si="15"/>
        <v>-5901.8603477768893</v>
      </c>
      <c r="AF36">
        <f t="shared" si="16"/>
        <v>1424.3252485986532</v>
      </c>
      <c r="AG36">
        <f t="shared" si="17"/>
        <v>0</v>
      </c>
      <c r="AH36">
        <f t="shared" si="25"/>
        <v>1424.3252485986532</v>
      </c>
      <c r="AI36">
        <f t="shared" si="18"/>
        <v>0.49362286449585413</v>
      </c>
      <c r="AJ36">
        <f t="shared" si="19"/>
        <v>596.62054438723851</v>
      </c>
      <c r="AK36">
        <f t="shared" si="26"/>
        <v>4843.0363508134933</v>
      </c>
      <c r="AL36">
        <f t="shared" si="20"/>
        <v>5569.4918034355169</v>
      </c>
    </row>
    <row r="37" spans="1:38" x14ac:dyDescent="0.2">
      <c r="A37">
        <f t="shared" si="21"/>
        <v>63</v>
      </c>
      <c r="B37">
        <f>VLOOKUP(A37,Table21[#All],3,FALSE)</f>
        <v>6.7875514882602579E-3</v>
      </c>
      <c r="C37">
        <f t="shared" si="0"/>
        <v>0.99321244851173973</v>
      </c>
      <c r="D37">
        <f t="shared" si="1"/>
        <v>5.0763506861061021E-2</v>
      </c>
      <c r="E37">
        <f t="shared" si="2"/>
        <v>5.0763506861061021E-2</v>
      </c>
      <c r="G37">
        <f t="shared" si="22"/>
        <v>63</v>
      </c>
      <c r="H37">
        <f t="shared" si="3"/>
        <v>6.7875514882602579E-3</v>
      </c>
      <c r="I37">
        <f>Lapses!B14</f>
        <v>9.8799999999999999E-3</v>
      </c>
      <c r="J37">
        <f t="shared" si="4"/>
        <v>0.98333244851173973</v>
      </c>
      <c r="K37">
        <f t="shared" si="23"/>
        <v>0.83455648150156603</v>
      </c>
      <c r="M37">
        <v>13</v>
      </c>
      <c r="N37">
        <f t="shared" si="5"/>
        <v>10901.300299441413</v>
      </c>
      <c r="O37">
        <f t="shared" si="24"/>
        <v>300</v>
      </c>
      <c r="P37">
        <f>VLOOKUP(A37,'Death Benefits'!$A$1:$E$98,2,FALSE)</f>
        <v>600104.60250000004</v>
      </c>
      <c r="Q37">
        <f t="shared" si="6"/>
        <v>9.8799999999999999E-3</v>
      </c>
      <c r="R37">
        <v>0</v>
      </c>
      <c r="S37">
        <f t="shared" si="7"/>
        <v>0</v>
      </c>
      <c r="U37">
        <v>13</v>
      </c>
      <c r="V37">
        <f t="shared" si="8"/>
        <v>0</v>
      </c>
      <c r="W37">
        <f t="shared" si="9"/>
        <v>5901.0232813948933</v>
      </c>
      <c r="Y37">
        <v>13</v>
      </c>
      <c r="Z37">
        <f t="shared" si="10"/>
        <v>10901.300299441413</v>
      </c>
      <c r="AA37">
        <f t="shared" si="11"/>
        <v>-300</v>
      </c>
      <c r="AB37">
        <f t="shared" si="12"/>
        <v>-4073.2408878107058</v>
      </c>
      <c r="AC37">
        <f t="shared" si="13"/>
        <v>0</v>
      </c>
      <c r="AD37">
        <f t="shared" si="14"/>
        <v>642.40699424525133</v>
      </c>
      <c r="AE37">
        <f t="shared" si="15"/>
        <v>-5901.0232813948933</v>
      </c>
      <c r="AF37">
        <f t="shared" si="16"/>
        <v>1269.4431244810658</v>
      </c>
      <c r="AG37">
        <f t="shared" si="17"/>
        <v>0</v>
      </c>
      <c r="AH37">
        <f t="shared" si="25"/>
        <v>1269.4431244810658</v>
      </c>
      <c r="AI37">
        <f t="shared" si="18"/>
        <v>0.46541981968255058</v>
      </c>
      <c r="AJ37">
        <f t="shared" si="19"/>
        <v>493.07599035892321</v>
      </c>
      <c r="AK37">
        <f t="shared" si="26"/>
        <v>4490.8578210740006</v>
      </c>
      <c r="AL37">
        <f t="shared" si="20"/>
        <v>5164.4864942351005</v>
      </c>
    </row>
    <row r="38" spans="1:38" x14ac:dyDescent="0.2">
      <c r="A38">
        <f t="shared" si="21"/>
        <v>64</v>
      </c>
      <c r="B38">
        <f>VLOOKUP(A38,Table21[#All],3,FALSE)</f>
        <v>7.0877823654701116E-3</v>
      </c>
      <c r="C38">
        <f t="shared" si="0"/>
        <v>0.99291221763452986</v>
      </c>
      <c r="D38">
        <f t="shared" si="1"/>
        <v>4.7373622499964393E-2</v>
      </c>
      <c r="E38">
        <f t="shared" si="2"/>
        <v>4.7373622499964393E-2</v>
      </c>
      <c r="G38">
        <f t="shared" si="22"/>
        <v>64</v>
      </c>
      <c r="H38">
        <f t="shared" si="3"/>
        <v>7.0877823654701116E-3</v>
      </c>
      <c r="I38">
        <f>Lapses!B15</f>
        <v>9.9699999999999997E-3</v>
      </c>
      <c r="J38">
        <f t="shared" si="4"/>
        <v>0.98294221763452982</v>
      </c>
      <c r="K38">
        <f t="shared" si="23"/>
        <v>0.8206464683762773</v>
      </c>
      <c r="M38">
        <v>14</v>
      </c>
      <c r="N38">
        <f t="shared" si="5"/>
        <v>10901.300299441413</v>
      </c>
      <c r="O38">
        <f t="shared" si="24"/>
        <v>300</v>
      </c>
      <c r="P38">
        <f>VLOOKUP(A38,'Death Benefits'!$A$1:$E$98,2,FALSE)</f>
        <v>600104.60250000004</v>
      </c>
      <c r="Q38">
        <f t="shared" si="6"/>
        <v>9.9699999999999997E-3</v>
      </c>
      <c r="R38">
        <v>0</v>
      </c>
      <c r="S38">
        <f t="shared" si="7"/>
        <v>246.80281565522023</v>
      </c>
      <c r="U38">
        <v>14</v>
      </c>
      <c r="V38">
        <f t="shared" si="8"/>
        <v>246.80281565522023</v>
      </c>
      <c r="W38">
        <f t="shared" si="9"/>
        <v>5898.681487940381</v>
      </c>
      <c r="Y38">
        <v>14</v>
      </c>
      <c r="Z38">
        <f t="shared" si="10"/>
        <v>10901.300299441413</v>
      </c>
      <c r="AA38">
        <f t="shared" si="11"/>
        <v>-300</v>
      </c>
      <c r="AB38">
        <f t="shared" si="12"/>
        <v>-4253.4108190369516</v>
      </c>
      <c r="AC38">
        <f t="shared" si="13"/>
        <v>0</v>
      </c>
      <c r="AD38">
        <f t="shared" si="14"/>
        <v>642.40699424525133</v>
      </c>
      <c r="AE38">
        <f t="shared" si="15"/>
        <v>-5898.681487940381</v>
      </c>
      <c r="AF38">
        <f t="shared" si="16"/>
        <v>1091.6149867093318</v>
      </c>
      <c r="AG38">
        <f t="shared" si="17"/>
        <v>-202.53785905277789</v>
      </c>
      <c r="AH38">
        <f t="shared" si="25"/>
        <v>889.0771276565539</v>
      </c>
      <c r="AI38">
        <f t="shared" si="18"/>
        <v>0.43882815026117428</v>
      </c>
      <c r="AJ38">
        <f t="shared" si="19"/>
        <v>320.17691949869482</v>
      </c>
      <c r="AK38">
        <f t="shared" si="26"/>
        <v>4163.6985745903421</v>
      </c>
      <c r="AL38">
        <f t="shared" si="20"/>
        <v>4788.2533607788928</v>
      </c>
    </row>
    <row r="39" spans="1:38" x14ac:dyDescent="0.2">
      <c r="A39">
        <f t="shared" si="21"/>
        <v>65</v>
      </c>
      <c r="B39">
        <f>VLOOKUP(A39,Table21[#All],3,FALSE)</f>
        <v>7.4502374618177995E-3</v>
      </c>
      <c r="C39">
        <f t="shared" si="0"/>
        <v>0.99254976253818217</v>
      </c>
      <c r="D39">
        <f t="shared" si="1"/>
        <v>4.3464607213655658E-2</v>
      </c>
      <c r="E39">
        <f t="shared" si="2"/>
        <v>4.3464607213655658E-2</v>
      </c>
      <c r="G39">
        <f t="shared" si="22"/>
        <v>65</v>
      </c>
      <c r="H39">
        <f t="shared" si="3"/>
        <v>7.4502374618177995E-3</v>
      </c>
      <c r="I39">
        <f>Lapses!B16</f>
        <v>1.0149999999999999E-2</v>
      </c>
      <c r="J39">
        <f t="shared" si="4"/>
        <v>0.98239976253818218</v>
      </c>
      <c r="K39">
        <f t="shared" si="23"/>
        <v>0.80664805951972307</v>
      </c>
      <c r="M39">
        <v>15</v>
      </c>
      <c r="N39">
        <f t="shared" si="5"/>
        <v>10901.300299441413</v>
      </c>
      <c r="O39">
        <f t="shared" si="24"/>
        <v>300</v>
      </c>
      <c r="P39">
        <f>VLOOKUP(A39,'Death Benefits'!$A$1:$E$98,2,FALSE)</f>
        <v>600104.60250000004</v>
      </c>
      <c r="Q39">
        <f t="shared" si="6"/>
        <v>1.0149999999999999E-2</v>
      </c>
      <c r="R39">
        <v>0</v>
      </c>
      <c r="S39">
        <f t="shared" si="7"/>
        <v>1159.5255643421315</v>
      </c>
      <c r="U39">
        <v>15</v>
      </c>
      <c r="V39">
        <f t="shared" si="8"/>
        <v>1159.5255643421315</v>
      </c>
      <c r="W39">
        <f t="shared" si="9"/>
        <v>5895.4261899407029</v>
      </c>
      <c r="Y39">
        <v>15</v>
      </c>
      <c r="Z39">
        <f t="shared" si="10"/>
        <v>10901.300299441413</v>
      </c>
      <c r="AA39">
        <f t="shared" si="11"/>
        <v>-300</v>
      </c>
      <c r="AB39">
        <f t="shared" si="12"/>
        <v>-4470.9217905547794</v>
      </c>
      <c r="AC39">
        <f t="shared" si="13"/>
        <v>0</v>
      </c>
      <c r="AD39">
        <f t="shared" si="14"/>
        <v>642.40699424525133</v>
      </c>
      <c r="AE39">
        <f t="shared" si="15"/>
        <v>-5895.4261899407029</v>
      </c>
      <c r="AF39">
        <f t="shared" si="16"/>
        <v>877.35931319118208</v>
      </c>
      <c r="AG39">
        <f t="shared" si="17"/>
        <v>-935.32904644009216</v>
      </c>
      <c r="AH39">
        <f t="shared" si="25"/>
        <v>0</v>
      </c>
      <c r="AI39">
        <f t="shared" si="18"/>
        <v>0.41375579061714701</v>
      </c>
      <c r="AJ39">
        <f t="shared" si="19"/>
        <v>0</v>
      </c>
      <c r="AK39">
        <f t="shared" si="26"/>
        <v>3858.8409268266478</v>
      </c>
      <c r="AL39">
        <f t="shared" si="20"/>
        <v>4437.6670658506446</v>
      </c>
    </row>
    <row r="40" spans="1:38" x14ac:dyDescent="0.2">
      <c r="A40">
        <f t="shared" si="21"/>
        <v>66</v>
      </c>
      <c r="B40">
        <f>VLOOKUP(A40,Table21[#All],3,FALSE)</f>
        <v>7.8963968556257855E-3</v>
      </c>
      <c r="C40">
        <f t="shared" si="0"/>
        <v>0.99210360314437418</v>
      </c>
      <c r="D40">
        <f t="shared" si="1"/>
        <v>3.893829409251106E-2</v>
      </c>
      <c r="E40">
        <f t="shared" si="2"/>
        <v>3.893829409251106E-2</v>
      </c>
      <c r="G40">
        <f t="shared" si="22"/>
        <v>66</v>
      </c>
      <c r="H40">
        <f t="shared" si="3"/>
        <v>7.8963968556257855E-3</v>
      </c>
      <c r="I40">
        <f>Lapses!B17</f>
        <v>9.9600000000000001E-3</v>
      </c>
      <c r="J40">
        <f t="shared" si="4"/>
        <v>0.98214360314437421</v>
      </c>
      <c r="K40">
        <f t="shared" si="23"/>
        <v>0.79245086212406135</v>
      </c>
      <c r="M40">
        <v>16</v>
      </c>
      <c r="N40">
        <f t="shared" si="5"/>
        <v>10901.300299441413</v>
      </c>
      <c r="O40">
        <f t="shared" si="24"/>
        <v>300</v>
      </c>
      <c r="P40">
        <f>VLOOKUP(A40,'Death Benefits'!$A$1:$E$98,2,FALSE)</f>
        <v>600104.60250000004</v>
      </c>
      <c r="Q40">
        <f t="shared" si="6"/>
        <v>9.9600000000000001E-3</v>
      </c>
      <c r="R40">
        <v>0</v>
      </c>
      <c r="S40">
        <f t="shared" si="7"/>
        <v>1874.4138442699114</v>
      </c>
      <c r="U40">
        <v>16</v>
      </c>
      <c r="V40">
        <f t="shared" si="8"/>
        <v>1874.4138442699114</v>
      </c>
      <c r="W40">
        <f t="shared" si="9"/>
        <v>5893.8889656287247</v>
      </c>
      <c r="Y40">
        <v>16</v>
      </c>
      <c r="Z40">
        <f t="shared" si="10"/>
        <v>10901.300299441413</v>
      </c>
      <c r="AA40">
        <f t="shared" si="11"/>
        <v>-300</v>
      </c>
      <c r="AB40">
        <f t="shared" si="12"/>
        <v>-4738.6640962275624</v>
      </c>
      <c r="AC40">
        <f t="shared" si="13"/>
        <v>0</v>
      </c>
      <c r="AD40">
        <f t="shared" si="14"/>
        <v>642.40699424525133</v>
      </c>
      <c r="AE40">
        <f t="shared" si="15"/>
        <v>-5893.8889656287247</v>
      </c>
      <c r="AF40">
        <f t="shared" si="16"/>
        <v>611.15423183037728</v>
      </c>
      <c r="AG40">
        <f t="shared" si="17"/>
        <v>-1485.3808668689674</v>
      </c>
      <c r="AH40">
        <f t="shared" si="25"/>
        <v>0</v>
      </c>
      <c r="AI40">
        <f t="shared" si="18"/>
        <v>0.39011593528658578</v>
      </c>
      <c r="AJ40">
        <f t="shared" si="19"/>
        <v>0</v>
      </c>
      <c r="AK40">
        <f t="shared" si="26"/>
        <v>3574.330693172918</v>
      </c>
      <c r="AL40">
        <f t="shared" si="20"/>
        <v>4110.4802971488552</v>
      </c>
    </row>
    <row r="41" spans="1:38" x14ac:dyDescent="0.2">
      <c r="A41">
        <f t="shared" si="21"/>
        <v>67</v>
      </c>
      <c r="B41">
        <f>VLOOKUP(A41,Table21[#All],3,FALSE)</f>
        <v>8.4477406339866154E-3</v>
      </c>
      <c r="C41">
        <f t="shared" si="0"/>
        <v>0.99155225936601343</v>
      </c>
      <c r="D41">
        <f t="shared" si="1"/>
        <v>3.3667291337463753E-2</v>
      </c>
      <c r="E41">
        <f t="shared" si="2"/>
        <v>3.3667291337463753E-2</v>
      </c>
      <c r="G41">
        <f t="shared" si="22"/>
        <v>67</v>
      </c>
      <c r="H41">
        <f t="shared" si="3"/>
        <v>8.4477406339866154E-3</v>
      </c>
      <c r="I41">
        <f>Lapses!B18</f>
        <v>9.9399999999999992E-3</v>
      </c>
      <c r="J41">
        <f t="shared" si="4"/>
        <v>0.98161225936601348</v>
      </c>
      <c r="K41">
        <f t="shared" si="23"/>
        <v>0.77830054504139135</v>
      </c>
      <c r="M41">
        <v>17</v>
      </c>
      <c r="N41">
        <f t="shared" si="5"/>
        <v>10901.300299441413</v>
      </c>
      <c r="O41">
        <f t="shared" si="24"/>
        <v>300</v>
      </c>
      <c r="P41">
        <f>VLOOKUP(A41,'Death Benefits'!$A$1:$E$98,2,FALSE)</f>
        <v>600104.60250000004</v>
      </c>
      <c r="Q41">
        <f t="shared" si="6"/>
        <v>9.9399999999999992E-3</v>
      </c>
      <c r="R41">
        <v>0</v>
      </c>
      <c r="S41">
        <f t="shared" si="7"/>
        <v>2314.0263272623961</v>
      </c>
      <c r="U41">
        <v>17</v>
      </c>
      <c r="V41">
        <f t="shared" si="8"/>
        <v>2314.0263272623961</v>
      </c>
      <c r="W41">
        <f t="shared" si="9"/>
        <v>5890.7003471596845</v>
      </c>
      <c r="Y41">
        <v>17</v>
      </c>
      <c r="Z41">
        <f t="shared" si="10"/>
        <v>10901.300299441413</v>
      </c>
      <c r="AA41">
        <f t="shared" si="11"/>
        <v>-300</v>
      </c>
      <c r="AB41">
        <f t="shared" si="12"/>
        <v>-5069.5280351816364</v>
      </c>
      <c r="AC41">
        <f t="shared" si="13"/>
        <v>0</v>
      </c>
      <c r="AD41">
        <f t="shared" si="14"/>
        <v>642.40699424525133</v>
      </c>
      <c r="AE41">
        <f t="shared" si="15"/>
        <v>-5890.7003471596845</v>
      </c>
      <c r="AF41">
        <f t="shared" si="16"/>
        <v>283.47891134534348</v>
      </c>
      <c r="AG41">
        <f t="shared" si="17"/>
        <v>-1801.0079517484519</v>
      </c>
      <c r="AH41">
        <f t="shared" si="25"/>
        <v>0</v>
      </c>
      <c r="AI41">
        <f t="shared" si="18"/>
        <v>0.36782673841863195</v>
      </c>
      <c r="AJ41">
        <f t="shared" si="19"/>
        <v>0</v>
      </c>
      <c r="AK41">
        <f t="shared" si="26"/>
        <v>3309.9339577826254</v>
      </c>
      <c r="AL41">
        <f t="shared" si="20"/>
        <v>3806.4240514500189</v>
      </c>
    </row>
    <row r="42" spans="1:38" x14ac:dyDescent="0.2">
      <c r="A42">
        <f t="shared" si="21"/>
        <v>68</v>
      </c>
      <c r="B42">
        <f>VLOOKUP(A42,Table21[#All],3,FALSE)</f>
        <v>9.1257488788769534E-3</v>
      </c>
      <c r="C42">
        <f t="shared" si="0"/>
        <v>0.99087425112112304</v>
      </c>
      <c r="D42">
        <f t="shared" si="1"/>
        <v>2.7491932269997497E-2</v>
      </c>
      <c r="E42">
        <f t="shared" si="2"/>
        <v>2.7491932269997497E-2</v>
      </c>
      <c r="G42">
        <f t="shared" si="22"/>
        <v>68</v>
      </c>
      <c r="H42">
        <f t="shared" si="3"/>
        <v>9.1257488788769534E-3</v>
      </c>
      <c r="I42">
        <f>Lapses!B19</f>
        <v>9.8499999999999994E-3</v>
      </c>
      <c r="J42">
        <f t="shared" si="4"/>
        <v>0.98102425112112301</v>
      </c>
      <c r="K42">
        <f t="shared" si="23"/>
        <v>0.76398935648387989</v>
      </c>
      <c r="M42">
        <v>18</v>
      </c>
      <c r="N42">
        <f t="shared" si="5"/>
        <v>10901.300299441413</v>
      </c>
      <c r="O42">
        <f t="shared" si="24"/>
        <v>300</v>
      </c>
      <c r="P42">
        <f>VLOOKUP(A42,'Death Benefits'!$A$1:$E$98,2,FALSE)</f>
        <v>600104.60250000004</v>
      </c>
      <c r="Q42">
        <f t="shared" si="6"/>
        <v>9.8499999999999994E-3</v>
      </c>
      <c r="R42">
        <v>0</v>
      </c>
      <c r="S42">
        <f t="shared" si="7"/>
        <v>2379.5345380525873</v>
      </c>
      <c r="U42">
        <v>18</v>
      </c>
      <c r="V42">
        <f t="shared" si="8"/>
        <v>2379.5345380525873</v>
      </c>
      <c r="W42">
        <f t="shared" si="9"/>
        <v>5887.1716826190177</v>
      </c>
      <c r="Y42">
        <v>18</v>
      </c>
      <c r="Z42">
        <f t="shared" si="10"/>
        <v>10901.300299441413</v>
      </c>
      <c r="AA42">
        <f t="shared" si="11"/>
        <v>-300</v>
      </c>
      <c r="AB42">
        <f t="shared" si="12"/>
        <v>-5476.403903473275</v>
      </c>
      <c r="AC42">
        <f t="shared" si="13"/>
        <v>0</v>
      </c>
      <c r="AD42">
        <f t="shared" si="14"/>
        <v>642.40699424525133</v>
      </c>
      <c r="AE42">
        <f t="shared" si="15"/>
        <v>-5887.1716826190177</v>
      </c>
      <c r="AF42">
        <f t="shared" si="16"/>
        <v>-119.86829240562838</v>
      </c>
      <c r="AG42">
        <f t="shared" si="17"/>
        <v>-1817.9390604579626</v>
      </c>
      <c r="AH42">
        <f t="shared" si="25"/>
        <v>0</v>
      </c>
      <c r="AI42">
        <f t="shared" si="18"/>
        <v>0.34681103040894135</v>
      </c>
      <c r="AJ42">
        <f t="shared" si="19"/>
        <v>0</v>
      </c>
      <c r="AK42">
        <f t="shared" si="26"/>
        <v>3063.4366782588427</v>
      </c>
      <c r="AL42">
        <f t="shared" si="20"/>
        <v>3522.9521799976687</v>
      </c>
    </row>
    <row r="43" spans="1:38" x14ac:dyDescent="0.2">
      <c r="A43">
        <f t="shared" si="21"/>
        <v>69</v>
      </c>
      <c r="B43">
        <f>VLOOKUP(A43,Table21[#All],3,FALSE)</f>
        <v>9.9519016868902799E-3</v>
      </c>
      <c r="C43">
        <f t="shared" si="0"/>
        <v>0.99004809831310969</v>
      </c>
      <c r="D43">
        <f t="shared" si="1"/>
        <v>2.0216603659061968E-2</v>
      </c>
      <c r="E43">
        <f t="shared" si="2"/>
        <v>2.0216603659061968E-2</v>
      </c>
      <c r="G43">
        <f t="shared" si="22"/>
        <v>69</v>
      </c>
      <c r="H43">
        <f t="shared" si="3"/>
        <v>9.9519016868902799E-3</v>
      </c>
      <c r="I43">
        <f>Lapses!B20</f>
        <v>9.8399999999999998E-3</v>
      </c>
      <c r="J43">
        <f t="shared" si="4"/>
        <v>0.98020809831310973</v>
      </c>
      <c r="K43">
        <f t="shared" si="23"/>
        <v>0.74949208630910691</v>
      </c>
      <c r="M43">
        <v>19</v>
      </c>
      <c r="N43">
        <f t="shared" si="5"/>
        <v>10901.300299441413</v>
      </c>
      <c r="O43">
        <f t="shared" si="24"/>
        <v>300</v>
      </c>
      <c r="P43">
        <f>VLOOKUP(A43,'Death Benefits'!$A$1:$E$98,2,FALSE)</f>
        <v>600104.60250000004</v>
      </c>
      <c r="Q43">
        <f t="shared" si="6"/>
        <v>9.8399999999999998E-3</v>
      </c>
      <c r="R43">
        <v>0</v>
      </c>
      <c r="S43">
        <f t="shared" si="7"/>
        <v>1951.6045332095291</v>
      </c>
      <c r="U43">
        <v>19</v>
      </c>
      <c r="V43">
        <f t="shared" si="8"/>
        <v>1951.6045332095291</v>
      </c>
      <c r="W43">
        <f t="shared" si="9"/>
        <v>5882.2739120546967</v>
      </c>
      <c r="Y43">
        <v>19</v>
      </c>
      <c r="Z43">
        <f t="shared" si="10"/>
        <v>10901.300299441413</v>
      </c>
      <c r="AA43">
        <f t="shared" si="11"/>
        <v>-300</v>
      </c>
      <c r="AB43">
        <f t="shared" si="12"/>
        <v>-5972.1820059303709</v>
      </c>
      <c r="AC43">
        <f t="shared" si="13"/>
        <v>0</v>
      </c>
      <c r="AD43">
        <f t="shared" si="14"/>
        <v>642.40699424525133</v>
      </c>
      <c r="AE43">
        <f t="shared" si="15"/>
        <v>-5882.2739120546967</v>
      </c>
      <c r="AF43">
        <f t="shared" si="16"/>
        <v>-610.74862429840323</v>
      </c>
      <c r="AG43">
        <f t="shared" si="17"/>
        <v>-1462.7121532455208</v>
      </c>
      <c r="AH43">
        <f t="shared" si="25"/>
        <v>0</v>
      </c>
      <c r="AI43">
        <f t="shared" si="18"/>
        <v>0.32699605072326376</v>
      </c>
      <c r="AJ43">
        <f t="shared" si="19"/>
        <v>0</v>
      </c>
      <c r="AK43">
        <f t="shared" si="26"/>
        <v>2833.5981274186724</v>
      </c>
      <c r="AL43">
        <f t="shared" si="20"/>
        <v>3258.6378465314729</v>
      </c>
    </row>
    <row r="44" spans="1:38" x14ac:dyDescent="0.2">
      <c r="A44">
        <f t="shared" si="21"/>
        <v>70</v>
      </c>
      <c r="B44">
        <f>VLOOKUP(A44,Table21[#All],3,FALSE)</f>
        <v>1.230850598704134E-2</v>
      </c>
      <c r="C44">
        <f t="shared" si="0"/>
        <v>0.98769149401295864</v>
      </c>
      <c r="D44">
        <f t="shared" si="1"/>
        <v>1.1605261929876608E-2</v>
      </c>
      <c r="E44">
        <f t="shared" si="2"/>
        <v>1.1605261929876608E-2</v>
      </c>
      <c r="G44">
        <f t="shared" si="22"/>
        <v>70</v>
      </c>
      <c r="H44">
        <f t="shared" si="3"/>
        <v>1.230850598704134E-2</v>
      </c>
      <c r="I44">
        <f>Lapses!B21</f>
        <v>0</v>
      </c>
      <c r="J44">
        <f t="shared" si="4"/>
        <v>0.98769149401295864</v>
      </c>
      <c r="K44">
        <f t="shared" si="23"/>
        <v>0.73465821262177478</v>
      </c>
      <c r="M44">
        <v>20</v>
      </c>
      <c r="N44">
        <f t="shared" si="5"/>
        <v>10901.300299441413</v>
      </c>
      <c r="O44">
        <f t="shared" si="24"/>
        <v>300</v>
      </c>
      <c r="P44">
        <f>VLOOKUP(A44,'Death Benefits'!$A$1:$E$98,2,FALSE)</f>
        <v>600104.60250000004</v>
      </c>
      <c r="Q44">
        <f t="shared" si="6"/>
        <v>0</v>
      </c>
      <c r="R44">
        <v>0</v>
      </c>
      <c r="S44">
        <v>0</v>
      </c>
      <c r="U44">
        <v>20</v>
      </c>
      <c r="V44">
        <f t="shared" si="8"/>
        <v>0</v>
      </c>
      <c r="W44">
        <f t="shared" si="9"/>
        <v>5927.182114072777</v>
      </c>
      <c r="Y44">
        <v>20</v>
      </c>
      <c r="Z44">
        <f t="shared" si="10"/>
        <v>10901.300299441413</v>
      </c>
      <c r="AA44">
        <f t="shared" si="11"/>
        <v>-300</v>
      </c>
      <c r="AB44">
        <f t="shared" si="12"/>
        <v>-7386.3910927223142</v>
      </c>
      <c r="AC44">
        <f t="shared" si="13"/>
        <v>0</v>
      </c>
      <c r="AD44">
        <f t="shared" si="14"/>
        <v>642.40699424525133</v>
      </c>
      <c r="AE44">
        <f t="shared" si="15"/>
        <v>-5927.182114072777</v>
      </c>
      <c r="AF44">
        <f t="shared" si="16"/>
        <v>-2069.8659131084269</v>
      </c>
      <c r="AG44">
        <f t="shared" si="17"/>
        <v>0</v>
      </c>
      <c r="AH44">
        <f t="shared" si="25"/>
        <v>0</v>
      </c>
      <c r="AI44">
        <f t="shared" si="18"/>
        <v>0.30831319598609441</v>
      </c>
      <c r="AJ44">
        <f t="shared" si="19"/>
        <v>0</v>
      </c>
      <c r="AK44">
        <f t="shared" si="26"/>
        <v>2618.8230136994976</v>
      </c>
      <c r="AL44">
        <f t="shared" si="20"/>
        <v>3011.646465754422</v>
      </c>
    </row>
  </sheetData>
  <mergeCells count="6">
    <mergeCell ref="AH23:AK23"/>
    <mergeCell ref="M23:S23"/>
    <mergeCell ref="A23:E23"/>
    <mergeCell ref="G23:K23"/>
    <mergeCell ref="U23:W23"/>
    <mergeCell ref="Y23:AG23"/>
  </mergeCells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67C4FB-753F-A54F-B081-6404D4DFC7FF}">
          <x14:formula1>
            <xm:f>'male lifetable'!$A$2:$A$96</xm:f>
          </x14:formula1>
          <xm:sqref>B2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FCF2F-4701-D54C-97E4-927616E1C8B4}">
  <dimension ref="A1:AO76"/>
  <sheetViews>
    <sheetView zoomScale="118" workbookViewId="0">
      <selection activeCell="G16" sqref="G16"/>
    </sheetView>
  </sheetViews>
  <sheetFormatPr baseColWidth="10" defaultRowHeight="16" x14ac:dyDescent="0.2"/>
  <cols>
    <col min="1" max="4" width="20.33203125" customWidth="1"/>
    <col min="5" max="5" width="26.6640625" customWidth="1"/>
    <col min="13" max="13" width="14.33203125" customWidth="1"/>
    <col min="14" max="14" width="21.6640625" customWidth="1"/>
  </cols>
  <sheetData>
    <row r="1" spans="1:40" ht="19" x14ac:dyDescent="0.25">
      <c r="A1" s="6" t="s">
        <v>18</v>
      </c>
      <c r="B1" s="6"/>
      <c r="C1" s="6"/>
      <c r="D1" s="6"/>
      <c r="E1" s="8">
        <f>ROUND(VLOOKUP(E2,Table2[#All],12,FALSE),0)</f>
        <v>273</v>
      </c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</row>
    <row r="2" spans="1:40" ht="19" x14ac:dyDescent="0.25">
      <c r="A2" s="6" t="s">
        <v>0</v>
      </c>
      <c r="B2" s="6"/>
      <c r="C2" s="6"/>
      <c r="D2" s="6"/>
      <c r="E2" s="8">
        <v>35</v>
      </c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</row>
    <row r="3" spans="1:40" ht="19" x14ac:dyDescent="0.25">
      <c r="A3" s="6" t="s">
        <v>13</v>
      </c>
      <c r="B3" s="6"/>
      <c r="C3" s="6"/>
      <c r="D3" s="6"/>
      <c r="E3" s="8">
        <f>VLOOKUP(E2,'Total Costs_Both Incentives'!$A$1:$J$73,10,FALSE)</f>
        <v>3470</v>
      </c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</row>
    <row r="4" spans="1:40" ht="19" x14ac:dyDescent="0.25">
      <c r="A4" s="6" t="s">
        <v>6</v>
      </c>
      <c r="B4" s="6"/>
      <c r="C4" s="6"/>
      <c r="D4" s="6"/>
      <c r="E4" s="7">
        <v>6.0596999999999998E-2</v>
      </c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</row>
    <row r="5" spans="1:40" ht="19" x14ac:dyDescent="0.25">
      <c r="A5" s="6" t="s">
        <v>4</v>
      </c>
      <c r="B5" s="6"/>
      <c r="C5" s="6"/>
      <c r="D5" s="6"/>
      <c r="E5" s="7">
        <f>(1+E4)^(-1)</f>
        <v>0.94286519761983112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</row>
    <row r="6" spans="1:40" ht="19" x14ac:dyDescent="0.25">
      <c r="A6" s="6" t="s">
        <v>53</v>
      </c>
      <c r="B6" s="6"/>
      <c r="C6" s="6"/>
      <c r="D6" s="6"/>
      <c r="E6" s="7">
        <v>0.01</v>
      </c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</row>
    <row r="7" spans="1:40" ht="19" x14ac:dyDescent="0.25">
      <c r="A7" s="6" t="s">
        <v>8</v>
      </c>
      <c r="B7" s="6"/>
      <c r="C7" s="6"/>
      <c r="D7" s="6"/>
      <c r="E7" s="8" t="s">
        <v>9</v>
      </c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</row>
    <row r="8" spans="1:40" ht="19" x14ac:dyDescent="0.25">
      <c r="A8" s="6" t="s">
        <v>10</v>
      </c>
      <c r="B8" s="6"/>
      <c r="C8" s="6"/>
      <c r="D8" s="6"/>
      <c r="E8" s="8" t="s">
        <v>49</v>
      </c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</row>
    <row r="9" spans="1:40" ht="19" x14ac:dyDescent="0.25">
      <c r="A9" s="6" t="s">
        <v>42</v>
      </c>
      <c r="B9" s="6"/>
      <c r="C9" s="6"/>
      <c r="D9" s="6"/>
      <c r="E9" s="8">
        <f>SUM(AM25:AM45)/SUM(AN25:AN45)</f>
        <v>0.29945724966949983</v>
      </c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</row>
    <row r="10" spans="1:40" ht="19" x14ac:dyDescent="0.25">
      <c r="A10" s="6" t="s">
        <v>121</v>
      </c>
      <c r="B10" s="6"/>
      <c r="C10" s="6"/>
      <c r="D10" s="6"/>
      <c r="E10" s="8">
        <f>'Male T20 (after)'!B10</f>
        <v>10901.300299441413</v>
      </c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</row>
    <row r="11" spans="1:40" ht="19" x14ac:dyDescent="0.25">
      <c r="A11" s="6" t="s">
        <v>84</v>
      </c>
      <c r="B11" s="6"/>
      <c r="C11" s="6"/>
      <c r="D11" s="6"/>
      <c r="E11" s="8">
        <v>300</v>
      </c>
    </row>
    <row r="12" spans="1:40" ht="19" x14ac:dyDescent="0.25">
      <c r="A12" s="6" t="s">
        <v>102</v>
      </c>
      <c r="B12" s="6"/>
      <c r="C12" s="6"/>
      <c r="D12" s="6"/>
      <c r="E12" s="40">
        <f>NPV(E4,AD26:AD45)+AD25</f>
        <v>-6894.3616219313126</v>
      </c>
    </row>
    <row r="13" spans="1:40" ht="19" x14ac:dyDescent="0.25">
      <c r="A13" s="6" t="s">
        <v>103</v>
      </c>
      <c r="B13" s="6"/>
      <c r="C13" s="6"/>
      <c r="D13" s="6"/>
      <c r="E13" s="41">
        <f>E12*E1</f>
        <v>-1882160.7227872484</v>
      </c>
    </row>
    <row r="14" spans="1:40" ht="19" x14ac:dyDescent="0.25">
      <c r="A14" s="6" t="s">
        <v>120</v>
      </c>
      <c r="B14" s="6"/>
      <c r="C14" s="6"/>
      <c r="D14" s="6"/>
      <c r="E14" s="8">
        <f>VLOOKUP(E2,Table3[#All],2,FALSE)</f>
        <v>51</v>
      </c>
    </row>
    <row r="15" spans="1:40" ht="19" x14ac:dyDescent="0.25">
      <c r="A15" s="6" t="s">
        <v>108</v>
      </c>
      <c r="B15" s="6"/>
      <c r="C15" s="6"/>
      <c r="D15" s="6"/>
      <c r="E15" s="8">
        <f>E1-E14</f>
        <v>222</v>
      </c>
    </row>
    <row r="16" spans="1:40" ht="19" x14ac:dyDescent="0.25">
      <c r="A16" s="6" t="s">
        <v>114</v>
      </c>
      <c r="B16" s="6"/>
      <c r="C16" s="6"/>
      <c r="D16" s="6"/>
      <c r="E16" s="8">
        <v>0.15</v>
      </c>
    </row>
    <row r="17" spans="1:41" ht="19" x14ac:dyDescent="0.25">
      <c r="A17" s="6" t="s">
        <v>113</v>
      </c>
      <c r="B17" s="6"/>
      <c r="C17" s="6"/>
      <c r="D17" s="6"/>
      <c r="E17" s="37">
        <f>SUM(AN25:AN45)*E14+SUM(AO25:AO45)*E15</f>
        <v>29716770.100185648</v>
      </c>
    </row>
    <row r="18" spans="1:41" ht="19" x14ac:dyDescent="0.25">
      <c r="A18" s="6" t="s">
        <v>122</v>
      </c>
      <c r="B18" s="6"/>
      <c r="C18" s="6"/>
      <c r="D18" s="6"/>
      <c r="E18" s="37">
        <f>SUM(AM25:AM45)</f>
        <v>37125.165804181983</v>
      </c>
    </row>
    <row r="19" spans="1:41" ht="19" x14ac:dyDescent="0.25">
      <c r="A19" s="6" t="s">
        <v>107</v>
      </c>
      <c r="B19" s="6"/>
      <c r="C19" s="6"/>
      <c r="D19" s="6"/>
      <c r="E19" s="37">
        <f>E17+E13</f>
        <v>27834609.377398398</v>
      </c>
    </row>
    <row r="20" spans="1:41" ht="19" x14ac:dyDescent="0.25">
      <c r="A20" s="6" t="s">
        <v>127</v>
      </c>
      <c r="B20" s="6"/>
      <c r="C20" s="6"/>
      <c r="D20" s="6"/>
      <c r="E20" s="37">
        <f>E19-'Male T20 (before)'!B16</f>
        <v>-30510907.622601602</v>
      </c>
    </row>
    <row r="21" spans="1:41" ht="19" x14ac:dyDescent="0.25">
      <c r="A21" s="6" t="s">
        <v>128</v>
      </c>
      <c r="B21" s="6"/>
      <c r="C21" s="6"/>
      <c r="D21" s="6"/>
      <c r="E21" s="42">
        <f>E20/'Male T20 (before)'!B16</f>
        <v>-0.5229349089939781</v>
      </c>
    </row>
    <row r="23" spans="1:41" ht="19" x14ac:dyDescent="0.25">
      <c r="A23" s="60" t="s">
        <v>66</v>
      </c>
      <c r="B23" s="60"/>
      <c r="C23" s="60"/>
      <c r="D23" s="60"/>
      <c r="E23" s="60"/>
      <c r="F23" s="60"/>
      <c r="G23" s="60"/>
      <c r="H23" s="60"/>
      <c r="J23" s="60" t="s">
        <v>65</v>
      </c>
      <c r="K23" s="60"/>
      <c r="L23" s="60"/>
      <c r="M23" s="60"/>
      <c r="N23" s="60"/>
      <c r="P23" s="61" t="s">
        <v>74</v>
      </c>
      <c r="Q23" s="61"/>
      <c r="R23" s="61"/>
      <c r="S23" s="61"/>
      <c r="T23" s="61"/>
      <c r="U23" s="61"/>
      <c r="V23" s="61"/>
      <c r="X23" s="60" t="s">
        <v>46</v>
      </c>
      <c r="Y23" s="60"/>
      <c r="Z23" s="60"/>
      <c r="AB23" s="60" t="s">
        <v>68</v>
      </c>
      <c r="AC23" s="60"/>
      <c r="AD23" s="60"/>
      <c r="AE23" s="60"/>
      <c r="AF23" s="60"/>
      <c r="AG23" s="60"/>
      <c r="AH23" s="60"/>
      <c r="AI23" s="60"/>
      <c r="AJ23" s="60"/>
      <c r="AK23" s="60" t="s">
        <v>69</v>
      </c>
      <c r="AL23" s="60"/>
      <c r="AM23" s="60"/>
      <c r="AN23" s="60"/>
    </row>
    <row r="24" spans="1:41" ht="19" x14ac:dyDescent="0.25">
      <c r="A24" s="11" t="s">
        <v>5</v>
      </c>
      <c r="B24" s="11" t="s">
        <v>131</v>
      </c>
      <c r="C24" s="11" t="s">
        <v>132</v>
      </c>
      <c r="D24" s="11" t="s">
        <v>133</v>
      </c>
      <c r="E24" s="11" t="s">
        <v>1</v>
      </c>
      <c r="F24" s="11" t="s">
        <v>2</v>
      </c>
      <c r="G24" s="11" t="s">
        <v>3</v>
      </c>
      <c r="H24" s="12" t="s">
        <v>7</v>
      </c>
      <c r="J24" s="11" t="s">
        <v>5</v>
      </c>
      <c r="K24" s="14" t="s">
        <v>26</v>
      </c>
      <c r="L24" s="14" t="s">
        <v>47</v>
      </c>
      <c r="M24" s="14" t="s">
        <v>27</v>
      </c>
      <c r="N24" s="15" t="s">
        <v>28</v>
      </c>
      <c r="P24" s="26" t="s">
        <v>34</v>
      </c>
      <c r="Q24" s="26" t="s">
        <v>36</v>
      </c>
      <c r="R24" s="26" t="s">
        <v>50</v>
      </c>
      <c r="S24" s="26" t="s">
        <v>72</v>
      </c>
      <c r="T24" s="6" t="s">
        <v>70</v>
      </c>
      <c r="U24" s="6" t="s">
        <v>71</v>
      </c>
      <c r="V24" s="6" t="s">
        <v>73</v>
      </c>
      <c r="W24" s="9"/>
      <c r="X24" s="14" t="s">
        <v>34</v>
      </c>
      <c r="Y24" s="11" t="s">
        <v>16</v>
      </c>
      <c r="Z24" s="12" t="s">
        <v>17</v>
      </c>
      <c r="AB24" s="14" t="s">
        <v>34</v>
      </c>
      <c r="AC24" s="11" t="s">
        <v>29</v>
      </c>
      <c r="AD24" s="11" t="s">
        <v>30</v>
      </c>
      <c r="AE24" s="11" t="s">
        <v>31</v>
      </c>
      <c r="AF24" s="11" t="s">
        <v>71</v>
      </c>
      <c r="AG24" s="11" t="s">
        <v>33</v>
      </c>
      <c r="AH24" s="11" t="s">
        <v>51</v>
      </c>
      <c r="AI24" s="11" t="s">
        <v>43</v>
      </c>
      <c r="AJ24" s="11" t="s">
        <v>44</v>
      </c>
      <c r="AK24" s="11" t="s">
        <v>45</v>
      </c>
      <c r="AL24" s="11" t="s">
        <v>41</v>
      </c>
      <c r="AM24" s="11" t="s">
        <v>38</v>
      </c>
      <c r="AN24" s="12" t="s">
        <v>39</v>
      </c>
      <c r="AO24" s="56" t="s">
        <v>140</v>
      </c>
    </row>
    <row r="25" spans="1:41" x14ac:dyDescent="0.2">
      <c r="A25">
        <f>E2</f>
        <v>35</v>
      </c>
      <c r="B25">
        <f>VLOOKUP(A25,Table21[#All],2,FALSE)</f>
        <v>1.479466545E-3</v>
      </c>
      <c r="C25">
        <v>0.1</v>
      </c>
      <c r="D25">
        <v>0.1</v>
      </c>
      <c r="E25">
        <f>B25*(1-C25)*(1-D25)</f>
        <v>1.19836790145E-3</v>
      </c>
      <c r="F25">
        <f>1-E25</f>
        <v>0.99880163209855</v>
      </c>
      <c r="G25">
        <f>$E$5*(E25+F25*G26)</f>
        <v>2.1310645733942674E-2</v>
      </c>
      <c r="H25">
        <f>G25-PRODUCT(F25:F45)*H45*$E$5^(20)</f>
        <v>1.9907568726395444E-2</v>
      </c>
      <c r="J25">
        <f>E2</f>
        <v>35</v>
      </c>
      <c r="K25">
        <f>E25</f>
        <v>1.19836790145E-3</v>
      </c>
      <c r="L25">
        <f>Lapses!B2</f>
        <v>9.8600000000000007E-3</v>
      </c>
      <c r="M25">
        <f>1-K25-L25</f>
        <v>0.98894163209855002</v>
      </c>
      <c r="N25">
        <f>1</f>
        <v>1</v>
      </c>
      <c r="P25">
        <v>1</v>
      </c>
      <c r="Q25">
        <f>$E$10</f>
        <v>10901.300299441413</v>
      </c>
      <c r="R25">
        <f>$E$3</f>
        <v>3470</v>
      </c>
      <c r="S25">
        <f>VLOOKUP(A25,'Death Benefits'!$A$1:$E$98,2,FALSE)</f>
        <v>590659.34069999994</v>
      </c>
      <c r="T25">
        <f>L25</f>
        <v>9.8600000000000007E-3</v>
      </c>
      <c r="U25">
        <v>0</v>
      </c>
      <c r="V25">
        <f>ABS(MIN(AI26-V26*M26,0))*$E$5</f>
        <v>0</v>
      </c>
      <c r="X25">
        <v>1</v>
      </c>
      <c r="Y25">
        <f>V25</f>
        <v>0</v>
      </c>
      <c r="Z25">
        <f>$E$6*S25*M25</f>
        <v>5841.2761240611144</v>
      </c>
      <c r="AB25">
        <v>1</v>
      </c>
      <c r="AC25">
        <f>Q25</f>
        <v>10901.300299441413</v>
      </c>
      <c r="AD25">
        <f>-R25</f>
        <v>-3470</v>
      </c>
      <c r="AE25">
        <f>-S25*K25</f>
        <v>-707.82719458649956</v>
      </c>
      <c r="AF25">
        <f>-U25</f>
        <v>0</v>
      </c>
      <c r="AG25">
        <f>SUM(AC25:AD25)*$E$4</f>
        <v>450.31450424525127</v>
      </c>
      <c r="AH25">
        <f>-Z25</f>
        <v>-5841.2761240611144</v>
      </c>
      <c r="AI25">
        <f>SUM(AC25:AH25)</f>
        <v>1332.5114850390501</v>
      </c>
      <c r="AJ25">
        <f>-Y25*M25</f>
        <v>0</v>
      </c>
      <c r="AK25">
        <f>SUM(AI25:AJ25)</f>
        <v>1332.5114850390501</v>
      </c>
      <c r="AL25">
        <f>$E$5^AB25</f>
        <v>0.94286519761983112</v>
      </c>
      <c r="AM25">
        <f>AK25*AL25*N25</f>
        <v>1256.3787046720386</v>
      </c>
      <c r="AN25">
        <f>E10</f>
        <v>10901.300299441413</v>
      </c>
      <c r="AO25">
        <f>AN25*0.85</f>
        <v>9266.1052545252005</v>
      </c>
    </row>
    <row r="26" spans="1:41" x14ac:dyDescent="0.2">
      <c r="A26">
        <f>A25+1</f>
        <v>36</v>
      </c>
      <c r="B26">
        <f>VLOOKUP(A26,Table21[#All],2,FALSE)</f>
        <v>1.366673245E-3</v>
      </c>
      <c r="C26">
        <f>C25</f>
        <v>0.1</v>
      </c>
      <c r="D26">
        <f>D25</f>
        <v>0.1</v>
      </c>
      <c r="E26">
        <f t="shared" ref="E26:E45" si="0">B26*(1-C26)*(1-D26)</f>
        <v>1.1070053284499999E-3</v>
      </c>
      <c r="F26">
        <f t="shared" ref="F26:F45" si="1">1-E26</f>
        <v>0.99889299467155002</v>
      </c>
      <c r="G26">
        <f t="shared" ref="G26:G45" si="2">$E$5*(E26+F26*G27)</f>
        <v>2.142931924035997E-2</v>
      </c>
      <c r="H26">
        <f t="shared" ref="H26:H44" si="3">G26-PRODUCT(F26:F46)*H46*$E$5^(20)</f>
        <v>2.142931924035997E-2</v>
      </c>
      <c r="J26">
        <f>J25+1</f>
        <v>36</v>
      </c>
      <c r="K26">
        <f t="shared" ref="K26:K45" si="4">E26</f>
        <v>1.1070053284499999E-3</v>
      </c>
      <c r="L26">
        <f>Lapses!B3</f>
        <v>9.92E-3</v>
      </c>
      <c r="M26">
        <f t="shared" ref="M26:M45" si="5">1-K26-L26</f>
        <v>0.98897299467154998</v>
      </c>
      <c r="N26">
        <f>M25*N25</f>
        <v>0.98894163209855002</v>
      </c>
      <c r="P26">
        <v>2</v>
      </c>
      <c r="Q26">
        <f t="shared" ref="Q26:Q45" si="6">$E$10</f>
        <v>10901.300299441413</v>
      </c>
      <c r="R26">
        <f>$E$11</f>
        <v>300</v>
      </c>
      <c r="S26">
        <f>VLOOKUP(A26,'Death Benefits'!$A$1:$E$98,2,FALSE)</f>
        <v>668927.78989999997</v>
      </c>
      <c r="T26">
        <f t="shared" ref="T26:T45" si="7">L26</f>
        <v>9.92E-3</v>
      </c>
      <c r="U26">
        <v>0</v>
      </c>
      <c r="V26">
        <f t="shared" ref="V26:V43" si="8">ABS(MIN(AI27-V27*M27,0))*$E$5</f>
        <v>0</v>
      </c>
      <c r="X26">
        <v>2</v>
      </c>
      <c r="Y26">
        <f t="shared" ref="Y26:Y45" si="9">V26</f>
        <v>0</v>
      </c>
      <c r="Z26">
        <f t="shared" ref="Z26:Z45" si="10">$E$6*S26*M26</f>
        <v>6615.5151959642435</v>
      </c>
      <c r="AB26">
        <v>2</v>
      </c>
      <c r="AC26">
        <f t="shared" ref="AC26:AC45" si="11">Q26</f>
        <v>10901.300299441413</v>
      </c>
      <c r="AD26">
        <f t="shared" ref="AD26:AD45" si="12">-R26</f>
        <v>-300</v>
      </c>
      <c r="AE26">
        <f t="shared" ref="AE26:AE45" si="13">-S26*K26</f>
        <v>-740.50662776758202</v>
      </c>
      <c r="AF26">
        <f t="shared" ref="AF26:AF45" si="14">-U26</f>
        <v>0</v>
      </c>
      <c r="AG26">
        <f t="shared" ref="AG26:AG45" si="15">SUM(AC26:AD26)*$E$4</f>
        <v>642.40699424525133</v>
      </c>
      <c r="AH26">
        <f t="shared" ref="AH26:AH45" si="16">-Z26</f>
        <v>-6615.5151959642435</v>
      </c>
      <c r="AI26">
        <f t="shared" ref="AI26:AI45" si="17">SUM(AC26:AH26)</f>
        <v>3887.6854699548394</v>
      </c>
      <c r="AJ26">
        <f t="shared" ref="AJ26:AJ45" si="18">-Y26*M26</f>
        <v>0</v>
      </c>
      <c r="AK26">
        <f t="shared" ref="AK26:AK45" si="19">SUM(AI26:AJ26)</f>
        <v>3887.6854699548394</v>
      </c>
      <c r="AL26">
        <f t="shared" ref="AL26:AL45" si="20">$E$5^AB26</f>
        <v>0.88899478088268324</v>
      </c>
      <c r="AM26">
        <f t="shared" ref="AM26:AM45" si="21">AK26*AL26*N26</f>
        <v>3417.912912308384</v>
      </c>
      <c r="AN26">
        <f>$E$10*AL25*N26</f>
        <v>10164.79370592789</v>
      </c>
      <c r="AO26">
        <f t="shared" ref="AO26:AO45" si="22">AN26*0.85</f>
        <v>8640.0746500387067</v>
      </c>
    </row>
    <row r="27" spans="1:41" x14ac:dyDescent="0.2">
      <c r="A27">
        <f t="shared" ref="A27:A45" si="23">A26+1</f>
        <v>37</v>
      </c>
      <c r="B27">
        <f>VLOOKUP(A27,Table21[#All],2,FALSE)</f>
        <v>1.2708253379999999E-3</v>
      </c>
      <c r="C27">
        <f t="shared" ref="C27:C45" si="24">C26</f>
        <v>0.1</v>
      </c>
      <c r="D27">
        <f t="shared" ref="D27:D45" si="25">D26</f>
        <v>0.1</v>
      </c>
      <c r="E27">
        <f t="shared" si="0"/>
        <v>1.02936852378E-3</v>
      </c>
      <c r="F27">
        <f t="shared" si="1"/>
        <v>0.99897063147622001</v>
      </c>
      <c r="G27">
        <f t="shared" si="2"/>
        <v>2.1644827309082595E-2</v>
      </c>
      <c r="H27">
        <f t="shared" si="3"/>
        <v>2.1644827309082595E-2</v>
      </c>
      <c r="J27">
        <f t="shared" ref="J27:J45" si="26">J26+1</f>
        <v>37</v>
      </c>
      <c r="K27">
        <f t="shared" si="4"/>
        <v>1.02936852378E-3</v>
      </c>
      <c r="L27">
        <f>Lapses!B4</f>
        <v>9.9399999999999992E-3</v>
      </c>
      <c r="M27">
        <f t="shared" si="5"/>
        <v>0.98903063147622006</v>
      </c>
      <c r="N27">
        <f t="shared" ref="N27:N45" si="27">M26*N26</f>
        <v>0.97803656745187328</v>
      </c>
      <c r="P27">
        <v>3</v>
      </c>
      <c r="Q27">
        <f t="shared" si="6"/>
        <v>10901.300299441413</v>
      </c>
      <c r="R27">
        <f t="shared" ref="R27:R45" si="28">$E$11</f>
        <v>300</v>
      </c>
      <c r="S27">
        <f>VLOOKUP(A27,'Death Benefits'!$A$1:$E$98,2,FALSE)</f>
        <v>477205.8824</v>
      </c>
      <c r="T27">
        <f t="shared" si="7"/>
        <v>9.9399999999999992E-3</v>
      </c>
      <c r="U27">
        <v>0</v>
      </c>
      <c r="V27">
        <f t="shared" si="8"/>
        <v>0</v>
      </c>
      <c r="X27">
        <v>3</v>
      </c>
      <c r="Y27">
        <f t="shared" si="9"/>
        <v>0</v>
      </c>
      <c r="Z27">
        <f t="shared" si="10"/>
        <v>4719.7123521423882</v>
      </c>
      <c r="AB27">
        <v>3</v>
      </c>
      <c r="AC27">
        <f t="shared" si="11"/>
        <v>10901.300299441413</v>
      </c>
      <c r="AD27">
        <f t="shared" si="12"/>
        <v>-300</v>
      </c>
      <c r="AE27">
        <f t="shared" si="13"/>
        <v>-491.22071470522025</v>
      </c>
      <c r="AF27">
        <f t="shared" si="14"/>
        <v>0</v>
      </c>
      <c r="AG27">
        <f t="shared" si="15"/>
        <v>642.40699424525133</v>
      </c>
      <c r="AH27">
        <f t="shared" si="16"/>
        <v>-4719.7123521423882</v>
      </c>
      <c r="AI27">
        <f t="shared" si="17"/>
        <v>6032.7742268390566</v>
      </c>
      <c r="AJ27">
        <f t="shared" si="18"/>
        <v>0</v>
      </c>
      <c r="AK27">
        <f t="shared" si="19"/>
        <v>6032.7742268390566</v>
      </c>
      <c r="AL27">
        <f t="shared" si="20"/>
        <v>0.83820223975994956</v>
      </c>
      <c r="AM27">
        <f t="shared" si="21"/>
        <v>4945.6227118673205</v>
      </c>
      <c r="AN27">
        <f t="shared" ref="AN27:AN45" si="29">$E$10*AL26*N27</f>
        <v>9478.3470739310324</v>
      </c>
      <c r="AO27">
        <f t="shared" si="22"/>
        <v>8056.595012841377</v>
      </c>
    </row>
    <row r="28" spans="1:41" x14ac:dyDescent="0.2">
      <c r="A28">
        <f t="shared" si="23"/>
        <v>38</v>
      </c>
      <c r="B28">
        <f>VLOOKUP(A28,Table21[#All],2,FALSE)</f>
        <v>1.203094013E-3</v>
      </c>
      <c r="C28">
        <f t="shared" si="24"/>
        <v>0.1</v>
      </c>
      <c r="D28">
        <f t="shared" si="25"/>
        <v>0.1</v>
      </c>
      <c r="E28">
        <f t="shared" si="0"/>
        <v>9.7450615053000002E-4</v>
      </c>
      <c r="F28">
        <f t="shared" si="1"/>
        <v>0.99902549384947004</v>
      </c>
      <c r="G28">
        <f t="shared" si="2"/>
        <v>2.1949664679679858E-2</v>
      </c>
      <c r="H28">
        <f t="shared" si="3"/>
        <v>2.1949664679679858E-2</v>
      </c>
      <c r="J28">
        <f t="shared" si="26"/>
        <v>38</v>
      </c>
      <c r="K28">
        <f t="shared" si="4"/>
        <v>9.7450615053000002E-4</v>
      </c>
      <c r="L28">
        <f>Lapses!B5</f>
        <v>1.0019999999999999E-2</v>
      </c>
      <c r="M28">
        <f t="shared" si="5"/>
        <v>0.98900549384947001</v>
      </c>
      <c r="N28">
        <f t="shared" si="27"/>
        <v>0.96730812391376098</v>
      </c>
      <c r="P28">
        <v>4</v>
      </c>
      <c r="Q28">
        <f t="shared" si="6"/>
        <v>10901.300299441413</v>
      </c>
      <c r="R28">
        <f t="shared" si="28"/>
        <v>300</v>
      </c>
      <c r="S28">
        <f>VLOOKUP(A28,'Death Benefits'!$A$1:$E$98,2,FALSE)</f>
        <v>640599.17359999998</v>
      </c>
      <c r="T28">
        <f t="shared" si="7"/>
        <v>1.0019999999999999E-2</v>
      </c>
      <c r="U28">
        <v>0</v>
      </c>
      <c r="V28">
        <f t="shared" si="8"/>
        <v>0</v>
      </c>
      <c r="X28">
        <v>4</v>
      </c>
      <c r="Y28">
        <f t="shared" si="9"/>
        <v>0</v>
      </c>
      <c r="Z28">
        <f t="shared" si="10"/>
        <v>6335.5610204583036</v>
      </c>
      <c r="AB28">
        <v>4</v>
      </c>
      <c r="AC28">
        <f t="shared" si="11"/>
        <v>10901.300299441413</v>
      </c>
      <c r="AD28">
        <f t="shared" si="12"/>
        <v>-300</v>
      </c>
      <c r="AE28">
        <f t="shared" si="13"/>
        <v>-624.26783469763518</v>
      </c>
      <c r="AF28">
        <f t="shared" si="14"/>
        <v>0</v>
      </c>
      <c r="AG28">
        <f t="shared" si="15"/>
        <v>642.40699424525133</v>
      </c>
      <c r="AH28">
        <f t="shared" si="16"/>
        <v>-6335.5610204583036</v>
      </c>
      <c r="AI28">
        <f t="shared" si="17"/>
        <v>4283.8784385307254</v>
      </c>
      <c r="AJ28">
        <f t="shared" si="18"/>
        <v>0</v>
      </c>
      <c r="AK28">
        <f t="shared" si="19"/>
        <v>4283.8784385307254</v>
      </c>
      <c r="AL28">
        <f t="shared" si="20"/>
        <v>0.79031172043664999</v>
      </c>
      <c r="AM28">
        <f t="shared" si="21"/>
        <v>3274.9177448318237</v>
      </c>
      <c r="AN28">
        <f t="shared" si="29"/>
        <v>8838.7724950012016</v>
      </c>
      <c r="AO28">
        <f t="shared" si="22"/>
        <v>7512.9566207510215</v>
      </c>
    </row>
    <row r="29" spans="1:41" x14ac:dyDescent="0.2">
      <c r="A29">
        <f t="shared" si="23"/>
        <v>39</v>
      </c>
      <c r="B29">
        <f>VLOOKUP(A29,Table21[#All],2,FALSE)</f>
        <v>1.1746504580000001E-3</v>
      </c>
      <c r="C29">
        <f t="shared" si="24"/>
        <v>0.1</v>
      </c>
      <c r="D29">
        <f t="shared" si="25"/>
        <v>0.1</v>
      </c>
      <c r="E29">
        <f t="shared" si="0"/>
        <v>9.5146687098000002E-4</v>
      </c>
      <c r="F29">
        <f t="shared" si="1"/>
        <v>0.99904853312901998</v>
      </c>
      <c r="G29">
        <f t="shared" si="2"/>
        <v>2.2327000158721976E-2</v>
      </c>
      <c r="H29">
        <f t="shared" si="3"/>
        <v>2.1293625130621854E-2</v>
      </c>
      <c r="J29">
        <f t="shared" si="26"/>
        <v>39</v>
      </c>
      <c r="K29">
        <f t="shared" si="4"/>
        <v>9.5146687098000002E-4</v>
      </c>
      <c r="L29">
        <f>Lapses!B6</f>
        <v>9.8499999999999994E-3</v>
      </c>
      <c r="M29">
        <f t="shared" si="5"/>
        <v>0.98919853312901995</v>
      </c>
      <c r="N29">
        <f t="shared" si="27"/>
        <v>0.95667304879593351</v>
      </c>
      <c r="P29">
        <v>5</v>
      </c>
      <c r="Q29">
        <f t="shared" si="6"/>
        <v>10901.300299441413</v>
      </c>
      <c r="R29">
        <f t="shared" si="28"/>
        <v>300</v>
      </c>
      <c r="S29">
        <f>VLOOKUP(A29,'Death Benefits'!$A$1:$E$98,2,FALSE)</f>
        <v>652074.23580000002</v>
      </c>
      <c r="T29">
        <f t="shared" si="7"/>
        <v>9.8499999999999994E-3</v>
      </c>
      <c r="U29">
        <v>0</v>
      </c>
      <c r="V29">
        <f t="shared" si="8"/>
        <v>0</v>
      </c>
      <c r="X29">
        <v>5</v>
      </c>
      <c r="Y29">
        <f t="shared" si="9"/>
        <v>0</v>
      </c>
      <c r="Z29">
        <f t="shared" si="10"/>
        <v>6450.3087754458675</v>
      </c>
      <c r="AB29">
        <v>5</v>
      </c>
      <c r="AC29">
        <f t="shared" si="11"/>
        <v>10901.300299441413</v>
      </c>
      <c r="AD29">
        <f t="shared" si="12"/>
        <v>-300</v>
      </c>
      <c r="AE29">
        <f t="shared" si="13"/>
        <v>-620.42703278330077</v>
      </c>
      <c r="AF29">
        <f t="shared" si="14"/>
        <v>0</v>
      </c>
      <c r="AG29">
        <f t="shared" si="15"/>
        <v>642.40699424525133</v>
      </c>
      <c r="AH29">
        <f t="shared" si="16"/>
        <v>-6450.3087754458675</v>
      </c>
      <c r="AI29">
        <f t="shared" si="17"/>
        <v>4172.9714854574968</v>
      </c>
      <c r="AJ29">
        <f t="shared" si="18"/>
        <v>0</v>
      </c>
      <c r="AK29">
        <f t="shared" si="19"/>
        <v>4172.9714854574968</v>
      </c>
      <c r="AL29">
        <f t="shared" si="20"/>
        <v>0.74515741647077072</v>
      </c>
      <c r="AM29">
        <f t="shared" si="21"/>
        <v>2974.7946015910356</v>
      </c>
      <c r="AN29">
        <f t="shared" si="29"/>
        <v>8242.1452789719169</v>
      </c>
      <c r="AO29">
        <f t="shared" si="22"/>
        <v>7005.8234871261293</v>
      </c>
    </row>
    <row r="30" spans="1:41" x14ac:dyDescent="0.2">
      <c r="A30">
        <f t="shared" si="23"/>
        <v>40</v>
      </c>
      <c r="B30">
        <f>VLOOKUP(A30,Table21[#All],2,FALSE)</f>
        <v>1.196665863E-3</v>
      </c>
      <c r="C30">
        <f t="shared" si="24"/>
        <v>0.1</v>
      </c>
      <c r="D30">
        <f t="shared" si="25"/>
        <v>0.1</v>
      </c>
      <c r="E30">
        <f t="shared" si="0"/>
        <v>9.6929934903000007E-4</v>
      </c>
      <c r="F30">
        <f t="shared" si="1"/>
        <v>0.99903070065096999</v>
      </c>
      <c r="G30">
        <f t="shared" si="2"/>
        <v>2.2750128509947804E-2</v>
      </c>
      <c r="H30">
        <f t="shared" si="3"/>
        <v>1.8956940419601505E-2</v>
      </c>
      <c r="J30">
        <f t="shared" si="26"/>
        <v>40</v>
      </c>
      <c r="K30">
        <f t="shared" si="4"/>
        <v>9.6929934903000007E-4</v>
      </c>
      <c r="L30">
        <f>Lapses!B7</f>
        <v>9.7599999999999996E-3</v>
      </c>
      <c r="M30">
        <f t="shared" si="5"/>
        <v>0.98927070065097</v>
      </c>
      <c r="N30">
        <f t="shared" si="27"/>
        <v>0.94633957655300471</v>
      </c>
      <c r="P30">
        <v>6</v>
      </c>
      <c r="Q30">
        <f t="shared" si="6"/>
        <v>10901.300299441413</v>
      </c>
      <c r="R30">
        <f t="shared" si="28"/>
        <v>300</v>
      </c>
      <c r="S30">
        <f>VLOOKUP(A30,'Death Benefits'!$A$1:$E$98,2,FALSE)</f>
        <v>659737.4179</v>
      </c>
      <c r="T30">
        <f t="shared" si="7"/>
        <v>9.7599999999999996E-3</v>
      </c>
      <c r="U30">
        <v>0</v>
      </c>
      <c r="V30">
        <f t="shared" si="8"/>
        <v>0</v>
      </c>
      <c r="X30">
        <v>6</v>
      </c>
      <c r="Y30">
        <f t="shared" si="9"/>
        <v>0</v>
      </c>
      <c r="Z30">
        <f t="shared" si="10"/>
        <v>6526.5889765159482</v>
      </c>
      <c r="AB30">
        <v>6</v>
      </c>
      <c r="AC30">
        <f t="shared" si="11"/>
        <v>10901.300299441413</v>
      </c>
      <c r="AD30">
        <f t="shared" si="12"/>
        <v>-300</v>
      </c>
      <c r="AE30">
        <f t="shared" si="13"/>
        <v>-639.48304970120307</v>
      </c>
      <c r="AF30">
        <f t="shared" si="14"/>
        <v>0</v>
      </c>
      <c r="AG30">
        <f t="shared" si="15"/>
        <v>642.40699424525133</v>
      </c>
      <c r="AH30">
        <f t="shared" si="16"/>
        <v>-6526.5889765159482</v>
      </c>
      <c r="AI30">
        <f t="shared" si="17"/>
        <v>4077.6352674695136</v>
      </c>
      <c r="AJ30">
        <f t="shared" si="18"/>
        <v>0</v>
      </c>
      <c r="AK30">
        <f t="shared" si="19"/>
        <v>4077.6352674695136</v>
      </c>
      <c r="AL30">
        <f t="shared" si="20"/>
        <v>0.70258299473859609</v>
      </c>
      <c r="AM30">
        <f t="shared" si="21"/>
        <v>2711.1466741198096</v>
      </c>
      <c r="AN30">
        <f t="shared" si="29"/>
        <v>7687.2912329520987</v>
      </c>
      <c r="AO30">
        <f t="shared" si="22"/>
        <v>6534.1975480092833</v>
      </c>
    </row>
    <row r="31" spans="1:41" x14ac:dyDescent="0.2">
      <c r="A31">
        <f t="shared" si="23"/>
        <v>41</v>
      </c>
      <c r="B31">
        <f>VLOOKUP(A31,Table21[#All],2,FALSE)</f>
        <v>1.277665773E-3</v>
      </c>
      <c r="C31">
        <f t="shared" si="24"/>
        <v>0.1</v>
      </c>
      <c r="D31">
        <f t="shared" si="25"/>
        <v>0.1</v>
      </c>
      <c r="E31">
        <f t="shared" si="0"/>
        <v>1.03490927613E-3</v>
      </c>
      <c r="F31">
        <f t="shared" si="1"/>
        <v>0.99896509072386996</v>
      </c>
      <c r="G31">
        <f t="shared" si="2"/>
        <v>2.3181888888043577E-2</v>
      </c>
      <c r="H31">
        <f t="shared" si="3"/>
        <v>2.5012552247182161E-2</v>
      </c>
      <c r="J31">
        <f t="shared" si="26"/>
        <v>41</v>
      </c>
      <c r="K31">
        <f t="shared" si="4"/>
        <v>1.03490927613E-3</v>
      </c>
      <c r="L31">
        <f>Lapses!B8</f>
        <v>1.026E-2</v>
      </c>
      <c r="M31">
        <f t="shared" si="5"/>
        <v>0.98870509072386992</v>
      </c>
      <c r="N31">
        <f t="shared" si="27"/>
        <v>0.93618601595033324</v>
      </c>
      <c r="P31">
        <v>7</v>
      </c>
      <c r="Q31">
        <f t="shared" si="6"/>
        <v>10901.300299441413</v>
      </c>
      <c r="R31">
        <f t="shared" si="28"/>
        <v>300</v>
      </c>
      <c r="S31">
        <f>VLOOKUP(A31,'Death Benefits'!$A$1:$E$98,2,FALSE)</f>
        <v>639956.33189999999</v>
      </c>
      <c r="T31">
        <f t="shared" si="7"/>
        <v>1.026E-2</v>
      </c>
      <c r="U31">
        <v>0</v>
      </c>
      <c r="V31">
        <f t="shared" si="8"/>
        <v>0</v>
      </c>
      <c r="X31">
        <v>7</v>
      </c>
      <c r="Y31">
        <f t="shared" si="9"/>
        <v>0</v>
      </c>
      <c r="Z31">
        <f t="shared" si="10"/>
        <v>6327.2808319050446</v>
      </c>
      <c r="AB31">
        <v>7</v>
      </c>
      <c r="AC31">
        <f t="shared" si="11"/>
        <v>10901.300299441413</v>
      </c>
      <c r="AD31">
        <f t="shared" si="12"/>
        <v>-300</v>
      </c>
      <c r="AE31">
        <f t="shared" si="13"/>
        <v>-662.29674420143908</v>
      </c>
      <c r="AF31">
        <f t="shared" si="14"/>
        <v>0</v>
      </c>
      <c r="AG31">
        <f t="shared" si="15"/>
        <v>642.40699424525133</v>
      </c>
      <c r="AH31">
        <f t="shared" si="16"/>
        <v>-6327.2808319050446</v>
      </c>
      <c r="AI31">
        <f t="shared" si="17"/>
        <v>4254.1297175801801</v>
      </c>
      <c r="AJ31">
        <f t="shared" si="18"/>
        <v>0</v>
      </c>
      <c r="AK31">
        <f t="shared" si="19"/>
        <v>4254.1297175801801</v>
      </c>
      <c r="AL31">
        <f t="shared" si="20"/>
        <v>0.66244105417853916</v>
      </c>
      <c r="AM31">
        <f t="shared" si="21"/>
        <v>2638.2753369858929</v>
      </c>
      <c r="AN31">
        <f t="shared" si="29"/>
        <v>7170.3125542789421</v>
      </c>
      <c r="AO31">
        <f t="shared" si="22"/>
        <v>6094.765671137101</v>
      </c>
    </row>
    <row r="32" spans="1:41" x14ac:dyDescent="0.2">
      <c r="A32">
        <f t="shared" si="23"/>
        <v>42</v>
      </c>
      <c r="B32">
        <f>VLOOKUP(A32,Table21[#All],2,FALSE)</f>
        <v>1.4155931679999999E-3</v>
      </c>
      <c r="C32">
        <f t="shared" si="24"/>
        <v>0.1</v>
      </c>
      <c r="D32">
        <f t="shared" si="25"/>
        <v>0.1</v>
      </c>
      <c r="E32">
        <f t="shared" si="0"/>
        <v>1.1466304660799999E-3</v>
      </c>
      <c r="F32">
        <f t="shared" si="1"/>
        <v>0.99885336953392001</v>
      </c>
      <c r="G32">
        <f t="shared" si="2"/>
        <v>2.3576131690243848E-2</v>
      </c>
      <c r="H32">
        <f t="shared" si="3"/>
        <v>2.2681851090615081E-2</v>
      </c>
      <c r="J32">
        <f t="shared" si="26"/>
        <v>42</v>
      </c>
      <c r="K32">
        <f t="shared" si="4"/>
        <v>1.1466304660799999E-3</v>
      </c>
      <c r="L32">
        <f>Lapses!B9</f>
        <v>9.9500000000000005E-3</v>
      </c>
      <c r="M32">
        <f t="shared" si="5"/>
        <v>0.98890336953392</v>
      </c>
      <c r="N32">
        <f t="shared" si="27"/>
        <v>0.92561187983459259</v>
      </c>
      <c r="P32">
        <v>8</v>
      </c>
      <c r="Q32">
        <f t="shared" si="6"/>
        <v>10901.300299441413</v>
      </c>
      <c r="R32">
        <f t="shared" si="28"/>
        <v>300</v>
      </c>
      <c r="S32">
        <f>VLOOKUP(A32,'Death Benefits'!$A$1:$E$98,2,FALSE)</f>
        <v>639277.65240000002</v>
      </c>
      <c r="T32">
        <f t="shared" si="7"/>
        <v>9.9500000000000005E-3</v>
      </c>
      <c r="U32">
        <v>0</v>
      </c>
      <c r="V32">
        <f t="shared" si="8"/>
        <v>0</v>
      </c>
      <c r="X32">
        <v>8</v>
      </c>
      <c r="Y32">
        <f t="shared" si="9"/>
        <v>0</v>
      </c>
      <c r="Z32">
        <f t="shared" si="10"/>
        <v>6321.8382452609412</v>
      </c>
      <c r="AB32">
        <v>8</v>
      </c>
      <c r="AC32">
        <f t="shared" si="11"/>
        <v>10901.300299441413</v>
      </c>
      <c r="AD32">
        <f t="shared" si="12"/>
        <v>-300</v>
      </c>
      <c r="AE32">
        <f t="shared" si="13"/>
        <v>-733.01523252594018</v>
      </c>
      <c r="AF32">
        <f t="shared" si="14"/>
        <v>0</v>
      </c>
      <c r="AG32">
        <f t="shared" si="15"/>
        <v>642.40699424525133</v>
      </c>
      <c r="AH32">
        <f t="shared" si="16"/>
        <v>-6321.8382452609412</v>
      </c>
      <c r="AI32">
        <f t="shared" si="17"/>
        <v>4188.8538158997826</v>
      </c>
      <c r="AJ32">
        <f t="shared" si="18"/>
        <v>0</v>
      </c>
      <c r="AK32">
        <f t="shared" si="19"/>
        <v>4188.8538158997826</v>
      </c>
      <c r="AL32">
        <f t="shared" si="20"/>
        <v>0.62459261545953759</v>
      </c>
      <c r="AM32">
        <f t="shared" si="21"/>
        <v>2421.7035014320204</v>
      </c>
      <c r="AN32">
        <f t="shared" si="29"/>
        <v>6684.2773687808512</v>
      </c>
      <c r="AO32">
        <f t="shared" si="22"/>
        <v>5681.6357634637234</v>
      </c>
    </row>
    <row r="33" spans="1:41" x14ac:dyDescent="0.2">
      <c r="A33">
        <f t="shared" si="23"/>
        <v>43</v>
      </c>
      <c r="B33">
        <f>VLOOKUP(A33,Table21[#All],2,FALSE)</f>
        <v>1.605745384E-3</v>
      </c>
      <c r="C33">
        <f t="shared" si="24"/>
        <v>0.1</v>
      </c>
      <c r="D33">
        <f t="shared" si="25"/>
        <v>0.1</v>
      </c>
      <c r="E33">
        <f t="shared" si="0"/>
        <v>1.30065376104E-3</v>
      </c>
      <c r="F33">
        <f t="shared" si="1"/>
        <v>0.99869934623895995</v>
      </c>
      <c r="G33">
        <f t="shared" si="2"/>
        <v>2.3885531954835493E-2</v>
      </c>
      <c r="H33">
        <f t="shared" si="3"/>
        <v>2.4327669995011316E-2</v>
      </c>
      <c r="J33">
        <f t="shared" si="26"/>
        <v>43</v>
      </c>
      <c r="K33">
        <f t="shared" si="4"/>
        <v>1.30065376104E-3</v>
      </c>
      <c r="L33">
        <f>Lapses!B10</f>
        <v>0.01</v>
      </c>
      <c r="M33">
        <f t="shared" si="5"/>
        <v>0.98869934623895994</v>
      </c>
      <c r="N33">
        <f t="shared" si="27"/>
        <v>0.91534070684905444</v>
      </c>
      <c r="P33">
        <v>9</v>
      </c>
      <c r="Q33">
        <f t="shared" si="6"/>
        <v>10901.300299441413</v>
      </c>
      <c r="R33">
        <f t="shared" si="28"/>
        <v>300</v>
      </c>
      <c r="S33">
        <f>VLOOKUP(A33,'Death Benefits'!$A$1:$E$98,2,FALSE)</f>
        <v>629254.30209999997</v>
      </c>
      <c r="T33">
        <f t="shared" si="7"/>
        <v>0.01</v>
      </c>
      <c r="U33">
        <v>0</v>
      </c>
      <c r="V33">
        <f t="shared" si="8"/>
        <v>0</v>
      </c>
      <c r="X33">
        <v>9</v>
      </c>
      <c r="Y33">
        <f t="shared" si="9"/>
        <v>0</v>
      </c>
      <c r="Z33">
        <f t="shared" si="10"/>
        <v>6221.4331710432298</v>
      </c>
      <c r="AB33">
        <v>9</v>
      </c>
      <c r="AC33">
        <f t="shared" si="11"/>
        <v>10901.300299441413</v>
      </c>
      <c r="AD33">
        <f t="shared" si="12"/>
        <v>-300</v>
      </c>
      <c r="AE33">
        <f t="shared" si="13"/>
        <v>-818.4419746769654</v>
      </c>
      <c r="AF33">
        <f t="shared" si="14"/>
        <v>0</v>
      </c>
      <c r="AG33">
        <f t="shared" si="15"/>
        <v>642.40699424525133</v>
      </c>
      <c r="AH33">
        <f t="shared" si="16"/>
        <v>-6221.4331710432298</v>
      </c>
      <c r="AI33">
        <f t="shared" si="17"/>
        <v>4203.8321479664692</v>
      </c>
      <c r="AJ33">
        <f t="shared" si="18"/>
        <v>0</v>
      </c>
      <c r="AK33">
        <f t="shared" si="19"/>
        <v>4203.8321479664692</v>
      </c>
      <c r="AL33">
        <f t="shared" si="20"/>
        <v>0.58890663980714408</v>
      </c>
      <c r="AM33">
        <f t="shared" si="21"/>
        <v>2266.0766439907284</v>
      </c>
      <c r="AN33">
        <f t="shared" si="29"/>
        <v>6232.4374035441442</v>
      </c>
      <c r="AO33">
        <f t="shared" si="22"/>
        <v>5297.571793012522</v>
      </c>
    </row>
    <row r="34" spans="1:41" x14ac:dyDescent="0.2">
      <c r="A34">
        <f t="shared" si="23"/>
        <v>44</v>
      </c>
      <c r="B34">
        <f>VLOOKUP(A34,Table21[#All],2,FALSE)</f>
        <v>1.843419758E-3</v>
      </c>
      <c r="C34">
        <f t="shared" si="24"/>
        <v>0.1</v>
      </c>
      <c r="D34">
        <f t="shared" si="25"/>
        <v>0.1</v>
      </c>
      <c r="E34">
        <f t="shared" si="0"/>
        <v>1.49317000398E-3</v>
      </c>
      <c r="F34">
        <f t="shared" si="1"/>
        <v>0.99850682999602003</v>
      </c>
      <c r="G34">
        <f t="shared" si="2"/>
        <v>2.4063568144073292E-2</v>
      </c>
      <c r="H34">
        <f t="shared" si="3"/>
        <v>2.3842351357774915E-2</v>
      </c>
      <c r="J34">
        <f t="shared" si="26"/>
        <v>44</v>
      </c>
      <c r="K34">
        <f t="shared" si="4"/>
        <v>1.49317000398E-3</v>
      </c>
      <c r="L34">
        <f>Lapses!B11</f>
        <v>1.021E-2</v>
      </c>
      <c r="M34">
        <f t="shared" si="5"/>
        <v>0.98829682999601998</v>
      </c>
      <c r="N34">
        <f t="shared" si="27"/>
        <v>0.90499675844756766</v>
      </c>
      <c r="P34">
        <v>10</v>
      </c>
      <c r="Q34">
        <f t="shared" si="6"/>
        <v>10901.300299441413</v>
      </c>
      <c r="R34">
        <f t="shared" si="28"/>
        <v>300</v>
      </c>
      <c r="S34">
        <f>VLOOKUP(A34,'Death Benefits'!$A$1:$E$98,2,FALSE)</f>
        <v>637611.60710000002</v>
      </c>
      <c r="T34">
        <f t="shared" si="7"/>
        <v>1.021E-2</v>
      </c>
      <c r="U34">
        <v>0</v>
      </c>
      <c r="V34">
        <f t="shared" si="8"/>
        <v>0</v>
      </c>
      <c r="X34">
        <v>10</v>
      </c>
      <c r="Y34">
        <f t="shared" si="9"/>
        <v>0</v>
      </c>
      <c r="Z34">
        <f t="shared" si="10"/>
        <v>6301.4953006559781</v>
      </c>
      <c r="AB34">
        <v>10</v>
      </c>
      <c r="AC34">
        <f t="shared" si="11"/>
        <v>10901.300299441413</v>
      </c>
      <c r="AD34">
        <f t="shared" si="12"/>
        <v>-300</v>
      </c>
      <c r="AE34">
        <f t="shared" si="13"/>
        <v>-952.06252591120119</v>
      </c>
      <c r="AF34">
        <f t="shared" si="14"/>
        <v>0</v>
      </c>
      <c r="AG34">
        <f t="shared" si="15"/>
        <v>642.40699424525133</v>
      </c>
      <c r="AH34">
        <f t="shared" si="16"/>
        <v>-6301.4953006559781</v>
      </c>
      <c r="AI34">
        <f t="shared" si="17"/>
        <v>3990.1494671194841</v>
      </c>
      <c r="AJ34">
        <f t="shared" si="18"/>
        <v>0</v>
      </c>
      <c r="AK34">
        <f t="shared" si="19"/>
        <v>3990.1494671194841</v>
      </c>
      <c r="AL34">
        <f t="shared" si="20"/>
        <v>0.55525957532139369</v>
      </c>
      <c r="AM34">
        <f t="shared" si="21"/>
        <v>2005.0824903342893</v>
      </c>
      <c r="AN34">
        <f t="shared" si="29"/>
        <v>5809.9417463554364</v>
      </c>
      <c r="AO34">
        <f t="shared" si="22"/>
        <v>4938.4504844021212</v>
      </c>
    </row>
    <row r="35" spans="1:41" x14ac:dyDescent="0.2">
      <c r="A35">
        <f t="shared" si="23"/>
        <v>45</v>
      </c>
      <c r="B35">
        <f>VLOOKUP(A35,Table21[#All],2,FALSE)</f>
        <v>2.1239136289999999E-3</v>
      </c>
      <c r="C35">
        <f t="shared" si="24"/>
        <v>0.1</v>
      </c>
      <c r="D35">
        <f t="shared" si="25"/>
        <v>0.1</v>
      </c>
      <c r="E35">
        <f t="shared" si="0"/>
        <v>1.72037003949E-3</v>
      </c>
      <c r="F35">
        <f t="shared" si="1"/>
        <v>0.99827962996051001</v>
      </c>
      <c r="G35">
        <f t="shared" si="2"/>
        <v>2.4064510584284611E-2</v>
      </c>
      <c r="H35">
        <f t="shared" si="3"/>
        <v>2.4176508915363111E-2</v>
      </c>
      <c r="J35">
        <f t="shared" si="26"/>
        <v>45</v>
      </c>
      <c r="K35">
        <f t="shared" si="4"/>
        <v>1.72037003949E-3</v>
      </c>
      <c r="L35">
        <f>Lapses!B12</f>
        <v>9.9500000000000005E-3</v>
      </c>
      <c r="M35">
        <f t="shared" si="5"/>
        <v>0.98832962996050999</v>
      </c>
      <c r="N35">
        <f t="shared" si="27"/>
        <v>0.89440542753040497</v>
      </c>
      <c r="P35">
        <v>11</v>
      </c>
      <c r="Q35">
        <f t="shared" si="6"/>
        <v>10901.300299441413</v>
      </c>
      <c r="R35">
        <f t="shared" si="28"/>
        <v>300</v>
      </c>
      <c r="S35">
        <f>VLOOKUP(A35,'Death Benefits'!$A$1:$E$98,2,FALSE)</f>
        <v>713333.33330000006</v>
      </c>
      <c r="T35">
        <f t="shared" si="7"/>
        <v>9.9500000000000005E-3</v>
      </c>
      <c r="U35">
        <v>0</v>
      </c>
      <c r="V35">
        <f t="shared" si="8"/>
        <v>0</v>
      </c>
      <c r="X35">
        <v>11</v>
      </c>
      <c r="Y35">
        <f t="shared" si="9"/>
        <v>0</v>
      </c>
      <c r="Z35">
        <f t="shared" si="10"/>
        <v>7050.0846933888615</v>
      </c>
      <c r="AB35">
        <v>11</v>
      </c>
      <c r="AC35">
        <f t="shared" si="11"/>
        <v>10901.300299441413</v>
      </c>
      <c r="AD35">
        <f t="shared" si="12"/>
        <v>-300</v>
      </c>
      <c r="AE35">
        <f t="shared" si="13"/>
        <v>-1227.1972947788545</v>
      </c>
      <c r="AF35">
        <f t="shared" si="14"/>
        <v>0</v>
      </c>
      <c r="AG35">
        <f t="shared" si="15"/>
        <v>642.40699424525133</v>
      </c>
      <c r="AH35">
        <f t="shared" si="16"/>
        <v>-7050.0846933888615</v>
      </c>
      <c r="AI35">
        <f t="shared" si="17"/>
        <v>2966.4253055189483</v>
      </c>
      <c r="AJ35">
        <f t="shared" si="18"/>
        <v>0</v>
      </c>
      <c r="AK35">
        <f t="shared" si="19"/>
        <v>2966.4253055189483</v>
      </c>
      <c r="AL35">
        <f t="shared" si="20"/>
        <v>0.52353492921570932</v>
      </c>
      <c r="AM35">
        <f t="shared" si="21"/>
        <v>1389.0360125472305</v>
      </c>
      <c r="AN35">
        <f t="shared" si="29"/>
        <v>5413.8820026688927</v>
      </c>
      <c r="AO35">
        <f t="shared" si="22"/>
        <v>4601.7997022685586</v>
      </c>
    </row>
    <row r="36" spans="1:41" x14ac:dyDescent="0.2">
      <c r="A36">
        <f t="shared" si="23"/>
        <v>46</v>
      </c>
      <c r="B36">
        <f>VLOOKUP(A36,Table21[#All],2,FALSE)</f>
        <v>2.4425243330000001E-3</v>
      </c>
      <c r="C36">
        <f t="shared" si="24"/>
        <v>0.1</v>
      </c>
      <c r="D36">
        <f t="shared" si="25"/>
        <v>0.1</v>
      </c>
      <c r="E36">
        <f t="shared" si="0"/>
        <v>1.9784447097300002E-3</v>
      </c>
      <c r="F36">
        <f t="shared" si="1"/>
        <v>0.99802155529027003</v>
      </c>
      <c r="G36">
        <f t="shared" si="2"/>
        <v>2.3843397158782132E-2</v>
      </c>
      <c r="H36">
        <f t="shared" si="3"/>
        <v>2.3786025794246473E-2</v>
      </c>
      <c r="J36">
        <f t="shared" si="26"/>
        <v>46</v>
      </c>
      <c r="K36">
        <f t="shared" si="4"/>
        <v>1.9784447097300002E-3</v>
      </c>
      <c r="L36">
        <f>Lapses!B13</f>
        <v>0.01</v>
      </c>
      <c r="M36">
        <f t="shared" si="5"/>
        <v>0.98802155529027003</v>
      </c>
      <c r="N36">
        <f t="shared" si="27"/>
        <v>0.88396738522579688</v>
      </c>
      <c r="P36">
        <v>12</v>
      </c>
      <c r="Q36">
        <f t="shared" si="6"/>
        <v>10901.300299441413</v>
      </c>
      <c r="R36">
        <f t="shared" si="28"/>
        <v>300</v>
      </c>
      <c r="S36">
        <f>VLOOKUP(A36,'Death Benefits'!$A$1:$E$98,2,FALSE)</f>
        <v>691880.3419</v>
      </c>
      <c r="T36">
        <f t="shared" si="7"/>
        <v>0.01</v>
      </c>
      <c r="U36">
        <v>0</v>
      </c>
      <c r="V36">
        <f t="shared" si="8"/>
        <v>0</v>
      </c>
      <c r="X36">
        <v>12</v>
      </c>
      <c r="Y36">
        <f t="shared" si="9"/>
        <v>0</v>
      </c>
      <c r="Z36">
        <f t="shared" si="10"/>
        <v>6835.9269147880177</v>
      </c>
      <c r="AB36">
        <v>12</v>
      </c>
      <c r="AC36">
        <f t="shared" si="11"/>
        <v>10901.300299441413</v>
      </c>
      <c r="AD36">
        <f t="shared" si="12"/>
        <v>-300</v>
      </c>
      <c r="AE36">
        <f t="shared" si="13"/>
        <v>-1368.8470021982389</v>
      </c>
      <c r="AF36">
        <f t="shared" si="14"/>
        <v>0</v>
      </c>
      <c r="AG36">
        <f t="shared" si="15"/>
        <v>642.40699424525133</v>
      </c>
      <c r="AH36">
        <f t="shared" si="16"/>
        <v>-6835.9269147880177</v>
      </c>
      <c r="AI36">
        <f t="shared" si="17"/>
        <v>3038.9333767004073</v>
      </c>
      <c r="AJ36">
        <f t="shared" si="18"/>
        <v>0</v>
      </c>
      <c r="AK36">
        <f t="shared" si="19"/>
        <v>3038.9333767004073</v>
      </c>
      <c r="AL36">
        <f t="shared" si="20"/>
        <v>0.49362286449585413</v>
      </c>
      <c r="AM36">
        <f t="shared" si="21"/>
        <v>1326.0279816035811</v>
      </c>
      <c r="AN36">
        <f t="shared" si="29"/>
        <v>5044.9888094607195</v>
      </c>
      <c r="AO36">
        <f t="shared" si="22"/>
        <v>4288.2404880416116</v>
      </c>
    </row>
    <row r="37" spans="1:41" x14ac:dyDescent="0.2">
      <c r="A37">
        <f t="shared" si="23"/>
        <v>47</v>
      </c>
      <c r="B37">
        <f>VLOOKUP(A37,Table21[#All],2,FALSE)</f>
        <v>2.7945492059999999E-3</v>
      </c>
      <c r="C37">
        <f t="shared" si="24"/>
        <v>0.1</v>
      </c>
      <c r="D37">
        <f t="shared" si="25"/>
        <v>0.1</v>
      </c>
      <c r="E37">
        <f t="shared" si="0"/>
        <v>2.26358485686E-3</v>
      </c>
      <c r="F37">
        <f t="shared" si="1"/>
        <v>0.99773641514314004</v>
      </c>
      <c r="G37">
        <f t="shared" si="2"/>
        <v>2.3355999340017565E-2</v>
      </c>
      <c r="H37">
        <f t="shared" si="3"/>
        <v>2.3385731436058689E-2</v>
      </c>
      <c r="J37">
        <f t="shared" si="26"/>
        <v>47</v>
      </c>
      <c r="K37">
        <f t="shared" si="4"/>
        <v>2.26358485686E-3</v>
      </c>
      <c r="L37">
        <f>Lapses!B14</f>
        <v>9.8799999999999999E-3</v>
      </c>
      <c r="M37">
        <f t="shared" si="5"/>
        <v>0.98785641514314004</v>
      </c>
      <c r="N37">
        <f t="shared" si="27"/>
        <v>0.87337883077666512</v>
      </c>
      <c r="P37">
        <v>13</v>
      </c>
      <c r="Q37">
        <f t="shared" si="6"/>
        <v>10901.300299441413</v>
      </c>
      <c r="R37">
        <f t="shared" si="28"/>
        <v>300</v>
      </c>
      <c r="S37">
        <f>VLOOKUP(A37,'Death Benefits'!$A$1:$E$98,2,FALSE)</f>
        <v>642217.89879999997</v>
      </c>
      <c r="T37">
        <f t="shared" si="7"/>
        <v>9.8799999999999999E-3</v>
      </c>
      <c r="U37">
        <v>0</v>
      </c>
      <c r="V37">
        <f t="shared" si="8"/>
        <v>0</v>
      </c>
      <c r="X37">
        <v>13</v>
      </c>
      <c r="Y37">
        <f t="shared" si="9"/>
        <v>0</v>
      </c>
      <c r="Z37">
        <f t="shared" si="10"/>
        <v>6344.1907124932786</v>
      </c>
      <c r="AB37">
        <v>13</v>
      </c>
      <c r="AC37">
        <f t="shared" si="11"/>
        <v>10901.300299441413</v>
      </c>
      <c r="AD37">
        <f t="shared" si="12"/>
        <v>-300</v>
      </c>
      <c r="AE37">
        <f t="shared" si="13"/>
        <v>-1453.7147105281279</v>
      </c>
      <c r="AF37">
        <f t="shared" si="14"/>
        <v>0</v>
      </c>
      <c r="AG37">
        <f t="shared" si="15"/>
        <v>642.40699424525133</v>
      </c>
      <c r="AH37">
        <f t="shared" si="16"/>
        <v>-6344.1907124932786</v>
      </c>
      <c r="AI37">
        <f t="shared" si="17"/>
        <v>3445.8018706652583</v>
      </c>
      <c r="AJ37">
        <f t="shared" si="18"/>
        <v>0</v>
      </c>
      <c r="AK37">
        <f t="shared" si="19"/>
        <v>3445.8018706652583</v>
      </c>
      <c r="AL37">
        <f t="shared" si="20"/>
        <v>0.46541981968255058</v>
      </c>
      <c r="AM37">
        <f t="shared" si="21"/>
        <v>1400.676483441795</v>
      </c>
      <c r="AN37">
        <f t="shared" si="29"/>
        <v>4699.7659713778075</v>
      </c>
      <c r="AO37">
        <f t="shared" si="22"/>
        <v>3994.8010756711365</v>
      </c>
    </row>
    <row r="38" spans="1:41" x14ac:dyDescent="0.2">
      <c r="A38">
        <f t="shared" si="23"/>
        <v>48</v>
      </c>
      <c r="B38">
        <f>VLOOKUP(A38,Table21[#All],2,FALSE)</f>
        <v>3.1752855870000002E-3</v>
      </c>
      <c r="C38">
        <f t="shared" si="24"/>
        <v>0.1</v>
      </c>
      <c r="D38">
        <f t="shared" si="25"/>
        <v>0.1</v>
      </c>
      <c r="E38">
        <f t="shared" si="0"/>
        <v>2.5719813254700004E-3</v>
      </c>
      <c r="F38">
        <f t="shared" si="1"/>
        <v>0.99742801867453001</v>
      </c>
      <c r="G38">
        <f t="shared" si="2"/>
        <v>2.2558781691791357E-2</v>
      </c>
      <c r="H38">
        <f t="shared" si="3"/>
        <v>2.2543194826040683E-2</v>
      </c>
      <c r="J38">
        <f t="shared" si="26"/>
        <v>48</v>
      </c>
      <c r="K38">
        <f t="shared" si="4"/>
        <v>2.5719813254700004E-3</v>
      </c>
      <c r="L38">
        <f>Lapses!B15</f>
        <v>9.9699999999999997E-3</v>
      </c>
      <c r="M38">
        <f t="shared" si="5"/>
        <v>0.98745801867452998</v>
      </c>
      <c r="N38">
        <f t="shared" si="27"/>
        <v>0.86277288083294357</v>
      </c>
      <c r="P38">
        <v>14</v>
      </c>
      <c r="Q38">
        <f t="shared" si="6"/>
        <v>10901.300299441413</v>
      </c>
      <c r="R38">
        <f t="shared" si="28"/>
        <v>300</v>
      </c>
      <c r="S38">
        <f>VLOOKUP(A38,'Death Benefits'!$A$1:$E$98,2,FALSE)</f>
        <v>694916.82070000004</v>
      </c>
      <c r="T38">
        <f t="shared" si="7"/>
        <v>9.9699999999999997E-3</v>
      </c>
      <c r="U38">
        <v>0</v>
      </c>
      <c r="V38">
        <f t="shared" si="8"/>
        <v>0</v>
      </c>
      <c r="X38">
        <v>14</v>
      </c>
      <c r="Y38">
        <f t="shared" si="9"/>
        <v>0</v>
      </c>
      <c r="Z38">
        <f t="shared" si="10"/>
        <v>6862.011869120257</v>
      </c>
      <c r="AB38">
        <v>14</v>
      </c>
      <c r="AC38">
        <f t="shared" si="11"/>
        <v>10901.300299441413</v>
      </c>
      <c r="AD38">
        <f t="shared" si="12"/>
        <v>-300</v>
      </c>
      <c r="AE38">
        <f t="shared" si="13"/>
        <v>-1787.3130855953848</v>
      </c>
      <c r="AF38">
        <f t="shared" si="14"/>
        <v>0</v>
      </c>
      <c r="AG38">
        <f t="shared" si="15"/>
        <v>642.40699424525133</v>
      </c>
      <c r="AH38">
        <f t="shared" si="16"/>
        <v>-6862.011869120257</v>
      </c>
      <c r="AI38">
        <f t="shared" si="17"/>
        <v>2594.3823389710233</v>
      </c>
      <c r="AJ38">
        <f t="shared" si="18"/>
        <v>0</v>
      </c>
      <c r="AK38">
        <f t="shared" si="19"/>
        <v>2594.3823389710233</v>
      </c>
      <c r="AL38">
        <f t="shared" si="20"/>
        <v>0.43882815026117428</v>
      </c>
      <c r="AM38">
        <f t="shared" si="21"/>
        <v>982.25657403930984</v>
      </c>
      <c r="AN38">
        <f t="shared" si="29"/>
        <v>4377.4345623238596</v>
      </c>
      <c r="AO38">
        <f t="shared" si="22"/>
        <v>3720.8193779752805</v>
      </c>
    </row>
    <row r="39" spans="1:41" x14ac:dyDescent="0.2">
      <c r="A39">
        <f t="shared" si="23"/>
        <v>49</v>
      </c>
      <c r="B39">
        <f>VLOOKUP(A39,Table21[#All],2,FALSE)</f>
        <v>3.5800308119999999E-3</v>
      </c>
      <c r="C39">
        <f t="shared" si="24"/>
        <v>0.1</v>
      </c>
      <c r="D39">
        <f t="shared" si="25"/>
        <v>0.1</v>
      </c>
      <c r="E39">
        <f t="shared" si="0"/>
        <v>2.8998249577200002E-3</v>
      </c>
      <c r="F39">
        <f t="shared" si="1"/>
        <v>0.99710017504227999</v>
      </c>
      <c r="G39">
        <f t="shared" si="2"/>
        <v>2.1408858043586582E-2</v>
      </c>
      <c r="H39">
        <f t="shared" si="3"/>
        <v>2.1417123194299073E-2</v>
      </c>
      <c r="J39">
        <f t="shared" si="26"/>
        <v>49</v>
      </c>
      <c r="K39">
        <f t="shared" si="4"/>
        <v>2.8998249577200002E-3</v>
      </c>
      <c r="L39">
        <f>Lapses!B16</f>
        <v>1.0149999999999999E-2</v>
      </c>
      <c r="M39">
        <f t="shared" si="5"/>
        <v>0.98695017504228</v>
      </c>
      <c r="N39">
        <f t="shared" si="27"/>
        <v>0.85195199947341482</v>
      </c>
      <c r="P39">
        <v>15</v>
      </c>
      <c r="Q39">
        <f t="shared" si="6"/>
        <v>10901.300299441413</v>
      </c>
      <c r="R39">
        <f t="shared" si="28"/>
        <v>300</v>
      </c>
      <c r="S39">
        <f>VLOOKUP(A39,'Death Benefits'!$A$1:$E$98,2,FALSE)</f>
        <v>675879.91720000003</v>
      </c>
      <c r="T39">
        <f t="shared" si="7"/>
        <v>1.0149999999999999E-2</v>
      </c>
      <c r="U39">
        <v>0</v>
      </c>
      <c r="V39">
        <f t="shared" si="8"/>
        <v>0</v>
      </c>
      <c r="X39">
        <v>15</v>
      </c>
      <c r="Y39">
        <f t="shared" si="9"/>
        <v>0</v>
      </c>
      <c r="Z39">
        <f t="shared" si="10"/>
        <v>6670.5980258810168</v>
      </c>
      <c r="AB39">
        <v>15</v>
      </c>
      <c r="AC39">
        <f t="shared" si="11"/>
        <v>10901.300299441413</v>
      </c>
      <c r="AD39">
        <f t="shared" si="12"/>
        <v>-300</v>
      </c>
      <c r="AE39">
        <f t="shared" si="13"/>
        <v>-1959.9334523182872</v>
      </c>
      <c r="AF39">
        <f t="shared" si="14"/>
        <v>0</v>
      </c>
      <c r="AG39">
        <f t="shared" si="15"/>
        <v>642.40699424525133</v>
      </c>
      <c r="AH39">
        <f t="shared" si="16"/>
        <v>-6670.5980258810168</v>
      </c>
      <c r="AI39">
        <f t="shared" si="17"/>
        <v>2613.1758154873596</v>
      </c>
      <c r="AJ39">
        <f t="shared" si="18"/>
        <v>0</v>
      </c>
      <c r="AK39">
        <f t="shared" si="19"/>
        <v>2613.1758154873596</v>
      </c>
      <c r="AL39">
        <f t="shared" si="20"/>
        <v>0.41375579061714701</v>
      </c>
      <c r="AM39">
        <f t="shared" si="21"/>
        <v>921.14466600853098</v>
      </c>
      <c r="AN39">
        <f t="shared" si="29"/>
        <v>4075.5657990638547</v>
      </c>
      <c r="AO39">
        <f t="shared" si="22"/>
        <v>3464.2309292042764</v>
      </c>
    </row>
    <row r="40" spans="1:41" x14ac:dyDescent="0.2">
      <c r="A40">
        <f t="shared" si="23"/>
        <v>50</v>
      </c>
      <c r="B40">
        <f>VLOOKUP(A40,Table21[#All],2,FALSE)</f>
        <v>4.0040822190000004E-3</v>
      </c>
      <c r="C40">
        <f t="shared" si="24"/>
        <v>0.1</v>
      </c>
      <c r="D40">
        <f t="shared" si="25"/>
        <v>0.1</v>
      </c>
      <c r="E40">
        <f t="shared" si="0"/>
        <v>3.2433065973900008E-3</v>
      </c>
      <c r="F40">
        <f t="shared" si="1"/>
        <v>0.99675669340260997</v>
      </c>
      <c r="G40">
        <f t="shared" si="2"/>
        <v>1.9863947627823807E-2</v>
      </c>
      <c r="H40">
        <f t="shared" si="3"/>
        <v>1.9863947627823807E-2</v>
      </c>
      <c r="J40">
        <f t="shared" si="26"/>
        <v>50</v>
      </c>
      <c r="K40">
        <f t="shared" si="4"/>
        <v>3.2433065973900008E-3</v>
      </c>
      <c r="L40">
        <f>Lapses!B17</f>
        <v>9.9600000000000001E-3</v>
      </c>
      <c r="M40">
        <f t="shared" si="5"/>
        <v>0.98679669340261</v>
      </c>
      <c r="N40">
        <f t="shared" si="27"/>
        <v>0.84083417500790725</v>
      </c>
      <c r="P40">
        <v>16</v>
      </c>
      <c r="Q40">
        <f t="shared" si="6"/>
        <v>10901.300299441413</v>
      </c>
      <c r="R40">
        <f t="shared" si="28"/>
        <v>300</v>
      </c>
      <c r="S40">
        <f>VLOOKUP(A40,'Death Benefits'!$A$1:$E$98,2,FALSE)</f>
        <v>680831.64300000004</v>
      </c>
      <c r="T40">
        <f t="shared" si="7"/>
        <v>9.9600000000000001E-3</v>
      </c>
      <c r="U40">
        <v>0</v>
      </c>
      <c r="V40">
        <f t="shared" si="8"/>
        <v>0</v>
      </c>
      <c r="X40">
        <v>16</v>
      </c>
      <c r="Y40">
        <f t="shared" si="9"/>
        <v>0</v>
      </c>
      <c r="Z40">
        <f t="shared" si="10"/>
        <v>6718.4241407626632</v>
      </c>
      <c r="AB40">
        <v>16</v>
      </c>
      <c r="AC40">
        <f t="shared" si="11"/>
        <v>10901.300299441413</v>
      </c>
      <c r="AD40">
        <f t="shared" si="12"/>
        <v>-300</v>
      </c>
      <c r="AE40">
        <f t="shared" si="13"/>
        <v>-2208.1457594537737</v>
      </c>
      <c r="AF40">
        <f t="shared" si="14"/>
        <v>0</v>
      </c>
      <c r="AG40">
        <f t="shared" si="15"/>
        <v>642.40699424525133</v>
      </c>
      <c r="AH40">
        <f t="shared" si="16"/>
        <v>-6718.4241407626632</v>
      </c>
      <c r="AI40">
        <f t="shared" si="17"/>
        <v>2317.1373934702278</v>
      </c>
      <c r="AJ40">
        <f t="shared" si="18"/>
        <v>0</v>
      </c>
      <c r="AK40">
        <f t="shared" si="19"/>
        <v>2317.1373934702278</v>
      </c>
      <c r="AL40">
        <f t="shared" si="20"/>
        <v>0.39011593528658578</v>
      </c>
      <c r="AM40">
        <f t="shared" si="21"/>
        <v>760.07392036204249</v>
      </c>
      <c r="AN40">
        <f t="shared" si="29"/>
        <v>3792.5624707427996</v>
      </c>
      <c r="AO40">
        <f t="shared" si="22"/>
        <v>3223.6781001313798</v>
      </c>
    </row>
    <row r="41" spans="1:41" x14ac:dyDescent="0.2">
      <c r="A41">
        <f t="shared" si="23"/>
        <v>51</v>
      </c>
      <c r="B41">
        <f>VLOOKUP(A41,Table21[#All],2,FALSE)</f>
        <v>4.4427371439999998E-3</v>
      </c>
      <c r="C41">
        <f t="shared" si="24"/>
        <v>0.1</v>
      </c>
      <c r="D41">
        <f t="shared" si="25"/>
        <v>0.1</v>
      </c>
      <c r="E41">
        <f t="shared" si="0"/>
        <v>3.5986170866400004E-3</v>
      </c>
      <c r="F41">
        <f t="shared" si="1"/>
        <v>0.99640138291336</v>
      </c>
      <c r="G41">
        <f t="shared" si="2"/>
        <v>1.7882334558487322E-2</v>
      </c>
      <c r="H41">
        <f t="shared" si="3"/>
        <v>1.7882334558487322E-2</v>
      </c>
      <c r="J41">
        <f t="shared" si="26"/>
        <v>51</v>
      </c>
      <c r="K41">
        <f t="shared" si="4"/>
        <v>3.5986170866400004E-3</v>
      </c>
      <c r="L41">
        <f>Lapses!B18</f>
        <v>9.9399999999999992E-3</v>
      </c>
      <c r="M41">
        <f t="shared" si="5"/>
        <v>0.98646138291336005</v>
      </c>
      <c r="N41">
        <f t="shared" si="27"/>
        <v>0.8297323835977144</v>
      </c>
      <c r="P41">
        <v>17</v>
      </c>
      <c r="Q41">
        <f t="shared" si="6"/>
        <v>10901.300299441413</v>
      </c>
      <c r="R41">
        <f t="shared" si="28"/>
        <v>300</v>
      </c>
      <c r="S41">
        <f>VLOOKUP(A41,'Death Benefits'!$A$1:$E$98,2,FALSE)</f>
        <v>654854.3689</v>
      </c>
      <c r="T41">
        <f t="shared" si="7"/>
        <v>9.9399999999999992E-3</v>
      </c>
      <c r="U41">
        <v>0</v>
      </c>
      <c r="V41">
        <f t="shared" si="8"/>
        <v>0</v>
      </c>
      <c r="X41">
        <v>17</v>
      </c>
      <c r="Y41">
        <f t="shared" si="9"/>
        <v>0</v>
      </c>
      <c r="Z41">
        <f t="shared" si="10"/>
        <v>6459.8854635194966</v>
      </c>
      <c r="AB41">
        <v>17</v>
      </c>
      <c r="AC41">
        <f t="shared" si="11"/>
        <v>10901.300299441413</v>
      </c>
      <c r="AD41">
        <f t="shared" si="12"/>
        <v>-300</v>
      </c>
      <c r="AE41">
        <f t="shared" si="13"/>
        <v>-2356.5701211843939</v>
      </c>
      <c r="AF41">
        <f t="shared" si="14"/>
        <v>0</v>
      </c>
      <c r="AG41">
        <f t="shared" si="15"/>
        <v>642.40699424525133</v>
      </c>
      <c r="AH41">
        <f t="shared" si="16"/>
        <v>-6459.8854635194966</v>
      </c>
      <c r="AI41">
        <f t="shared" si="17"/>
        <v>2427.2517089827743</v>
      </c>
      <c r="AJ41">
        <f t="shared" si="18"/>
        <v>0</v>
      </c>
      <c r="AK41">
        <f t="shared" si="19"/>
        <v>2427.2517089827743</v>
      </c>
      <c r="AL41">
        <f t="shared" si="20"/>
        <v>0.36782673841863195</v>
      </c>
      <c r="AM41">
        <f t="shared" si="21"/>
        <v>740.79177584588274</v>
      </c>
      <c r="AN41">
        <f t="shared" si="29"/>
        <v>3528.6617873252785</v>
      </c>
      <c r="AO41">
        <f t="shared" si="22"/>
        <v>2999.3625192264867</v>
      </c>
    </row>
    <row r="42" spans="1:41" x14ac:dyDescent="0.2">
      <c r="A42">
        <f t="shared" si="23"/>
        <v>52</v>
      </c>
      <c r="B42">
        <f>VLOOKUP(A42,Table21[#All],2,FALSE)</f>
        <v>4.8912929250000004E-3</v>
      </c>
      <c r="C42">
        <f t="shared" si="24"/>
        <v>0.1</v>
      </c>
      <c r="D42">
        <f t="shared" si="25"/>
        <v>0.1</v>
      </c>
      <c r="E42">
        <f t="shared" si="0"/>
        <v>3.9619472692500012E-3</v>
      </c>
      <c r="F42">
        <f t="shared" si="1"/>
        <v>0.99603805273074997</v>
      </c>
      <c r="G42">
        <f t="shared" si="2"/>
        <v>1.5422834173669762E-2</v>
      </c>
      <c r="H42">
        <f t="shared" si="3"/>
        <v>1.5422834173669762E-2</v>
      </c>
      <c r="J42">
        <f t="shared" si="26"/>
        <v>52</v>
      </c>
      <c r="K42">
        <f t="shared" si="4"/>
        <v>3.9619472692500012E-3</v>
      </c>
      <c r="L42">
        <f>Lapses!B19</f>
        <v>9.8499999999999994E-3</v>
      </c>
      <c r="M42">
        <f t="shared" si="5"/>
        <v>0.98618805273074994</v>
      </c>
      <c r="N42">
        <f t="shared" si="27"/>
        <v>0.81849895457179989</v>
      </c>
      <c r="P42">
        <v>18</v>
      </c>
      <c r="Q42">
        <f t="shared" si="6"/>
        <v>10901.300299441413</v>
      </c>
      <c r="R42">
        <f t="shared" si="28"/>
        <v>300</v>
      </c>
      <c r="S42">
        <f>VLOOKUP(A42,'Death Benefits'!$A$1:$E$98,2,FALSE)</f>
        <v>615415.01980000001</v>
      </c>
      <c r="T42">
        <f t="shared" si="7"/>
        <v>9.8499999999999994E-3</v>
      </c>
      <c r="U42">
        <v>0</v>
      </c>
      <c r="V42">
        <f t="shared" si="8"/>
        <v>0</v>
      </c>
      <c r="X42">
        <v>18</v>
      </c>
      <c r="Y42">
        <f t="shared" si="9"/>
        <v>0</v>
      </c>
      <c r="Z42">
        <f t="shared" si="10"/>
        <v>6069.1493999781796</v>
      </c>
      <c r="AB42">
        <v>18</v>
      </c>
      <c r="AC42">
        <f t="shared" si="11"/>
        <v>10901.300299441413</v>
      </c>
      <c r="AD42">
        <f t="shared" si="12"/>
        <v>-300</v>
      </c>
      <c r="AE42">
        <f t="shared" si="13"/>
        <v>-2438.2418571520452</v>
      </c>
      <c r="AF42">
        <f t="shared" si="14"/>
        <v>0</v>
      </c>
      <c r="AG42">
        <f t="shared" si="15"/>
        <v>642.40699424525133</v>
      </c>
      <c r="AH42">
        <f t="shared" si="16"/>
        <v>-6069.1493999781796</v>
      </c>
      <c r="AI42">
        <f t="shared" si="17"/>
        <v>2736.3160365564399</v>
      </c>
      <c r="AJ42">
        <f t="shared" si="18"/>
        <v>0</v>
      </c>
      <c r="AK42">
        <f t="shared" si="19"/>
        <v>2736.3160365564399</v>
      </c>
      <c r="AL42">
        <f t="shared" si="20"/>
        <v>0.34681103040894135</v>
      </c>
      <c r="AM42">
        <f t="shared" si="21"/>
        <v>776.74289004188267</v>
      </c>
      <c r="AN42">
        <f t="shared" si="29"/>
        <v>3282.0087050580219</v>
      </c>
      <c r="AO42">
        <f t="shared" si="22"/>
        <v>2789.7073992993187</v>
      </c>
    </row>
    <row r="43" spans="1:41" x14ac:dyDescent="0.2">
      <c r="A43">
        <f t="shared" si="23"/>
        <v>53</v>
      </c>
      <c r="B43">
        <f>VLOOKUP(A43,Table21[#All],2,FALSE)</f>
        <v>5.3450468990000003E-3</v>
      </c>
      <c r="C43">
        <f t="shared" si="24"/>
        <v>0.1</v>
      </c>
      <c r="D43">
        <f t="shared" si="25"/>
        <v>0.1</v>
      </c>
      <c r="E43">
        <f t="shared" si="0"/>
        <v>4.3294879881900002E-3</v>
      </c>
      <c r="F43">
        <f t="shared" si="1"/>
        <v>0.99567051201181</v>
      </c>
      <c r="G43">
        <f t="shared" si="2"/>
        <v>1.2444769908999032E-2</v>
      </c>
      <c r="H43">
        <f t="shared" si="3"/>
        <v>1.2444455244872149E-2</v>
      </c>
      <c r="J43">
        <f t="shared" si="26"/>
        <v>53</v>
      </c>
      <c r="K43">
        <f t="shared" si="4"/>
        <v>4.3294879881900002E-3</v>
      </c>
      <c r="L43">
        <f>Lapses!B20</f>
        <v>9.8399999999999998E-3</v>
      </c>
      <c r="M43">
        <f t="shared" si="5"/>
        <v>0.98583051201181005</v>
      </c>
      <c r="N43">
        <f t="shared" si="27"/>
        <v>0.80719389017131793</v>
      </c>
      <c r="P43">
        <v>19</v>
      </c>
      <c r="Q43">
        <f t="shared" si="6"/>
        <v>10901.300299441413</v>
      </c>
      <c r="R43">
        <f t="shared" si="28"/>
        <v>300</v>
      </c>
      <c r="S43">
        <f>VLOOKUP(A43,'Death Benefits'!$A$1:$E$98,2,FALSE)</f>
        <v>700508.13009999995</v>
      </c>
      <c r="T43">
        <f t="shared" si="7"/>
        <v>9.8399999999999998E-3</v>
      </c>
      <c r="U43">
        <v>0</v>
      </c>
      <c r="V43">
        <f t="shared" si="8"/>
        <v>0</v>
      </c>
      <c r="X43">
        <v>19</v>
      </c>
      <c r="Y43">
        <f t="shared" si="9"/>
        <v>0</v>
      </c>
      <c r="Z43">
        <f t="shared" si="10"/>
        <v>6905.822885649186</v>
      </c>
      <c r="AB43">
        <v>19</v>
      </c>
      <c r="AC43">
        <f t="shared" si="11"/>
        <v>10901.300299441413</v>
      </c>
      <c r="AD43">
        <f t="shared" si="12"/>
        <v>-300</v>
      </c>
      <c r="AE43">
        <f t="shared" si="13"/>
        <v>-3032.8415348973876</v>
      </c>
      <c r="AF43">
        <f t="shared" si="14"/>
        <v>0</v>
      </c>
      <c r="AG43">
        <f t="shared" si="15"/>
        <v>642.40699424525133</v>
      </c>
      <c r="AH43">
        <f t="shared" si="16"/>
        <v>-6905.822885649186</v>
      </c>
      <c r="AI43">
        <f t="shared" si="17"/>
        <v>1305.0428731400898</v>
      </c>
      <c r="AJ43">
        <f t="shared" si="18"/>
        <v>0</v>
      </c>
      <c r="AK43">
        <f t="shared" si="19"/>
        <v>1305.0428731400898</v>
      </c>
      <c r="AL43">
        <f t="shared" si="20"/>
        <v>0.32699605072326376</v>
      </c>
      <c r="AM43">
        <f t="shared" si="21"/>
        <v>344.46504093306868</v>
      </c>
      <c r="AN43">
        <f t="shared" si="29"/>
        <v>3051.7508289072484</v>
      </c>
      <c r="AO43">
        <f t="shared" si="22"/>
        <v>2593.9882045711611</v>
      </c>
    </row>
    <row r="44" spans="1:41" x14ac:dyDescent="0.2">
      <c r="A44">
        <f t="shared" si="23"/>
        <v>54</v>
      </c>
      <c r="B44">
        <f>VLOOKUP(A44,Table21[#All],2,FALSE)</f>
        <v>5.7992964030000003E-3</v>
      </c>
      <c r="C44">
        <f t="shared" si="24"/>
        <v>0.1</v>
      </c>
      <c r="D44">
        <f t="shared" si="25"/>
        <v>0.1</v>
      </c>
      <c r="E44">
        <f t="shared" si="0"/>
        <v>4.697430086430001E-3</v>
      </c>
      <c r="F44">
        <f t="shared" si="1"/>
        <v>0.99530256991357002</v>
      </c>
      <c r="G44">
        <f t="shared" si="2"/>
        <v>8.9079645685835509E-3</v>
      </c>
      <c r="H44">
        <f t="shared" si="3"/>
        <v>8.9077975319570412E-3</v>
      </c>
      <c r="J44">
        <f t="shared" si="26"/>
        <v>54</v>
      </c>
      <c r="K44">
        <f t="shared" si="4"/>
        <v>4.697430086430001E-3</v>
      </c>
      <c r="L44">
        <f>Lapses!B21</f>
        <v>0</v>
      </c>
      <c r="M44">
        <f t="shared" si="5"/>
        <v>0.99530256991357002</v>
      </c>
      <c r="N44">
        <f t="shared" si="27"/>
        <v>0.79575636604039512</v>
      </c>
      <c r="P44">
        <v>20</v>
      </c>
      <c r="Q44">
        <f t="shared" si="6"/>
        <v>10901.300299441413</v>
      </c>
      <c r="R44">
        <f t="shared" si="28"/>
        <v>300</v>
      </c>
      <c r="S44">
        <f>VLOOKUP(A44,'Death Benefits'!$A$1:$E$98,2,FALSE)</f>
        <v>712169.81129999994</v>
      </c>
      <c r="T44">
        <f t="shared" si="7"/>
        <v>0</v>
      </c>
      <c r="U44">
        <v>0</v>
      </c>
      <c r="V44">
        <v>0</v>
      </c>
      <c r="X44">
        <v>20</v>
      </c>
      <c r="Y44">
        <f t="shared" si="9"/>
        <v>0</v>
      </c>
      <c r="Z44">
        <f t="shared" si="10"/>
        <v>7088.2444340175216</v>
      </c>
      <c r="AB44">
        <v>20</v>
      </c>
      <c r="AC44">
        <f t="shared" si="11"/>
        <v>10901.300299441413</v>
      </c>
      <c r="AD44">
        <f t="shared" si="12"/>
        <v>-300</v>
      </c>
      <c r="AE44">
        <f t="shared" si="13"/>
        <v>-3345.3678982477963</v>
      </c>
      <c r="AF44">
        <f t="shared" si="14"/>
        <v>0</v>
      </c>
      <c r="AG44">
        <f t="shared" si="15"/>
        <v>642.40699424525133</v>
      </c>
      <c r="AH44">
        <f t="shared" si="16"/>
        <v>-7088.2444340175216</v>
      </c>
      <c r="AI44">
        <f t="shared" si="17"/>
        <v>810.09496142134685</v>
      </c>
      <c r="AJ44">
        <f t="shared" si="18"/>
        <v>0</v>
      </c>
      <c r="AK44">
        <f t="shared" si="19"/>
        <v>810.09496142134685</v>
      </c>
      <c r="AL44">
        <f t="shared" si="20"/>
        <v>0.30831319598609441</v>
      </c>
      <c r="AM44">
        <f t="shared" si="21"/>
        <v>198.75047067948827</v>
      </c>
      <c r="AN44">
        <f t="shared" si="29"/>
        <v>2836.6185103239959</v>
      </c>
      <c r="AO44">
        <f t="shared" si="22"/>
        <v>2411.1257337753964</v>
      </c>
    </row>
    <row r="45" spans="1:41" x14ac:dyDescent="0.2">
      <c r="A45">
        <f t="shared" si="23"/>
        <v>55</v>
      </c>
      <c r="B45">
        <f>VLOOKUP(A45,Table21[#All],2,FALSE)</f>
        <v>6.2493387739999996E-3</v>
      </c>
      <c r="C45">
        <f t="shared" si="24"/>
        <v>0.1</v>
      </c>
      <c r="D45">
        <f t="shared" si="25"/>
        <v>0.1</v>
      </c>
      <c r="E45">
        <f t="shared" si="0"/>
        <v>5.0619644069399995E-3</v>
      </c>
      <c r="F45">
        <f t="shared" si="1"/>
        <v>0.99493803559306004</v>
      </c>
      <c r="G45">
        <f t="shared" si="2"/>
        <v>4.7727500708940338E-3</v>
      </c>
      <c r="H45">
        <f>G45-PRODUCT(F45:F65)*H65*$E$5^(20)</f>
        <v>4.7726994588274682E-3</v>
      </c>
      <c r="J45">
        <f t="shared" si="26"/>
        <v>55</v>
      </c>
      <c r="K45">
        <f t="shared" si="4"/>
        <v>5.0619644069399995E-3</v>
      </c>
      <c r="L45">
        <f>Lapses!B22</f>
        <v>0</v>
      </c>
      <c r="M45">
        <f t="shared" si="5"/>
        <v>0.99493803559306004</v>
      </c>
      <c r="N45">
        <f t="shared" si="27"/>
        <v>0.79201835614508875</v>
      </c>
      <c r="P45">
        <v>21</v>
      </c>
      <c r="Q45">
        <f t="shared" si="6"/>
        <v>10901.300299441413</v>
      </c>
      <c r="R45">
        <f t="shared" si="28"/>
        <v>300</v>
      </c>
      <c r="S45">
        <f>VLOOKUP(A45,'Death Benefits'!$A$1:$E$98,2,FALSE)</f>
        <v>641007.90509999997</v>
      </c>
      <c r="T45">
        <f t="shared" si="7"/>
        <v>0</v>
      </c>
      <c r="U45">
        <v>0</v>
      </c>
      <c r="V45">
        <v>0</v>
      </c>
      <c r="Y45">
        <f t="shared" si="9"/>
        <v>0</v>
      </c>
      <c r="Z45">
        <f t="shared" si="10"/>
        <v>6377.6314589981666</v>
      </c>
      <c r="AB45">
        <v>21</v>
      </c>
      <c r="AC45">
        <f t="shared" si="11"/>
        <v>10901.300299441413</v>
      </c>
      <c r="AD45">
        <f t="shared" si="12"/>
        <v>-300</v>
      </c>
      <c r="AE45">
        <f t="shared" si="13"/>
        <v>-3244.7592001833727</v>
      </c>
      <c r="AF45">
        <f t="shared" si="14"/>
        <v>0</v>
      </c>
      <c r="AG45">
        <f t="shared" si="15"/>
        <v>642.40699424525133</v>
      </c>
      <c r="AH45">
        <f t="shared" si="16"/>
        <v>-6377.6314589981666</v>
      </c>
      <c r="AI45">
        <f t="shared" si="17"/>
        <v>1621.316634505125</v>
      </c>
      <c r="AJ45">
        <f t="shared" si="18"/>
        <v>0</v>
      </c>
      <c r="AK45">
        <f t="shared" si="19"/>
        <v>1621.316634505125</v>
      </c>
      <c r="AL45">
        <f t="shared" si="20"/>
        <v>0.29069778246223066</v>
      </c>
      <c r="AM45">
        <f t="shared" si="21"/>
        <v>373.28866654582475</v>
      </c>
      <c r="AN45">
        <f t="shared" si="29"/>
        <v>2661.9853659682944</v>
      </c>
      <c r="AO45">
        <f t="shared" si="22"/>
        <v>2262.6875610730503</v>
      </c>
    </row>
    <row r="48" spans="1:41" ht="19" x14ac:dyDescent="0.25">
      <c r="A48" s="61" t="s">
        <v>134</v>
      </c>
      <c r="B48" s="61"/>
      <c r="C48" s="61"/>
      <c r="D48" s="6"/>
      <c r="E48" s="6"/>
      <c r="F48" s="6"/>
    </row>
    <row r="49" spans="1:16" x14ac:dyDescent="0.2">
      <c r="A49">
        <f>E21</f>
        <v>-0.5229349089939781</v>
      </c>
      <c r="B49">
        <v>0.01</v>
      </c>
      <c r="C49">
        <v>0.02</v>
      </c>
      <c r="D49">
        <v>0.03</v>
      </c>
      <c r="E49">
        <v>0.04</v>
      </c>
      <c r="F49">
        <v>0.05</v>
      </c>
      <c r="G49">
        <v>0.06</v>
      </c>
      <c r="H49">
        <v>7.0000000000000007E-2</v>
      </c>
      <c r="I49">
        <v>0.08</v>
      </c>
      <c r="J49">
        <v>0.09</v>
      </c>
      <c r="K49">
        <v>0.1</v>
      </c>
      <c r="L49">
        <v>0.11</v>
      </c>
      <c r="M49">
        <v>0.12</v>
      </c>
      <c r="N49">
        <v>0.13</v>
      </c>
      <c r="O49">
        <v>0.14000000000000001</v>
      </c>
      <c r="P49">
        <v>0.15</v>
      </c>
    </row>
    <row r="50" spans="1:16" x14ac:dyDescent="0.2">
      <c r="A50">
        <v>100</v>
      </c>
      <c r="B50">
        <f t="dataTable" ref="B50:P59" dt2D="1" dtr="1" r1="E4" r2="E11" ca="1"/>
        <v>-0.2590017052512637</v>
      </c>
      <c r="C50">
        <v>-0.32336215304290039</v>
      </c>
      <c r="D50">
        <v>-0.37952591168639843</v>
      </c>
      <c r="E50">
        <v>-0.4287192612477948</v>
      </c>
      <c r="F50">
        <v>-0.47196527051155196</v>
      </c>
      <c r="G50">
        <v>-0.51012010247357487</v>
      </c>
      <c r="H50">
        <v>-0.5439024311553553</v>
      </c>
      <c r="I50">
        <v>-0.57391734485098311</v>
      </c>
      <c r="J50">
        <v>-0.60067582399245345</v>
      </c>
      <c r="K50">
        <v>-0.62461065717737863</v>
      </c>
      <c r="L50">
        <v>-0.64608948253137111</v>
      </c>
      <c r="M50">
        <v>-0.66542550271952694</v>
      </c>
      <c r="N50">
        <v>-0.68288631229985164</v>
      </c>
      <c r="O50">
        <v>-0.69870118933758529</v>
      </c>
      <c r="P50">
        <v>-0.71306713432898394</v>
      </c>
    </row>
    <row r="51" spans="1:16" x14ac:dyDescent="0.2">
      <c r="A51">
        <v>200</v>
      </c>
      <c r="B51">
        <v>-0.26744526049440576</v>
      </c>
      <c r="C51">
        <v>-0.33101302586501463</v>
      </c>
      <c r="D51">
        <v>-0.38648711598407276</v>
      </c>
      <c r="E51">
        <v>-0.43507820582990586</v>
      </c>
      <c r="F51">
        <v>-0.47779636705237688</v>
      </c>
      <c r="G51">
        <v>-0.51548690467822122</v>
      </c>
      <c r="H51">
        <v>-0.5488593944967306</v>
      </c>
      <c r="I51">
        <v>-0.57851127833559624</v>
      </c>
      <c r="J51">
        <v>-0.60494709125650115</v>
      </c>
      <c r="K51">
        <v>-0.62859417298973164</v>
      </c>
      <c r="L51">
        <v>-0.64981554185490253</v>
      </c>
      <c r="M51">
        <v>-0.66892047236636631</v>
      </c>
      <c r="N51">
        <v>-0.68617320952763938</v>
      </c>
      <c r="O51">
        <v>-0.70180016717437632</v>
      </c>
      <c r="P51">
        <v>-0.71599588975046413</v>
      </c>
    </row>
    <row r="52" spans="1:16" x14ac:dyDescent="0.2">
      <c r="A52">
        <v>300</v>
      </c>
      <c r="B52">
        <v>-0.27588881573754781</v>
      </c>
      <c r="C52">
        <v>-0.33866389868712871</v>
      </c>
      <c r="D52">
        <v>-0.39344832028174725</v>
      </c>
      <c r="E52">
        <v>-0.44143715041201687</v>
      </c>
      <c r="F52">
        <v>-0.4836274635932018</v>
      </c>
      <c r="G52">
        <v>-0.52085370688286758</v>
      </c>
      <c r="H52">
        <v>-0.5538163578381059</v>
      </c>
      <c r="I52">
        <v>-0.58310521182020936</v>
      </c>
      <c r="J52">
        <v>-0.60921835852054895</v>
      </c>
      <c r="K52">
        <v>-0.63257768880208465</v>
      </c>
      <c r="L52">
        <v>-0.65354160117843407</v>
      </c>
      <c r="M52">
        <v>-0.67241544201320558</v>
      </c>
      <c r="N52">
        <v>-0.68946010675542724</v>
      </c>
      <c r="O52">
        <v>-0.70489914501116735</v>
      </c>
      <c r="P52">
        <v>-0.71892464517194443</v>
      </c>
    </row>
    <row r="53" spans="1:16" x14ac:dyDescent="0.2">
      <c r="A53">
        <v>400</v>
      </c>
      <c r="B53">
        <v>-0.28433237098068986</v>
      </c>
      <c r="C53">
        <v>-0.34631477150924295</v>
      </c>
      <c r="D53">
        <v>-0.40040952457942158</v>
      </c>
      <c r="E53">
        <v>-0.44779609499412792</v>
      </c>
      <c r="F53">
        <v>-0.48945856013402672</v>
      </c>
      <c r="G53">
        <v>-0.52622050908751394</v>
      </c>
      <c r="H53">
        <v>-0.5587733211794812</v>
      </c>
      <c r="I53">
        <v>-0.58769914530482248</v>
      </c>
      <c r="J53">
        <v>-0.61348962578459687</v>
      </c>
      <c r="K53">
        <v>-0.63656120461443755</v>
      </c>
      <c r="L53">
        <v>-0.6572676605019655</v>
      </c>
      <c r="M53">
        <v>-0.67591041166004484</v>
      </c>
      <c r="N53">
        <v>-0.69274700398321509</v>
      </c>
      <c r="O53">
        <v>-0.70799812284795838</v>
      </c>
      <c r="P53">
        <v>-0.72185340059342473</v>
      </c>
    </row>
    <row r="54" spans="1:16" x14ac:dyDescent="0.2">
      <c r="A54">
        <v>500</v>
      </c>
      <c r="B54">
        <v>-0.29277592622383181</v>
      </c>
      <c r="C54">
        <v>-0.35396564433135713</v>
      </c>
      <c r="D54">
        <v>-0.40737072887709608</v>
      </c>
      <c r="E54">
        <v>-0.45415503957623898</v>
      </c>
      <c r="F54">
        <v>-0.49528965667485164</v>
      </c>
      <c r="G54">
        <v>-0.5315873112921603</v>
      </c>
      <c r="H54">
        <v>-0.56373028452085661</v>
      </c>
      <c r="I54">
        <v>-0.59229307878943571</v>
      </c>
      <c r="J54">
        <v>-0.61776089304864479</v>
      </c>
      <c r="K54">
        <v>-0.64054472042679056</v>
      </c>
      <c r="L54">
        <v>-0.66099371982549704</v>
      </c>
      <c r="M54">
        <v>-0.67940538130688399</v>
      </c>
      <c r="N54">
        <v>-0.69603390121100284</v>
      </c>
      <c r="O54">
        <v>-0.71109710068474941</v>
      </c>
      <c r="P54">
        <v>-0.72478215601490503</v>
      </c>
    </row>
    <row r="55" spans="1:16" x14ac:dyDescent="0.2">
      <c r="A55">
        <v>600</v>
      </c>
      <c r="B55">
        <v>-0.30121948146697386</v>
      </c>
      <c r="C55">
        <v>-0.36161651715347137</v>
      </c>
      <c r="D55">
        <v>-0.41433193317477041</v>
      </c>
      <c r="E55">
        <v>-0.46051398415834999</v>
      </c>
      <c r="F55">
        <v>-0.50112075321567662</v>
      </c>
      <c r="G55">
        <v>-0.53695411349680666</v>
      </c>
      <c r="H55">
        <v>-0.5686872478622319</v>
      </c>
      <c r="I55">
        <v>-0.59688701227404872</v>
      </c>
      <c r="J55">
        <v>-0.62203216031269248</v>
      </c>
      <c r="K55">
        <v>-0.64452823623914335</v>
      </c>
      <c r="L55">
        <v>-0.66471977914902847</v>
      </c>
      <c r="M55">
        <v>-0.68290035095372315</v>
      </c>
      <c r="N55">
        <v>-0.69932079843879069</v>
      </c>
      <c r="O55">
        <v>-0.71419607852154043</v>
      </c>
      <c r="P55">
        <v>-0.72771091143638533</v>
      </c>
    </row>
    <row r="56" spans="1:16" x14ac:dyDescent="0.2">
      <c r="A56">
        <v>700</v>
      </c>
      <c r="B56">
        <v>-0.30966303671011591</v>
      </c>
      <c r="C56">
        <v>-0.36926738997558545</v>
      </c>
      <c r="D56">
        <v>-0.42129313747244473</v>
      </c>
      <c r="E56">
        <v>-0.46687292874046105</v>
      </c>
      <c r="F56">
        <v>-0.50695184975650143</v>
      </c>
      <c r="G56">
        <v>-0.54232091570145302</v>
      </c>
      <c r="H56">
        <v>-0.5736442112036072</v>
      </c>
      <c r="I56">
        <v>-0.60148094575866207</v>
      </c>
      <c r="J56">
        <v>-0.62630342757674029</v>
      </c>
      <c r="K56">
        <v>-0.64851175205149636</v>
      </c>
      <c r="L56">
        <v>-0.66844583847256001</v>
      </c>
      <c r="M56">
        <v>-0.68639532060056252</v>
      </c>
      <c r="N56">
        <v>-0.70260769566657844</v>
      </c>
      <c r="O56">
        <v>-0.71729505635833146</v>
      </c>
      <c r="P56">
        <v>-0.73063966685786552</v>
      </c>
    </row>
    <row r="57" spans="1:16" x14ac:dyDescent="0.2">
      <c r="A57">
        <v>800</v>
      </c>
      <c r="B57">
        <v>-0.31810659195325797</v>
      </c>
      <c r="C57">
        <v>-0.37691826279769969</v>
      </c>
      <c r="D57">
        <v>-0.42825434177011923</v>
      </c>
      <c r="E57">
        <v>-0.47323187332257205</v>
      </c>
      <c r="F57">
        <v>-0.51278294629732646</v>
      </c>
      <c r="G57">
        <v>-0.54768771790609938</v>
      </c>
      <c r="H57">
        <v>-0.5786011745449825</v>
      </c>
      <c r="I57">
        <v>-0.60607487924327508</v>
      </c>
      <c r="J57">
        <v>-0.6305746948407881</v>
      </c>
      <c r="K57">
        <v>-0.65249526786384937</v>
      </c>
      <c r="L57">
        <v>-0.67217189779609154</v>
      </c>
      <c r="M57">
        <v>-0.68989029024740178</v>
      </c>
      <c r="N57">
        <v>-0.70589459289436629</v>
      </c>
      <c r="O57">
        <v>-0.7203940341951226</v>
      </c>
      <c r="P57">
        <v>-0.73356842227934582</v>
      </c>
    </row>
    <row r="58" spans="1:16" x14ac:dyDescent="0.2">
      <c r="A58">
        <v>900</v>
      </c>
      <c r="B58">
        <v>-0.32655014719640002</v>
      </c>
      <c r="C58">
        <v>-0.38456913561981387</v>
      </c>
      <c r="D58">
        <v>-0.43521554606779361</v>
      </c>
      <c r="E58">
        <v>-0.47959081790468311</v>
      </c>
      <c r="F58">
        <v>-0.51861404283815127</v>
      </c>
      <c r="G58">
        <v>-0.55305452011074574</v>
      </c>
      <c r="H58">
        <v>-0.58355813788635791</v>
      </c>
      <c r="I58">
        <v>-0.6106688127278882</v>
      </c>
      <c r="J58">
        <v>-0.63484596210483601</v>
      </c>
      <c r="K58">
        <v>-0.65647878367620238</v>
      </c>
      <c r="L58">
        <v>-0.67589795711962297</v>
      </c>
      <c r="M58">
        <v>-0.69338525989424105</v>
      </c>
      <c r="N58">
        <v>-0.70918149012215426</v>
      </c>
      <c r="O58">
        <v>-0.72349301203191363</v>
      </c>
      <c r="P58">
        <v>-0.73649717770082612</v>
      </c>
    </row>
    <row r="59" spans="1:16" x14ac:dyDescent="0.2">
      <c r="A59">
        <v>1000</v>
      </c>
      <c r="B59">
        <v>-0.33499370243954207</v>
      </c>
      <c r="C59">
        <v>-0.39222000844192795</v>
      </c>
      <c r="D59">
        <v>-0.44217675036546805</v>
      </c>
      <c r="E59">
        <v>-0.48594976248679417</v>
      </c>
      <c r="F59">
        <v>-0.52444513937897619</v>
      </c>
      <c r="G59">
        <v>-0.5584213223153921</v>
      </c>
      <c r="H59">
        <v>-0.58851510122773321</v>
      </c>
      <c r="I59">
        <v>-0.61526274621250132</v>
      </c>
      <c r="J59">
        <v>-0.63911722936888371</v>
      </c>
      <c r="K59">
        <v>-0.66046229948855539</v>
      </c>
      <c r="L59">
        <v>-0.67962401644315451</v>
      </c>
      <c r="M59">
        <v>-0.6968802295410802</v>
      </c>
      <c r="N59">
        <v>-0.712468387349942</v>
      </c>
      <c r="O59">
        <v>-0.72659198986870466</v>
      </c>
      <c r="P59">
        <v>-0.73942593312230642</v>
      </c>
    </row>
    <row r="62" spans="1:16" ht="19" x14ac:dyDescent="0.25">
      <c r="A62" s="61" t="s">
        <v>135</v>
      </c>
      <c r="B62" s="61"/>
      <c r="C62" s="61"/>
    </row>
    <row r="63" spans="1:16" x14ac:dyDescent="0.2">
      <c r="A63">
        <f>E9</f>
        <v>0.29945724966949983</v>
      </c>
      <c r="B63">
        <v>0.05</v>
      </c>
      <c r="C63">
        <v>7.0000000000000007E-2</v>
      </c>
      <c r="D63">
        <v>0.09</v>
      </c>
      <c r="E63">
        <v>0.11</v>
      </c>
      <c r="F63">
        <v>0.13</v>
      </c>
      <c r="G63">
        <v>0.15</v>
      </c>
      <c r="H63">
        <v>0.17</v>
      </c>
      <c r="I63">
        <v>0.19</v>
      </c>
      <c r="J63">
        <v>0.21</v>
      </c>
      <c r="K63">
        <v>0.23</v>
      </c>
      <c r="L63">
        <v>0.25</v>
      </c>
      <c r="M63">
        <v>0.27</v>
      </c>
      <c r="N63">
        <v>0.28999999999999998</v>
      </c>
    </row>
    <row r="64" spans="1:16" x14ac:dyDescent="0.2">
      <c r="A64">
        <v>0.05</v>
      </c>
      <c r="B64">
        <f t="dataTable" ref="B64:N76" dt2D="1" dtr="1" r1="C25" r2="D25"/>
        <v>0.28818075074538296</v>
      </c>
      <c r="C64">
        <v>0.29049555390553577</v>
      </c>
      <c r="D64">
        <v>0.29281110674287131</v>
      </c>
      <c r="E64">
        <v>0.29512740960312767</v>
      </c>
      <c r="F64">
        <v>0.29744446283205583</v>
      </c>
      <c r="G64">
        <v>0.29976226677541806</v>
      </c>
      <c r="H64">
        <v>0.30208082177898932</v>
      </c>
      <c r="I64">
        <v>0.30440012818855583</v>
      </c>
      <c r="J64">
        <v>0.30672018634991516</v>
      </c>
      <c r="K64">
        <v>0.30904099660887713</v>
      </c>
      <c r="L64">
        <v>0.31136255931126233</v>
      </c>
      <c r="M64">
        <v>0.31368487480290236</v>
      </c>
      <c r="N64">
        <v>0.31600794342963995</v>
      </c>
    </row>
    <row r="65" spans="1:14" x14ac:dyDescent="0.2">
      <c r="A65">
        <v>7.0000000000000007E-2</v>
      </c>
      <c r="B65">
        <v>0.29049555390553577</v>
      </c>
      <c r="C65">
        <v>0.29276235053452992</v>
      </c>
      <c r="D65">
        <v>0.29502986593197689</v>
      </c>
      <c r="E65">
        <v>0.29729810042224686</v>
      </c>
      <c r="F65">
        <v>0.29956705432972064</v>
      </c>
      <c r="G65">
        <v>0.30183672797879024</v>
      </c>
      <c r="H65">
        <v>0.3041071216938584</v>
      </c>
      <c r="I65">
        <v>0.30637823579933821</v>
      </c>
      <c r="J65">
        <v>0.30865007061965377</v>
      </c>
      <c r="K65">
        <v>0.31092262647923935</v>
      </c>
      <c r="L65">
        <v>0.31319590370253952</v>
      </c>
      <c r="M65">
        <v>0.3154699026140087</v>
      </c>
      <c r="N65">
        <v>0.31774462353811161</v>
      </c>
    </row>
    <row r="66" spans="1:14" x14ac:dyDescent="0.2">
      <c r="A66">
        <v>0.09</v>
      </c>
      <c r="B66">
        <v>0.29281110674287125</v>
      </c>
      <c r="C66">
        <v>0.29502986593197689</v>
      </c>
      <c r="D66">
        <v>0.29724931361774865</v>
      </c>
      <c r="E66">
        <v>0.29946945010408649</v>
      </c>
      <c r="F66">
        <v>0.30169027569490048</v>
      </c>
      <c r="G66">
        <v>0.30391179069411017</v>
      </c>
      <c r="H66">
        <v>0.30613399540564545</v>
      </c>
      <c r="I66">
        <v>0.30835689013344519</v>
      </c>
      <c r="J66">
        <v>0.3105804751814587</v>
      </c>
      <c r="K66">
        <v>0.31280475085364379</v>
      </c>
      <c r="L66">
        <v>0.31502971745396807</v>
      </c>
      <c r="M66">
        <v>0.31725537528640801</v>
      </c>
      <c r="N66">
        <v>0.31948172465494956</v>
      </c>
    </row>
    <row r="67" spans="1:14" x14ac:dyDescent="0.2">
      <c r="A67">
        <v>0.11</v>
      </c>
      <c r="B67">
        <v>0.29512740960312767</v>
      </c>
      <c r="C67">
        <v>0.2972981004222468</v>
      </c>
      <c r="D67">
        <v>0.29946945010408649</v>
      </c>
      <c r="E67">
        <v>0.30164145893295624</v>
      </c>
      <c r="F67">
        <v>0.30381412719317402</v>
      </c>
      <c r="G67">
        <v>0.30598745516906695</v>
      </c>
      <c r="H67">
        <v>0.30816144314497113</v>
      </c>
      <c r="I67">
        <v>0.31033609140523155</v>
      </c>
      <c r="J67">
        <v>0.31251140023420138</v>
      </c>
      <c r="K67">
        <v>0.31468736991624241</v>
      </c>
      <c r="L67">
        <v>0.31686400073572507</v>
      </c>
      <c r="M67">
        <v>0.31904129297702777</v>
      </c>
      <c r="N67">
        <v>0.32121924692453735</v>
      </c>
    </row>
    <row r="68" spans="1:14" x14ac:dyDescent="0.2">
      <c r="A68">
        <v>0.13</v>
      </c>
      <c r="B68">
        <v>0.29744446283205583</v>
      </c>
      <c r="C68">
        <v>0.29956705432972064</v>
      </c>
      <c r="D68">
        <v>0.30169027569490048</v>
      </c>
      <c r="E68">
        <v>0.30381412719317408</v>
      </c>
      <c r="F68">
        <v>0.30593860909012754</v>
      </c>
      <c r="G68">
        <v>0.30806372165135615</v>
      </c>
      <c r="H68">
        <v>0.31018946514246232</v>
      </c>
      <c r="I68">
        <v>0.31231583982905686</v>
      </c>
      <c r="J68">
        <v>0.31444284597675792</v>
      </c>
      <c r="K68">
        <v>0.31657048385119174</v>
      </c>
      <c r="L68">
        <v>0.31869875371799178</v>
      </c>
      <c r="M68">
        <v>0.32082765584279926</v>
      </c>
      <c r="N68">
        <v>0.32295719049126231</v>
      </c>
    </row>
    <row r="69" spans="1:14" x14ac:dyDescent="0.2">
      <c r="A69">
        <v>0.15</v>
      </c>
      <c r="B69">
        <v>0.29976226677541806</v>
      </c>
      <c r="C69">
        <v>0.30183672797879024</v>
      </c>
      <c r="D69">
        <v>0.30391179069411017</v>
      </c>
      <c r="E69">
        <v>0.30598745516906695</v>
      </c>
      <c r="F69">
        <v>0.30806372165135615</v>
      </c>
      <c r="G69">
        <v>0.31014059038868114</v>
      </c>
      <c r="H69">
        <v>0.31221806162875232</v>
      </c>
      <c r="I69">
        <v>0.31429613561928715</v>
      </c>
      <c r="J69">
        <v>0.31637481260801026</v>
      </c>
      <c r="K69">
        <v>0.31845409284265297</v>
      </c>
      <c r="L69">
        <v>0.32053397657095339</v>
      </c>
      <c r="M69">
        <v>0.32261446404065658</v>
      </c>
      <c r="N69">
        <v>0.32469555549951412</v>
      </c>
    </row>
    <row r="70" spans="1:14" x14ac:dyDescent="0.2">
      <c r="A70">
        <v>0.17</v>
      </c>
      <c r="B70">
        <v>0.30208082177898932</v>
      </c>
      <c r="C70">
        <v>0.3041071216938584</v>
      </c>
      <c r="D70">
        <v>0.30613399540564545</v>
      </c>
      <c r="E70">
        <v>0.30816144314497113</v>
      </c>
      <c r="F70">
        <v>0.31018946514246232</v>
      </c>
      <c r="G70">
        <v>0.31221806162875232</v>
      </c>
      <c r="H70">
        <v>0.31424723283448097</v>
      </c>
      <c r="I70">
        <v>0.31627697899029428</v>
      </c>
      <c r="J70">
        <v>0.31830730032684507</v>
      </c>
      <c r="K70">
        <v>0.32033819707479183</v>
      </c>
      <c r="L70">
        <v>0.3223696694647995</v>
      </c>
      <c r="M70">
        <v>0.32440171772753862</v>
      </c>
      <c r="N70">
        <v>0.32643434209368616</v>
      </c>
    </row>
    <row r="71" spans="1:14" x14ac:dyDescent="0.2">
      <c r="A71">
        <v>0.19</v>
      </c>
      <c r="B71">
        <v>0.30440012818855583</v>
      </c>
      <c r="C71">
        <v>0.30637823579933821</v>
      </c>
      <c r="D71">
        <v>0.30835689013344519</v>
      </c>
      <c r="E71">
        <v>0.31033609140523155</v>
      </c>
      <c r="F71">
        <v>0.31231583982905686</v>
      </c>
      <c r="G71">
        <v>0.31429613561928715</v>
      </c>
      <c r="H71">
        <v>0.31627697899029428</v>
      </c>
      <c r="I71">
        <v>0.31825837015645575</v>
      </c>
      <c r="J71">
        <v>0.32024030933215447</v>
      </c>
      <c r="K71">
        <v>0.32222279673177889</v>
      </c>
      <c r="L71">
        <v>0.32420583256972335</v>
      </c>
      <c r="M71">
        <v>0.32618941706038701</v>
      </c>
      <c r="N71">
        <v>0.32817355041817503</v>
      </c>
    </row>
    <row r="72" spans="1:14" x14ac:dyDescent="0.2">
      <c r="A72">
        <v>0.21</v>
      </c>
      <c r="B72">
        <v>0.30672018634991516</v>
      </c>
      <c r="C72">
        <v>0.30865007061965383</v>
      </c>
      <c r="D72">
        <v>0.3105804751814587</v>
      </c>
      <c r="E72">
        <v>0.31251140023420138</v>
      </c>
      <c r="F72">
        <v>0.31444284597675792</v>
      </c>
      <c r="G72">
        <v>0.31637481260801026</v>
      </c>
      <c r="H72">
        <v>0.31830730032684507</v>
      </c>
      <c r="I72">
        <v>0.32024030933215447</v>
      </c>
      <c r="J72">
        <v>0.32217383982283498</v>
      </c>
      <c r="K72">
        <v>0.32410789199778861</v>
      </c>
      <c r="L72">
        <v>0.32604246605592224</v>
      </c>
      <c r="M72">
        <v>0.32797756219614743</v>
      </c>
      <c r="N72">
        <v>0.32991318061738018</v>
      </c>
    </row>
    <row r="73" spans="1:14" x14ac:dyDescent="0.2">
      <c r="A73">
        <v>0.23</v>
      </c>
      <c r="B73">
        <v>0.30904099660887713</v>
      </c>
      <c r="C73">
        <v>0.31092262647923935</v>
      </c>
      <c r="D73">
        <v>0.31280475085364379</v>
      </c>
      <c r="E73">
        <v>0.31468736991624241</v>
      </c>
      <c r="F73">
        <v>0.31657048385119174</v>
      </c>
      <c r="G73">
        <v>0.31845409284265297</v>
      </c>
      <c r="H73">
        <v>0.32033819707479183</v>
      </c>
      <c r="I73">
        <v>0.32222279673177889</v>
      </c>
      <c r="J73">
        <v>0.32410789199778861</v>
      </c>
      <c r="K73">
        <v>0.32599348305700027</v>
      </c>
      <c r="L73">
        <v>0.32787957009359753</v>
      </c>
      <c r="M73">
        <v>0.32976615329176812</v>
      </c>
      <c r="N73">
        <v>0.33165323283570436</v>
      </c>
    </row>
    <row r="74" spans="1:14" x14ac:dyDescent="0.2">
      <c r="A74">
        <v>0.25</v>
      </c>
      <c r="B74">
        <v>0.31136255931126233</v>
      </c>
      <c r="C74">
        <v>0.31319590370253952</v>
      </c>
      <c r="D74">
        <v>0.31502971745396807</v>
      </c>
      <c r="E74">
        <v>0.31686400073572507</v>
      </c>
      <c r="F74">
        <v>0.31869875371799178</v>
      </c>
      <c r="G74">
        <v>0.32053397657095339</v>
      </c>
      <c r="H74">
        <v>0.3223696694647995</v>
      </c>
      <c r="I74">
        <v>0.32420583256972335</v>
      </c>
      <c r="J74">
        <v>0.32604246605592224</v>
      </c>
      <c r="K74">
        <v>0.32787957009359753</v>
      </c>
      <c r="L74">
        <v>0.32971714485295456</v>
      </c>
      <c r="M74">
        <v>0.33155519050420229</v>
      </c>
      <c r="N74">
        <v>0.33339370721755313</v>
      </c>
    </row>
    <row r="75" spans="1:14" x14ac:dyDescent="0.2">
      <c r="A75">
        <v>0.27</v>
      </c>
      <c r="B75">
        <v>0.31368487480290236</v>
      </c>
      <c r="C75">
        <v>0.3154699026140087</v>
      </c>
      <c r="D75">
        <v>0.31725537528640801</v>
      </c>
      <c r="E75">
        <v>0.31904129297702777</v>
      </c>
      <c r="F75">
        <v>0.32082765584279926</v>
      </c>
      <c r="G75">
        <v>0.32261446404065658</v>
      </c>
      <c r="H75">
        <v>0.32440171772753862</v>
      </c>
      <c r="I75">
        <v>0.32618941706038701</v>
      </c>
      <c r="J75">
        <v>0.32797756219614743</v>
      </c>
      <c r="K75">
        <v>0.32976615329176817</v>
      </c>
      <c r="L75">
        <v>0.33155519050420229</v>
      </c>
      <c r="M75">
        <v>0.33334467399040474</v>
      </c>
      <c r="N75">
        <v>0.33513460390733518</v>
      </c>
    </row>
    <row r="76" spans="1:14" x14ac:dyDescent="0.2">
      <c r="A76">
        <v>0.28999999999999998</v>
      </c>
      <c r="B76">
        <v>0.31600794342963995</v>
      </c>
      <c r="C76">
        <v>0.31774462353811161</v>
      </c>
      <c r="D76">
        <v>0.31948172465494956</v>
      </c>
      <c r="E76">
        <v>0.32121924692453735</v>
      </c>
      <c r="F76">
        <v>0.3229571904912622</v>
      </c>
      <c r="G76">
        <v>0.32469555549951412</v>
      </c>
      <c r="H76">
        <v>0.32643434209368616</v>
      </c>
      <c r="I76">
        <v>0.32817355041817503</v>
      </c>
      <c r="J76">
        <v>0.32991318061738018</v>
      </c>
      <c r="K76">
        <v>0.33165323283570436</v>
      </c>
      <c r="L76">
        <v>0.33339370721755313</v>
      </c>
      <c r="M76">
        <v>0.33513460390733518</v>
      </c>
      <c r="N76">
        <v>0.33687592304946196</v>
      </c>
    </row>
  </sheetData>
  <mergeCells count="8">
    <mergeCell ref="X23:Z23"/>
    <mergeCell ref="AB23:AJ23"/>
    <mergeCell ref="AK23:AN23"/>
    <mergeCell ref="A48:C48"/>
    <mergeCell ref="A62:C62"/>
    <mergeCell ref="A23:H23"/>
    <mergeCell ref="J23:N23"/>
    <mergeCell ref="P23:V2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B2E2592-DC7B-D84D-9275-388E9C173DA8}">
          <x14:formula1>
            <xm:f>'male lifetable'!$A$2:$A$96</xm:f>
          </x14:formula1>
          <xm:sqref>E2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C47F9-CB6E-C84A-A72C-817B6FD97EA2}">
  <sheetPr codeName="Sheet10"/>
  <dimension ref="A1:C96"/>
  <sheetViews>
    <sheetView workbookViewId="0">
      <selection activeCell="G15" sqref="G15"/>
    </sheetView>
  </sheetViews>
  <sheetFormatPr baseColWidth="10" defaultRowHeight="16" x14ac:dyDescent="0.2"/>
  <cols>
    <col min="2" max="2" width="12.33203125" customWidth="1"/>
    <col min="3" max="3" width="13.33203125" customWidth="1"/>
  </cols>
  <sheetData>
    <row r="1" spans="1:3" ht="18" x14ac:dyDescent="0.2">
      <c r="A1" s="7" t="s">
        <v>141</v>
      </c>
      <c r="B1" s="7" t="s">
        <v>1</v>
      </c>
      <c r="C1" s="7" t="s">
        <v>75</v>
      </c>
    </row>
    <row r="2" spans="1:3" ht="19" x14ac:dyDescent="0.25">
      <c r="A2" s="7">
        <v>26</v>
      </c>
      <c r="B2" s="9">
        <v>3.3534251199999999E-4</v>
      </c>
      <c r="C2" s="7">
        <f>Table22[[#This Row],[q_x]]*(1-'Cardio App'!B2)*(1-'Cancer prevention'!B2)</f>
        <v>2.5072033813810401E-4</v>
      </c>
    </row>
    <row r="3" spans="1:3" ht="19" x14ac:dyDescent="0.25">
      <c r="A3" s="7">
        <v>27</v>
      </c>
      <c r="B3" s="9">
        <v>4.4088030670000003E-4</v>
      </c>
      <c r="C3" s="7">
        <f>Table22[[#This Row],[q_x]]*(1-'Cardio App'!B3)*(1-'Cancer prevention'!B3)</f>
        <v>3.2962614526563515E-4</v>
      </c>
    </row>
    <row r="4" spans="1:3" ht="19" x14ac:dyDescent="0.25">
      <c r="A4" s="7">
        <v>28</v>
      </c>
      <c r="B4" s="9">
        <v>5.2525814349999999E-4</v>
      </c>
      <c r="C4" s="7">
        <f>Table22[[#This Row],[q_x]]*(1-'Cardio App'!B4)*(1-'Cancer prevention'!B4)</f>
        <v>3.9271161464942079E-4</v>
      </c>
    </row>
    <row r="5" spans="1:3" ht="19" x14ac:dyDescent="0.25">
      <c r="A5" s="7">
        <v>29</v>
      </c>
      <c r="B5" s="9">
        <v>5.9131351469999995E-4</v>
      </c>
      <c r="C5" s="7">
        <f>Table22[[#This Row],[q_x]]*(1-'Cardio App'!B5)*(1-'Cancer prevention'!B5)</f>
        <v>4.4209821017627117E-4</v>
      </c>
    </row>
    <row r="6" spans="1:3" ht="19" x14ac:dyDescent="0.25">
      <c r="A6" s="7">
        <v>30</v>
      </c>
      <c r="B6" s="9">
        <v>6.4188391279999997E-4</v>
      </c>
      <c r="C6" s="7">
        <f>Table22[[#This Row],[q_x]]*(1-'Cardio App'!B6)*(1-'Cancer prevention'!B6)</f>
        <v>4.0597899392130906E-4</v>
      </c>
    </row>
    <row r="7" spans="1:3" ht="19" x14ac:dyDescent="0.25">
      <c r="A7" s="7">
        <v>31</v>
      </c>
      <c r="B7" s="9">
        <v>6.7980683010000005E-4</v>
      </c>
      <c r="C7" s="7">
        <f>Table22[[#This Row],[q_x]]*(1-'Cardio App'!B7)*(1-'Cancer prevention'!B7)</f>
        <v>4.2996449582438011E-4</v>
      </c>
    </row>
    <row r="8" spans="1:3" ht="19" x14ac:dyDescent="0.25">
      <c r="A8" s="7">
        <v>32</v>
      </c>
      <c r="B8" s="9">
        <v>7.0791975890000002E-4</v>
      </c>
      <c r="C8" s="7">
        <f>Table22[[#This Row],[q_x]]*(1-'Cardio App'!B8)*(1-'Cancer prevention'!B8)</f>
        <v>4.4774537227697557E-4</v>
      </c>
    </row>
    <row r="9" spans="1:3" ht="19" x14ac:dyDescent="0.25">
      <c r="A9" s="7">
        <v>33</v>
      </c>
      <c r="B9" s="9">
        <v>7.2906019159999999E-4</v>
      </c>
      <c r="C9" s="7">
        <f>Table22[[#This Row],[q_x]]*(1-'Cardio App'!B9)*(1-'Cancer prevention'!B9)</f>
        <v>4.6111628160724465E-4</v>
      </c>
    </row>
    <row r="10" spans="1:3" ht="19" x14ac:dyDescent="0.25">
      <c r="A10" s="7">
        <v>34</v>
      </c>
      <c r="B10" s="9">
        <v>7.4606562049999998E-4</v>
      </c>
      <c r="C10" s="7">
        <f>Table22[[#This Row],[q_x]]*(1-'Cardio App'!B10)*(1-'Cancer prevention'!B10)</f>
        <v>4.7187188208008818E-4</v>
      </c>
    </row>
    <row r="11" spans="1:3" ht="19" x14ac:dyDescent="0.25">
      <c r="A11" s="7">
        <v>35</v>
      </c>
      <c r="B11" s="9">
        <v>7.61773538E-4</v>
      </c>
      <c r="C11" s="7">
        <f>Table22[[#This Row],[q_x]]*(1-'Cardio App'!B11)*(1-'Cancer prevention'!B11)</f>
        <v>4.818068320236552E-4</v>
      </c>
    </row>
    <row r="12" spans="1:3" ht="19" x14ac:dyDescent="0.25">
      <c r="A12" s="7">
        <v>36</v>
      </c>
      <c r="B12" s="9">
        <v>7.790214363E-4</v>
      </c>
      <c r="C12" s="7">
        <f>Table22[[#This Row],[q_x]]*(1-'Cardio App'!B12)*(1-'Cancer prevention'!B12)</f>
        <v>4.9271578963959852E-4</v>
      </c>
    </row>
    <row r="13" spans="1:3" ht="19" x14ac:dyDescent="0.25">
      <c r="A13" s="7">
        <v>37</v>
      </c>
      <c r="B13" s="9">
        <v>8.0064680800000004E-4</v>
      </c>
      <c r="C13" s="7">
        <f>Table22[[#This Row],[q_x]]*(1-'Cardio App'!B13)*(1-'Cancer prevention'!B13)</f>
        <v>5.0639341338256326E-4</v>
      </c>
    </row>
    <row r="14" spans="1:3" ht="19" x14ac:dyDescent="0.25">
      <c r="A14" s="7">
        <v>38</v>
      </c>
      <c r="B14" s="9">
        <v>8.2948714519999998E-4</v>
      </c>
      <c r="C14" s="7">
        <f>Table22[[#This Row],[q_x]]*(1-'Cardio App'!B14)*(1-'Cancer prevention'!B14)</f>
        <v>5.2463436139095411E-4</v>
      </c>
    </row>
    <row r="15" spans="1:3" ht="19" x14ac:dyDescent="0.25">
      <c r="A15" s="7">
        <v>39</v>
      </c>
      <c r="B15" s="9">
        <v>8.6837994030000004E-4</v>
      </c>
      <c r="C15" s="7">
        <f>Table22[[#This Row],[q_x]]*(1-'Cardio App'!B15)*(1-'Cancer prevention'!B15)</f>
        <v>5.4923329199292018E-4</v>
      </c>
    </row>
    <row r="16" spans="1:3" ht="19" x14ac:dyDescent="0.25">
      <c r="A16" s="7">
        <v>40</v>
      </c>
      <c r="B16" s="9">
        <v>9.2016268579999999E-4</v>
      </c>
      <c r="C16" s="7">
        <f>Table22[[#This Row],[q_x]]*(1-'Cardio App'!B16)*(1-'Cancer prevention'!B16)</f>
        <v>5.8198486357985836E-4</v>
      </c>
    </row>
    <row r="17" spans="1:3" ht="19" x14ac:dyDescent="0.25">
      <c r="A17" s="7">
        <v>41</v>
      </c>
      <c r="B17" s="9">
        <v>9.8712468829999993E-4</v>
      </c>
      <c r="C17" s="7">
        <f>Table22[[#This Row],[q_x]]*(1-'Cardio App'!B17)*(1-'Cancer prevention'!B17)</f>
        <v>6.2433701770585933E-4</v>
      </c>
    </row>
    <row r="18" spans="1:3" ht="19" x14ac:dyDescent="0.25">
      <c r="A18" s="7">
        <v>42</v>
      </c>
      <c r="B18" s="9">
        <v>1.069362512E-3</v>
      </c>
      <c r="C18" s="7">
        <f>Table22[[#This Row],[q_x]]*(1-'Cardio App'!B18)*(1-'Cancer prevention'!B18)</f>
        <v>6.7635082933476486E-4</v>
      </c>
    </row>
    <row r="19" spans="1:3" ht="19" x14ac:dyDescent="0.25">
      <c r="A19" s="7">
        <v>43</v>
      </c>
      <c r="B19" s="9">
        <v>1.1664245369999999E-3</v>
      </c>
      <c r="C19" s="7">
        <f>Table22[[#This Row],[q_x]]*(1-'Cardio App'!B19)*(1-'Cancer prevention'!B19)</f>
        <v>7.3774065773157479E-4</v>
      </c>
    </row>
    <row r="20" spans="1:3" ht="19" x14ac:dyDescent="0.25">
      <c r="A20" s="7">
        <v>44</v>
      </c>
      <c r="B20" s="9">
        <v>1.27785914E-3</v>
      </c>
      <c r="C20" s="7">
        <f>Table22[[#This Row],[q_x]]*(1-'Cardio App'!B20)*(1-'Cancer prevention'!B20)</f>
        <v>8.0822086001085605E-4</v>
      </c>
    </row>
    <row r="21" spans="1:3" ht="19" x14ac:dyDescent="0.25">
      <c r="A21" s="7">
        <v>45</v>
      </c>
      <c r="B21" s="9">
        <v>1.4032147020000001E-3</v>
      </c>
      <c r="C21" s="7">
        <f>Table22[[#This Row],[q_x]]*(1-'Cardio App'!B21)*(1-'Cancer prevention'!B21)</f>
        <v>8.8750579600684087E-4</v>
      </c>
    </row>
    <row r="22" spans="1:3" ht="19" x14ac:dyDescent="0.25">
      <c r="A22" s="7">
        <v>46</v>
      </c>
      <c r="B22" s="9">
        <v>1.5420396E-3</v>
      </c>
      <c r="C22" s="7">
        <f>Table22[[#This Row],[q_x]]*(1-'Cardio App'!B22)*(1-'Cancer prevention'!B22)</f>
        <v>9.7530982302383999E-4</v>
      </c>
    </row>
    <row r="23" spans="1:3" ht="19" x14ac:dyDescent="0.25">
      <c r="A23" s="7">
        <v>47</v>
      </c>
      <c r="B23" s="9">
        <v>1.6938822140000001E-3</v>
      </c>
      <c r="C23" s="7">
        <f>Table22[[#This Row],[q_x]]*(1-'Cardio App'!B23)*(1-'Cancer prevention'!B23)</f>
        <v>1.0713473002636057E-3</v>
      </c>
    </row>
    <row r="24" spans="1:3" ht="19" x14ac:dyDescent="0.25">
      <c r="A24" s="7">
        <v>48</v>
      </c>
      <c r="B24" s="9">
        <v>1.8582909230000001E-3</v>
      </c>
      <c r="C24" s="7">
        <f>Table22[[#This Row],[q_x]]*(1-'Cardio App'!B24)*(1-'Cancer prevention'!B24)</f>
        <v>1.1753325862954092E-3</v>
      </c>
    </row>
    <row r="25" spans="1:3" ht="19" x14ac:dyDescent="0.25">
      <c r="A25" s="7">
        <v>49</v>
      </c>
      <c r="B25" s="9">
        <v>2.0348141049999998E-3</v>
      </c>
      <c r="C25" s="7">
        <f>Table22[[#This Row],[q_x]]*(1-'Cardio App'!B25)*(1-'Cancer prevention'!B25)</f>
        <v>1.2869800390560419E-3</v>
      </c>
    </row>
    <row r="26" spans="1:3" ht="19" x14ac:dyDescent="0.25">
      <c r="A26" s="7">
        <v>50</v>
      </c>
      <c r="B26" s="9">
        <v>2.223000139E-3</v>
      </c>
      <c r="C26" s="7">
        <f>Table22[[#This Row],[q_x]]*(1-'Cardio App'!B26)*(1-'Cancer prevention'!B26)</f>
        <v>1.6246585330868294E-3</v>
      </c>
    </row>
    <row r="27" spans="1:3" ht="19" x14ac:dyDescent="0.25">
      <c r="A27" s="7">
        <v>51</v>
      </c>
      <c r="B27" s="9">
        <v>2.4223974049999999E-3</v>
      </c>
      <c r="C27" s="7">
        <f>Table22[[#This Row],[q_x]]*(1-'Cardio App'!B27)*(1-'Cancer prevention'!B27)</f>
        <v>1.7703861306689024E-3</v>
      </c>
    </row>
    <row r="28" spans="1:3" ht="19" x14ac:dyDescent="0.25">
      <c r="A28" s="7">
        <v>52</v>
      </c>
      <c r="B28" s="9">
        <v>2.6325542809999998E-3</v>
      </c>
      <c r="C28" s="7">
        <f>Table22[[#This Row],[q_x]]*(1-'Cardio App'!B28)*(1-'Cancer prevention'!B28)</f>
        <v>1.9239772870031804E-3</v>
      </c>
    </row>
    <row r="29" spans="1:3" ht="19" x14ac:dyDescent="0.25">
      <c r="A29" s="7">
        <v>53</v>
      </c>
      <c r="B29" s="9">
        <v>2.8530191449999999E-3</v>
      </c>
      <c r="C29" s="7">
        <f>Table22[[#This Row],[q_x]]*(1-'Cardio App'!B29)*(1-'Cancer prevention'!B29)</f>
        <v>2.0851019384413721E-3</v>
      </c>
    </row>
    <row r="30" spans="1:3" ht="19" x14ac:dyDescent="0.25">
      <c r="A30" s="7">
        <v>54</v>
      </c>
      <c r="B30" s="9">
        <v>3.0833403770000002E-3</v>
      </c>
      <c r="C30" s="7">
        <f>Table22[[#This Row],[q_x]]*(1-'Cardio App'!B30)*(1-'Cancer prevention'!B30)</f>
        <v>2.2534300227968684E-3</v>
      </c>
    </row>
    <row r="31" spans="1:3" ht="19" x14ac:dyDescent="0.25">
      <c r="A31" s="7">
        <v>55</v>
      </c>
      <c r="B31" s="9">
        <v>3.3230663549999998E-3</v>
      </c>
      <c r="C31" s="7">
        <f>Table22[[#This Row],[q_x]]*(1-'Cardio App'!B31)*(1-'Cancer prevention'!B31)</f>
        <v>2.4286314764213773E-3</v>
      </c>
    </row>
    <row r="32" spans="1:3" ht="19" x14ac:dyDescent="0.25">
      <c r="A32" s="7">
        <v>56</v>
      </c>
      <c r="B32" s="9">
        <v>3.5717454590000002E-3</v>
      </c>
      <c r="C32" s="7">
        <f>Table22[[#This Row],[q_x]]*(1-'Cardio App'!B32)*(1-'Cancer prevention'!B32)</f>
        <v>2.6103762371282894E-3</v>
      </c>
    </row>
    <row r="33" spans="1:3" ht="19" x14ac:dyDescent="0.25">
      <c r="A33" s="7">
        <v>57</v>
      </c>
      <c r="B33" s="9">
        <v>3.828926067E-3</v>
      </c>
      <c r="C33" s="7">
        <f>Table22[[#This Row],[q_x]]*(1-'Cardio App'!B33)*(1-'Cancer prevention'!B33)</f>
        <v>2.7983342412693135E-3</v>
      </c>
    </row>
    <row r="34" spans="1:3" ht="19" x14ac:dyDescent="0.25">
      <c r="A34" s="7">
        <v>58</v>
      </c>
      <c r="B34" s="9">
        <v>4.0941565580000002E-3</v>
      </c>
      <c r="C34" s="7">
        <f>Table22[[#This Row],[q_x]]*(1-'Cardio App'!B34)*(1-'Cancer prevention'!B34)</f>
        <v>2.9921754259269991E-3</v>
      </c>
    </row>
    <row r="35" spans="1:3" ht="19" x14ac:dyDescent="0.25">
      <c r="A35" s="7">
        <v>59</v>
      </c>
      <c r="B35" s="9">
        <v>4.3669853110000004E-3</v>
      </c>
      <c r="C35" s="7">
        <f>Table22[[#This Row],[q_x]]*(1-'Cardio App'!B35)*(1-'Cancer prevention'!B35)</f>
        <v>3.1915697281838956E-3</v>
      </c>
    </row>
    <row r="36" spans="1:3" ht="19" x14ac:dyDescent="0.25">
      <c r="A36" s="7">
        <v>60</v>
      </c>
      <c r="B36" s="9">
        <v>4.6469607049999997E-3</v>
      </c>
      <c r="C36" s="7">
        <f>Table22[[#This Row],[q_x]]*(1-'Cardio App'!B36)*(1-'Cancer prevention'!B36)</f>
        <v>3.3961870851225524E-3</v>
      </c>
    </row>
    <row r="37" spans="1:3" ht="19" x14ac:dyDescent="0.25">
      <c r="A37" s="7">
        <v>61</v>
      </c>
      <c r="B37" s="9">
        <v>4.9357485690000001E-3</v>
      </c>
      <c r="C37" s="7">
        <f>Table22[[#This Row],[q_x]]*(1-'Cardio App'!B37)*(1-'Cancer prevention'!B37)</f>
        <v>3.6072449520422449E-3</v>
      </c>
    </row>
    <row r="38" spans="1:3" ht="19" x14ac:dyDescent="0.25">
      <c r="A38" s="7">
        <v>62</v>
      </c>
      <c r="B38" s="9">
        <v>5.2434845360000001E-3</v>
      </c>
      <c r="C38" s="7">
        <f>Table22[[#This Row],[q_x]]*(1-'Cardio App'!B38)*(1-'Cancer prevention'!B38)</f>
        <v>3.8321508600325082E-3</v>
      </c>
    </row>
    <row r="39" spans="1:3" ht="19" x14ac:dyDescent="0.25">
      <c r="A39" s="7">
        <v>63</v>
      </c>
      <c r="B39" s="9">
        <v>5.582421689E-3</v>
      </c>
      <c r="C39" s="7">
        <f>Table22[[#This Row],[q_x]]*(1-'Cardio App'!B39)*(1-'Cancer prevention'!B39)</f>
        <v>4.0798598583996039E-3</v>
      </c>
    </row>
    <row r="40" spans="1:3" ht="19" x14ac:dyDescent="0.25">
      <c r="A40" s="7">
        <v>64</v>
      </c>
      <c r="B40" s="9">
        <v>5.9648131099999998E-3</v>
      </c>
      <c r="C40" s="7">
        <f>Table22[[#This Row],[q_x]]*(1-'Cardio App'!B40)*(1-'Cancer prevention'!B40)</f>
        <v>4.3593269957189545E-3</v>
      </c>
    </row>
    <row r="41" spans="1:3" ht="19" x14ac:dyDescent="0.25">
      <c r="A41" s="7">
        <v>65</v>
      </c>
      <c r="B41" s="9">
        <v>6.4029118839999998E-3</v>
      </c>
      <c r="C41" s="7">
        <f>Table22[[#This Row],[q_x]]*(1-'Cardio App'!B41)*(1-'Cancer prevention'!B41)</f>
        <v>4.6795073227585016E-3</v>
      </c>
    </row>
    <row r="42" spans="1:3" ht="19" x14ac:dyDescent="0.25">
      <c r="A42" s="7">
        <v>66</v>
      </c>
      <c r="B42" s="9">
        <v>6.9089710920000004E-3</v>
      </c>
      <c r="C42" s="7">
        <f>Table22[[#This Row],[q_x]]*(1-'Cardio App'!B42)*(1-'Cancer prevention'!B42)</f>
        <v>5.0493558873628266E-3</v>
      </c>
    </row>
    <row r="43" spans="1:3" ht="19" x14ac:dyDescent="0.25">
      <c r="A43" s="7">
        <v>67</v>
      </c>
      <c r="B43" s="9">
        <v>7.4952438190000002E-3</v>
      </c>
      <c r="C43" s="7">
        <f>Table22[[#This Row],[q_x]]*(1-'Cardio App'!B43)*(1-'Cancer prevention'!B43)</f>
        <v>5.4778277402998694E-3</v>
      </c>
    </row>
    <row r="44" spans="1:3" ht="19" x14ac:dyDescent="0.25">
      <c r="A44" s="7">
        <v>68</v>
      </c>
      <c r="B44" s="9">
        <v>8.173983147E-3</v>
      </c>
      <c r="C44" s="7">
        <f>Table22[[#This Row],[q_x]]*(1-'Cardio App'!B44)*(1-'Cancer prevention'!B44)</f>
        <v>5.9738779301450528E-3</v>
      </c>
    </row>
    <row r="45" spans="1:3" ht="19" x14ac:dyDescent="0.25">
      <c r="A45" s="7">
        <v>69</v>
      </c>
      <c r="B45" s="9">
        <v>8.9574421590000002E-3</v>
      </c>
      <c r="C45" s="7">
        <f>Table22[[#This Row],[q_x]]*(1-'Cardio App'!B45)*(1-'Cancer prevention'!B45)</f>
        <v>6.5464615062046389E-3</v>
      </c>
    </row>
    <row r="46" spans="1:3" ht="19" x14ac:dyDescent="0.25">
      <c r="A46" s="7">
        <v>70</v>
      </c>
      <c r="B46" s="9">
        <v>9.8578739390000007E-3</v>
      </c>
      <c r="C46" s="7">
        <f>Table22[[#This Row],[q_x]]*(1-'Cardio App'!B46)*(1-'Cancer prevention'!B46)</f>
        <v>8.1000770054411551E-3</v>
      </c>
    </row>
    <row r="47" spans="1:3" ht="19" x14ac:dyDescent="0.25">
      <c r="A47" s="7">
        <v>71</v>
      </c>
      <c r="B47" s="9">
        <v>1.0887531569999999E-2</v>
      </c>
      <c r="C47" s="7">
        <f>Table22[[#This Row],[q_x]]*(1-'Cardio App'!B47)*(1-'Cancer prevention'!B47)</f>
        <v>8.9461322656270211E-3</v>
      </c>
    </row>
    <row r="48" spans="1:3" ht="19" x14ac:dyDescent="0.25">
      <c r="A48" s="7">
        <v>72</v>
      </c>
      <c r="B48" s="9">
        <v>1.205866813E-2</v>
      </c>
      <c r="C48" s="7">
        <f>Table22[[#This Row],[q_x]]*(1-'Cardio App'!B48)*(1-'Cancer prevention'!B48)</f>
        <v>9.90843878106718E-3</v>
      </c>
    </row>
    <row r="49" spans="1:3" ht="19" x14ac:dyDescent="0.25">
      <c r="A49" s="7">
        <v>73</v>
      </c>
      <c r="B49" s="9">
        <v>1.3383536709999999E-2</v>
      </c>
      <c r="C49" s="7">
        <f>Table22[[#This Row],[q_x]]*(1-'Cardio App'!B49)*(1-'Cancer prevention'!B49)</f>
        <v>1.0997064745093061E-2</v>
      </c>
    </row>
    <row r="50" spans="1:3" ht="19" x14ac:dyDescent="0.25">
      <c r="A50" s="7">
        <v>74</v>
      </c>
      <c r="B50" s="9">
        <v>1.4874390390000001E-2</v>
      </c>
      <c r="C50" s="7">
        <f>Table22[[#This Row],[q_x]]*(1-'Cardio App'!B50)*(1-'Cancer prevention'!B50)</f>
        <v>1.222207834199754E-2</v>
      </c>
    </row>
    <row r="51" spans="1:3" ht="19" x14ac:dyDescent="0.25">
      <c r="A51" s="7">
        <v>75</v>
      </c>
      <c r="B51" s="9">
        <v>1.6543482259999999E-2</v>
      </c>
      <c r="C51" s="7">
        <f>Table22[[#This Row],[q_x]]*(1-'Cardio App'!B51)*(1-'Cancer prevention'!B51)</f>
        <v>1.3593547764290359E-2</v>
      </c>
    </row>
    <row r="52" spans="1:3" ht="19" x14ac:dyDescent="0.25">
      <c r="A52" s="7">
        <v>76</v>
      </c>
      <c r="B52" s="9">
        <v>1.8403065390000001E-2</v>
      </c>
      <c r="C52" s="7">
        <f>Table22[[#This Row],[q_x]]*(1-'Cardio App'!B52)*(1-'Cancer prevention'!B52)</f>
        <v>1.5121541188047542E-2</v>
      </c>
    </row>
    <row r="53" spans="1:3" ht="19" x14ac:dyDescent="0.25">
      <c r="A53" s="7">
        <v>77</v>
      </c>
      <c r="B53" s="9">
        <v>2.0465392860000001E-2</v>
      </c>
      <c r="C53" s="7">
        <f>Table22[[#This Row],[q_x]]*(1-'Cardio App'!B53)*(1-'Cancer prevention'!B53)</f>
        <v>1.6816126797561962E-2</v>
      </c>
    </row>
    <row r="54" spans="1:3" ht="19" x14ac:dyDescent="0.25">
      <c r="A54" s="7">
        <v>78</v>
      </c>
      <c r="B54" s="9">
        <v>2.274271777E-2</v>
      </c>
      <c r="C54" s="7">
        <f>Table22[[#This Row],[q_x]]*(1-'Cardio App'!B54)*(1-'Cancer prevention'!B54)</f>
        <v>1.8687372793560222E-2</v>
      </c>
    </row>
    <row r="55" spans="1:3" ht="19" x14ac:dyDescent="0.25">
      <c r="A55" s="7">
        <v>79</v>
      </c>
      <c r="B55" s="9">
        <v>2.52472932E-2</v>
      </c>
      <c r="C55" s="7">
        <f>Table22[[#This Row],[q_x]]*(1-'Cardio App'!B55)*(1-'Cancer prevention'!B55)</f>
        <v>2.0745347360335203E-2</v>
      </c>
    </row>
    <row r="56" spans="1:3" ht="19" x14ac:dyDescent="0.25">
      <c r="A56" s="7">
        <v>80</v>
      </c>
      <c r="B56" s="9">
        <v>2.7991372220000001E-2</v>
      </c>
      <c r="C56" s="7">
        <f>Table22[[#This Row],[q_x]]*(1-'Cardio App'!B56)*(1-'Cancer prevention'!B56)</f>
        <v>2.300011867396292E-2</v>
      </c>
    </row>
    <row r="57" spans="1:3" ht="19" x14ac:dyDescent="0.25">
      <c r="A57" s="7">
        <v>81</v>
      </c>
      <c r="B57" s="9">
        <v>3.1345718240000001E-2</v>
      </c>
      <c r="C57" s="7">
        <f>Table22[[#This Row],[q_x]]*(1-'Cardio App'!B57)*(1-'Cancer prevention'!B57)</f>
        <v>2.5756337837752642E-2</v>
      </c>
    </row>
    <row r="58" spans="1:3" ht="19" x14ac:dyDescent="0.25">
      <c r="A58" s="7">
        <v>82</v>
      </c>
      <c r="B58" s="9">
        <v>3.6074845539999997E-2</v>
      </c>
      <c r="C58" s="7">
        <f>Table22[[#This Row],[q_x]]*(1-'Cardio App'!B58)*(1-'Cancer prevention'!B58)</f>
        <v>2.9642195532380441E-2</v>
      </c>
    </row>
    <row r="59" spans="1:3" ht="19" x14ac:dyDescent="0.25">
      <c r="A59" s="7">
        <v>83</v>
      </c>
      <c r="B59" s="9">
        <v>4.2518036500000002E-2</v>
      </c>
      <c r="C59" s="7">
        <f>Table22[[#This Row],[q_x]]*(1-'Cardio App'!B59)*(1-'Cancer prevention'!B59)</f>
        <v>3.4936475339539003E-2</v>
      </c>
    </row>
    <row r="60" spans="1:3" ht="19" x14ac:dyDescent="0.25">
      <c r="A60" s="7">
        <v>84</v>
      </c>
      <c r="B60" s="9">
        <v>5.1015379469999997E-2</v>
      </c>
      <c r="C60" s="7">
        <f>Table22[[#This Row],[q_x]]*(1-'Cardio App'!B60)*(1-'Cancer prevention'!B60)</f>
        <v>4.1918623095186423E-2</v>
      </c>
    </row>
    <row r="61" spans="1:3" ht="19" x14ac:dyDescent="0.25">
      <c r="A61" s="7">
        <v>85</v>
      </c>
      <c r="B61" s="9">
        <v>6.1565624530000002E-2</v>
      </c>
      <c r="C61" s="7">
        <f>Table22[[#This Row],[q_x]]*(1-'Cardio App'!B61)*(1-'Cancer prevention'!B61)</f>
        <v>5.0587611757557584E-2</v>
      </c>
    </row>
    <row r="62" spans="1:3" ht="19" x14ac:dyDescent="0.25">
      <c r="A62" s="7">
        <v>86</v>
      </c>
      <c r="B62" s="9">
        <v>7.4005408689999996E-2</v>
      </c>
      <c r="C62" s="7">
        <f>Table22[[#This Row],[q_x]]*(1-'Cardio App'!B62)*(1-'Cancer prevention'!B62)</f>
        <v>6.0809208244851337E-2</v>
      </c>
    </row>
    <row r="63" spans="1:3" ht="19" x14ac:dyDescent="0.25">
      <c r="A63" s="7">
        <v>87</v>
      </c>
      <c r="B63" s="9">
        <v>8.8582400699999994E-2</v>
      </c>
      <c r="C63" s="7">
        <f>Table22[[#This Row],[q_x]]*(1-'Cardio App'!B63)*(1-'Cancer prevention'!B63)</f>
        <v>7.27869185015802E-2</v>
      </c>
    </row>
    <row r="64" spans="1:3" ht="19" x14ac:dyDescent="0.25">
      <c r="A64" s="7">
        <v>88</v>
      </c>
      <c r="B64" s="9">
        <v>0.1050926761</v>
      </c>
      <c r="C64" s="7">
        <f>Table22[[#This Row],[q_x]]*(1-'Cardio App'!B64)*(1-'Cancer prevention'!B64)</f>
        <v>8.6353180653904613E-2</v>
      </c>
    </row>
    <row r="65" spans="1:3" ht="19" x14ac:dyDescent="0.25">
      <c r="A65" s="7">
        <v>89</v>
      </c>
      <c r="B65" s="9">
        <v>0.1235648594</v>
      </c>
      <c r="C65" s="7">
        <f>Table22[[#This Row],[q_x]]*(1-'Cardio App'!B65)*(1-'Cancer prevention'!B65)</f>
        <v>0.10153151506094842</v>
      </c>
    </row>
    <row r="66" spans="1:3" ht="19" x14ac:dyDescent="0.25">
      <c r="A66" s="7">
        <v>90</v>
      </c>
      <c r="B66" s="9">
        <v>0.1438957408</v>
      </c>
      <c r="C66" s="7">
        <f>Table22[[#This Row],[q_x]]*(1-'Cardio App'!B66)*(1-'Cancer prevention'!B66)</f>
        <v>0.1182371156749888</v>
      </c>
    </row>
    <row r="67" spans="1:3" ht="19" x14ac:dyDescent="0.25">
      <c r="A67" s="7">
        <v>91</v>
      </c>
      <c r="B67" s="9">
        <v>0.16435597460000001</v>
      </c>
      <c r="C67" s="7">
        <f>Table22[[#This Row],[q_x]]*(1-'Cardio App'!B67)*(1-'Cancer prevention'!B67)</f>
        <v>0.13504900334517561</v>
      </c>
    </row>
    <row r="68" spans="1:3" ht="19" x14ac:dyDescent="0.25">
      <c r="A68" s="7">
        <v>92</v>
      </c>
      <c r="B68" s="9">
        <v>0.18581168510000001</v>
      </c>
      <c r="C68" s="7">
        <f>Table22[[#This Row],[q_x]]*(1-'Cardio App'!B68)*(1-'Cancer prevention'!B68)</f>
        <v>0.15267886028307862</v>
      </c>
    </row>
    <row r="69" spans="1:3" ht="19" x14ac:dyDescent="0.25">
      <c r="A69" s="7">
        <v>93</v>
      </c>
      <c r="B69" s="9">
        <v>0.207642256</v>
      </c>
      <c r="C69" s="7">
        <f>Table22[[#This Row],[q_x]]*(1-'Cardio App'!B69)*(1-'Cancer prevention'!B69)</f>
        <v>0.17061673476361602</v>
      </c>
    </row>
    <row r="70" spans="1:3" ht="19" x14ac:dyDescent="0.25">
      <c r="A70" s="7">
        <v>94</v>
      </c>
      <c r="B70" s="9">
        <v>0.22948699819999999</v>
      </c>
      <c r="C70" s="7">
        <f>Table22[[#This Row],[q_x]]*(1-'Cardio App'!B70)*(1-'Cancer prevention'!B70)</f>
        <v>0.18856625360296519</v>
      </c>
    </row>
    <row r="71" spans="1:3" ht="19" x14ac:dyDescent="0.25">
      <c r="A71" s="7">
        <v>95</v>
      </c>
      <c r="B71" s="9">
        <v>0.25202198619999999</v>
      </c>
      <c r="C71" s="7">
        <f>Table22[[#This Row],[q_x]]*(1-'Cardio App'!B71)*(1-'Cancer prevention'!B71)</f>
        <v>0.2070829377527332</v>
      </c>
    </row>
    <row r="72" spans="1:3" ht="19" x14ac:dyDescent="0.25">
      <c r="A72" s="7">
        <v>96</v>
      </c>
      <c r="B72" s="9">
        <v>0.27450597059999998</v>
      </c>
      <c r="C72" s="7">
        <f>Table22[[#This Row],[q_x]]*(1-'Cardio App'!B72)*(1-'Cancer prevention'!B72)</f>
        <v>0.22555771295843158</v>
      </c>
    </row>
    <row r="73" spans="1:3" ht="19" x14ac:dyDescent="0.25">
      <c r="A73" s="7">
        <v>97</v>
      </c>
      <c r="B73" s="9">
        <v>0.2976445929</v>
      </c>
      <c r="C73" s="7">
        <f>Table22[[#This Row],[q_x]]*(1-'Cardio App'!B73)*(1-'Cancer prevention'!B73)</f>
        <v>0.24457039496162944</v>
      </c>
    </row>
    <row r="74" spans="1:3" ht="19" x14ac:dyDescent="0.25">
      <c r="A74" s="7">
        <v>98</v>
      </c>
      <c r="B74" s="9">
        <v>0.32160249130000002</v>
      </c>
      <c r="C74" s="7">
        <f>Table22[[#This Row],[q_x]]*(1-'Cardio App'!B74)*(1-'Cancer prevention'!B74)</f>
        <v>0.26425626466633184</v>
      </c>
    </row>
    <row r="75" spans="1:3" ht="19" x14ac:dyDescent="0.25">
      <c r="A75" s="7">
        <v>99</v>
      </c>
      <c r="B75" s="9">
        <v>0.34564267430000001</v>
      </c>
      <c r="C75" s="7">
        <f>Table22[[#This Row],[q_x]]*(1-'Cardio App'!B75)*(1-'Cancer prevention'!B75)</f>
        <v>0.28400974647486987</v>
      </c>
    </row>
    <row r="76" spans="1:3" ht="19" x14ac:dyDescent="0.25">
      <c r="A76" s="7">
        <v>100</v>
      </c>
      <c r="B76" s="9">
        <v>0.37048969749999999</v>
      </c>
      <c r="C76" s="7">
        <f>Table22[[#This Row],[q_x]]*(1-'Cardio App'!B76)*(1-'Cancer prevention'!B76)</f>
        <v>0.37048969749999999</v>
      </c>
    </row>
    <row r="77" spans="1:3" ht="19" x14ac:dyDescent="0.25">
      <c r="A77" s="7">
        <v>101</v>
      </c>
      <c r="B77" s="9">
        <v>0.39533692190000003</v>
      </c>
      <c r="C77" s="7">
        <f>Table22[[#This Row],[q_x]]*(1-'Cardio App'!B77)*(1-'Cancer prevention'!B77)</f>
        <v>0.39533692190000003</v>
      </c>
    </row>
    <row r="78" spans="1:3" ht="19" x14ac:dyDescent="0.25">
      <c r="A78" s="7">
        <v>102</v>
      </c>
      <c r="B78" s="9">
        <v>0.4196770252</v>
      </c>
      <c r="C78" s="7">
        <f>Table22[[#This Row],[q_x]]*(1-'Cardio App'!B78)*(1-'Cancer prevention'!B78)</f>
        <v>0.4196770252</v>
      </c>
    </row>
    <row r="79" spans="1:3" ht="19" x14ac:dyDescent="0.25">
      <c r="A79" s="7">
        <v>103</v>
      </c>
      <c r="B79" s="9">
        <v>0.44453422999999997</v>
      </c>
      <c r="C79" s="7">
        <f>Table22[[#This Row],[q_x]]*(1-'Cardio App'!B79)*(1-'Cancer prevention'!B79)</f>
        <v>0.44453422999999997</v>
      </c>
    </row>
    <row r="80" spans="1:3" ht="19" x14ac:dyDescent="0.25">
      <c r="A80" s="7">
        <v>104</v>
      </c>
      <c r="B80" s="9">
        <v>0.4697913883</v>
      </c>
      <c r="C80" s="7">
        <f>Table22[[#This Row],[q_x]]*(1-'Cardio App'!B80)*(1-'Cancer prevention'!B80)</f>
        <v>0.4697913883</v>
      </c>
    </row>
    <row r="81" spans="1:3" ht="19" x14ac:dyDescent="0.25">
      <c r="A81" s="7">
        <v>105</v>
      </c>
      <c r="B81" s="9">
        <v>0.49530202029999998</v>
      </c>
      <c r="C81" s="7">
        <f>Table22[[#This Row],[q_x]]*(1-'Cardio App'!B81)*(1-'Cancer prevention'!B81)</f>
        <v>0.49530202029999998</v>
      </c>
    </row>
    <row r="82" spans="1:3" ht="19" x14ac:dyDescent="0.25">
      <c r="A82" s="7">
        <v>106</v>
      </c>
      <c r="B82" s="9">
        <v>0.5209142323</v>
      </c>
      <c r="C82" s="7">
        <f>Table22[[#This Row],[q_x]]*(1-'Cardio App'!B82)*(1-'Cancer prevention'!B82)</f>
        <v>0.5209142323</v>
      </c>
    </row>
    <row r="83" spans="1:3" ht="19" x14ac:dyDescent="0.25">
      <c r="A83" s="7">
        <v>107</v>
      </c>
      <c r="B83" s="9">
        <v>0.54665868200000001</v>
      </c>
      <c r="C83" s="7">
        <f>Table22[[#This Row],[q_x]]*(1-'Cardio App'!B83)*(1-'Cancer prevention'!B83)</f>
        <v>0.54665868200000001</v>
      </c>
    </row>
    <row r="84" spans="1:3" ht="19" x14ac:dyDescent="0.25">
      <c r="A84" s="7">
        <v>108</v>
      </c>
      <c r="B84" s="9">
        <v>0.57258457519999995</v>
      </c>
      <c r="C84" s="7">
        <f>Table22[[#This Row],[q_x]]*(1-'Cardio App'!B84)*(1-'Cancer prevention'!B84)</f>
        <v>0.57258457519999995</v>
      </c>
    </row>
    <row r="85" spans="1:3" ht="19" x14ac:dyDescent="0.25">
      <c r="A85" s="7">
        <v>109</v>
      </c>
      <c r="B85" s="9">
        <v>0.59854587479999999</v>
      </c>
      <c r="C85" s="7">
        <f>Table22[[#This Row],[q_x]]*(1-'Cardio App'!B85)*(1-'Cancer prevention'!B85)</f>
        <v>0.59854587479999999</v>
      </c>
    </row>
    <row r="86" spans="1:3" ht="19" x14ac:dyDescent="0.25">
      <c r="A86" s="7">
        <v>110</v>
      </c>
      <c r="B86" s="9">
        <v>0.62439196649999995</v>
      </c>
      <c r="C86" s="7">
        <f>Table22[[#This Row],[q_x]]*(1-'Cardio App'!B86)*(1-'Cancer prevention'!B86)</f>
        <v>0.62439196649999995</v>
      </c>
    </row>
    <row r="87" spans="1:3" ht="19" x14ac:dyDescent="0.25">
      <c r="A87" s="7">
        <v>111</v>
      </c>
      <c r="B87" s="9">
        <v>0.65439899189999995</v>
      </c>
      <c r="C87" s="7">
        <f>Table22[[#This Row],[q_x]]*(1-'Cardio App'!B87)*(1-'Cancer prevention'!B87)</f>
        <v>0.65439899189999995</v>
      </c>
    </row>
    <row r="88" spans="1:3" ht="19" x14ac:dyDescent="0.25">
      <c r="A88" s="7">
        <v>112</v>
      </c>
      <c r="B88" s="9">
        <v>0.68424299830000002</v>
      </c>
      <c r="C88" s="7">
        <f>Table22[[#This Row],[q_x]]*(1-'Cardio App'!B88)*(1-'Cancer prevention'!B88)</f>
        <v>0.68424299830000002</v>
      </c>
    </row>
    <row r="89" spans="1:3" ht="19" x14ac:dyDescent="0.25">
      <c r="A89" s="7">
        <v>113</v>
      </c>
      <c r="B89" s="9">
        <v>0.71388699970000002</v>
      </c>
      <c r="C89" s="7">
        <f>Table22[[#This Row],[q_x]]*(1-'Cardio App'!B89)*(1-'Cancer prevention'!B89)</f>
        <v>0.71388699970000002</v>
      </c>
    </row>
    <row r="90" spans="1:3" ht="19" x14ac:dyDescent="0.25">
      <c r="A90" s="7">
        <v>114</v>
      </c>
      <c r="B90" s="9">
        <v>0.7432939999</v>
      </c>
      <c r="C90" s="7">
        <f>Table22[[#This Row],[q_x]]*(1-'Cardio App'!B90)*(1-'Cancer prevention'!B90)</f>
        <v>0.7432939999</v>
      </c>
    </row>
    <row r="91" spans="1:3" ht="19" x14ac:dyDescent="0.25">
      <c r="A91" s="7">
        <v>115</v>
      </c>
      <c r="B91" s="9">
        <v>0.772428</v>
      </c>
      <c r="C91" s="7">
        <f>Table22[[#This Row],[q_x]]*(1-'Cardio App'!B91)*(1-'Cancer prevention'!B91)</f>
        <v>0.772428</v>
      </c>
    </row>
    <row r="92" spans="1:3" ht="19" x14ac:dyDescent="0.25">
      <c r="A92" s="7">
        <v>116</v>
      </c>
      <c r="B92" s="9">
        <v>0.80141399999999996</v>
      </c>
      <c r="C92" s="7">
        <f>Table22[[#This Row],[q_x]]*(1-'Cardio App'!B92)*(1-'Cancer prevention'!B92)</f>
        <v>0.80141399999999996</v>
      </c>
    </row>
    <row r="93" spans="1:3" ht="19" x14ac:dyDescent="0.25">
      <c r="A93" s="7">
        <v>117</v>
      </c>
      <c r="B93" s="9">
        <v>0.830399</v>
      </c>
      <c r="C93" s="7">
        <f>Table22[[#This Row],[q_x]]*(1-'Cardio App'!B93)*(1-'Cancer prevention'!B93)</f>
        <v>0.830399</v>
      </c>
    </row>
    <row r="94" spans="1:3" ht="19" x14ac:dyDescent="0.25">
      <c r="A94" s="7">
        <v>118</v>
      </c>
      <c r="B94" s="9">
        <v>0.85938499999999995</v>
      </c>
      <c r="C94" s="7">
        <f>Table22[[#This Row],[q_x]]*(1-'Cardio App'!B94)*(1-'Cancer prevention'!B94)</f>
        <v>0.85938499999999995</v>
      </c>
    </row>
    <row r="95" spans="1:3" ht="19" x14ac:dyDescent="0.25">
      <c r="A95" s="7">
        <v>119</v>
      </c>
      <c r="B95" s="9">
        <v>0.88837100000000002</v>
      </c>
      <c r="C95" s="7">
        <f>Table22[[#This Row],[q_x]]*(1-'Cardio App'!B95)*(1-'Cancer prevention'!B95)</f>
        <v>0.88837100000000002</v>
      </c>
    </row>
    <row r="96" spans="1:3" ht="19" x14ac:dyDescent="0.25">
      <c r="A96" s="7">
        <v>120</v>
      </c>
      <c r="B96" s="9">
        <v>1</v>
      </c>
      <c r="C96" s="7">
        <f>Table22[[#This Row],[q_x]]*(1-'Cardio App'!B96)*(1-'Cancer prevention'!B96)</f>
        <v>1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CFE28-162C-7043-A354-8D929D777E6D}">
  <sheetPr codeName="Sheet14"/>
  <dimension ref="A1:AI73"/>
  <sheetViews>
    <sheetView workbookViewId="0">
      <selection activeCell="B16" sqref="B16"/>
    </sheetView>
  </sheetViews>
  <sheetFormatPr baseColWidth="10" defaultRowHeight="16" x14ac:dyDescent="0.2"/>
  <cols>
    <col min="1" max="1" width="23.6640625" bestFit="1" customWidth="1"/>
    <col min="2" max="2" width="21.1640625" bestFit="1" customWidth="1"/>
  </cols>
  <sheetData>
    <row r="1" spans="1:2" ht="19" x14ac:dyDescent="0.25">
      <c r="A1" s="6" t="s">
        <v>18</v>
      </c>
      <c r="B1" s="8">
        <f>VLOOKUP(B2,Table2[#All],9,FALSE)</f>
        <v>4901</v>
      </c>
    </row>
    <row r="2" spans="1:2" ht="19" x14ac:dyDescent="0.25">
      <c r="A2" s="6" t="s">
        <v>0</v>
      </c>
      <c r="B2" s="8">
        <v>61</v>
      </c>
    </row>
    <row r="3" spans="1:2" ht="19" x14ac:dyDescent="0.25">
      <c r="A3" s="6" t="s">
        <v>13</v>
      </c>
      <c r="B3" s="8">
        <v>300</v>
      </c>
    </row>
    <row r="4" spans="1:2" ht="19" x14ac:dyDescent="0.25">
      <c r="A4" s="6" t="s">
        <v>6</v>
      </c>
      <c r="B4" s="7">
        <v>6.0596999999999998E-2</v>
      </c>
    </row>
    <row r="5" spans="1:2" ht="19" x14ac:dyDescent="0.25">
      <c r="A5" s="6" t="s">
        <v>4</v>
      </c>
      <c r="B5" s="7">
        <f>(1+B4)^(-1)</f>
        <v>0.94286519761983112</v>
      </c>
    </row>
    <row r="6" spans="1:2" ht="19" x14ac:dyDescent="0.25">
      <c r="A6" s="6" t="s">
        <v>52</v>
      </c>
      <c r="B6" s="7">
        <v>0.01</v>
      </c>
    </row>
    <row r="7" spans="1:2" ht="19" x14ac:dyDescent="0.25">
      <c r="A7" s="6" t="s">
        <v>8</v>
      </c>
      <c r="B7" s="8" t="s">
        <v>9</v>
      </c>
    </row>
    <row r="8" spans="1:2" ht="19" x14ac:dyDescent="0.25">
      <c r="A8" s="6" t="s">
        <v>10</v>
      </c>
      <c r="B8" s="8" t="s">
        <v>49</v>
      </c>
    </row>
    <row r="9" spans="1:2" ht="19" x14ac:dyDescent="0.25">
      <c r="A9" s="6" t="s">
        <v>42</v>
      </c>
      <c r="B9" s="8" t="s">
        <v>87</v>
      </c>
    </row>
    <row r="10" spans="1:2" ht="19" x14ac:dyDescent="0.25">
      <c r="A10" s="6" t="s">
        <v>36</v>
      </c>
      <c r="B10" s="8">
        <v>0</v>
      </c>
    </row>
    <row r="11" spans="1:2" ht="19" x14ac:dyDescent="0.25">
      <c r="A11" s="6" t="s">
        <v>102</v>
      </c>
      <c r="B11" s="29">
        <f>O23+NPV(B4,O24:O73)</f>
        <v>4989.433514813004</v>
      </c>
    </row>
    <row r="12" spans="1:2" ht="19" x14ac:dyDescent="0.25">
      <c r="A12" s="6" t="s">
        <v>103</v>
      </c>
      <c r="B12" s="29">
        <f>B11*B1</f>
        <v>24453213.656098533</v>
      </c>
    </row>
    <row r="13" spans="1:2" ht="19" x14ac:dyDescent="0.25">
      <c r="A13" s="6" t="s">
        <v>89</v>
      </c>
      <c r="B13" s="29">
        <f>AE23+NPV(B4,AE24:AE73)</f>
        <v>-4795260.5448088562</v>
      </c>
    </row>
    <row r="14" spans="1:2" ht="19" x14ac:dyDescent="0.25">
      <c r="A14" s="6" t="s">
        <v>90</v>
      </c>
      <c r="B14" s="29">
        <f>U23+NPV(B4,U24:U73)</f>
        <v>92038.170127579229</v>
      </c>
    </row>
    <row r="15" spans="1:2" ht="19" x14ac:dyDescent="0.25">
      <c r="A15" s="6" t="s">
        <v>106</v>
      </c>
      <c r="B15" s="29">
        <f>ROUND(SUM(AH23:AH73),0)</f>
        <v>-3274350</v>
      </c>
    </row>
    <row r="16" spans="1:2" ht="19" x14ac:dyDescent="0.25">
      <c r="A16" s="6" t="s">
        <v>107</v>
      </c>
      <c r="B16" s="29">
        <f>ROUND(B15*B1,0)</f>
        <v>-16047589350</v>
      </c>
    </row>
    <row r="17" spans="1:35" ht="19" x14ac:dyDescent="0.25">
      <c r="A17" s="6" t="s">
        <v>95</v>
      </c>
      <c r="B17" s="29">
        <f>-B16/B12</f>
        <v>656.25686569003562</v>
      </c>
    </row>
    <row r="18" spans="1:35" ht="19" x14ac:dyDescent="0.25">
      <c r="A18" s="6"/>
      <c r="B18" s="29"/>
    </row>
    <row r="19" spans="1:35" ht="19" x14ac:dyDescent="0.25">
      <c r="A19" s="6"/>
      <c r="B19" s="29"/>
      <c r="H19" s="29">
        <f>ROUND(SUM(AN27:AN77),0)</f>
        <v>0</v>
      </c>
    </row>
    <row r="20" spans="1:35" ht="19" x14ac:dyDescent="0.25">
      <c r="A20" s="6"/>
      <c r="B20" s="29"/>
    </row>
    <row r="21" spans="1:35" ht="19" x14ac:dyDescent="0.25">
      <c r="A21" s="62" t="s">
        <v>66</v>
      </c>
      <c r="B21" s="62"/>
      <c r="C21" s="62"/>
      <c r="D21" s="62"/>
      <c r="E21" s="62"/>
      <c r="G21" s="62" t="s">
        <v>65</v>
      </c>
      <c r="H21" s="62"/>
      <c r="I21" s="62"/>
      <c r="J21" s="62"/>
      <c r="K21" s="62"/>
      <c r="M21" s="62" t="s">
        <v>67</v>
      </c>
      <c r="N21" s="62"/>
      <c r="O21" s="62"/>
      <c r="P21" s="62"/>
      <c r="Q21" s="62"/>
      <c r="S21" s="62" t="s">
        <v>46</v>
      </c>
      <c r="T21" s="62"/>
      <c r="U21" s="62"/>
      <c r="W21" s="62" t="s">
        <v>68</v>
      </c>
      <c r="X21" s="62"/>
      <c r="Y21" s="62"/>
      <c r="Z21" s="62"/>
      <c r="AA21" s="62"/>
      <c r="AB21" s="62"/>
      <c r="AC21" s="62"/>
      <c r="AD21" s="62"/>
      <c r="AE21" s="62"/>
      <c r="AF21" s="62" t="s">
        <v>69</v>
      </c>
      <c r="AG21" s="62"/>
      <c r="AH21" s="62"/>
      <c r="AI21" s="62"/>
    </row>
    <row r="22" spans="1:35" ht="19" x14ac:dyDescent="0.25">
      <c r="A22" s="11" t="s">
        <v>5</v>
      </c>
      <c r="B22" s="11" t="s">
        <v>1</v>
      </c>
      <c r="C22" s="11" t="s">
        <v>2</v>
      </c>
      <c r="D22" s="11" t="s">
        <v>3</v>
      </c>
      <c r="E22" s="12" t="s">
        <v>7</v>
      </c>
      <c r="G22" s="11" t="s">
        <v>5</v>
      </c>
      <c r="H22" s="14" t="s">
        <v>26</v>
      </c>
      <c r="I22" s="14" t="s">
        <v>47</v>
      </c>
      <c r="J22" s="14" t="s">
        <v>27</v>
      </c>
      <c r="K22" s="15" t="s">
        <v>28</v>
      </c>
      <c r="M22" s="11" t="s">
        <v>34</v>
      </c>
      <c r="N22" s="11" t="s">
        <v>12</v>
      </c>
      <c r="O22" s="11" t="s">
        <v>13</v>
      </c>
      <c r="P22" s="11" t="s">
        <v>14</v>
      </c>
      <c r="Q22" s="12" t="s">
        <v>35</v>
      </c>
      <c r="S22" s="14" t="s">
        <v>34</v>
      </c>
      <c r="T22" s="11" t="s">
        <v>16</v>
      </c>
      <c r="U22" s="12" t="s">
        <v>17</v>
      </c>
      <c r="W22" s="14" t="s">
        <v>34</v>
      </c>
      <c r="X22" s="11" t="s">
        <v>29</v>
      </c>
      <c r="Y22" s="11" t="s">
        <v>30</v>
      </c>
      <c r="Z22" s="11" t="s">
        <v>31</v>
      </c>
      <c r="AA22" s="11" t="s">
        <v>32</v>
      </c>
      <c r="AB22" s="11" t="s">
        <v>33</v>
      </c>
      <c r="AC22" s="11" t="s">
        <v>51</v>
      </c>
      <c r="AD22" s="11" t="s">
        <v>43</v>
      </c>
      <c r="AE22" s="11" t="s">
        <v>44</v>
      </c>
      <c r="AF22" s="11" t="s">
        <v>45</v>
      </c>
      <c r="AG22" s="11" t="s">
        <v>41</v>
      </c>
      <c r="AH22" s="11" t="s">
        <v>38</v>
      </c>
      <c r="AI22" s="12" t="s">
        <v>39</v>
      </c>
    </row>
    <row r="23" spans="1:35" x14ac:dyDescent="0.2">
      <c r="A23">
        <f>B2</f>
        <v>61</v>
      </c>
      <c r="B23">
        <f>VLOOKUP(A23,Table22[#All],2,FALSE)</f>
        <v>4.9357485690000001E-3</v>
      </c>
      <c r="C23">
        <f>1-B23</f>
        <v>0.99506425143099997</v>
      </c>
      <c r="D23">
        <f>$B$5*(B23+C23*D24)</f>
        <v>0.2476493312594856</v>
      </c>
      <c r="E23">
        <f>D23-PRODUCT(C23:C42)*E42*$B$5^(20)</f>
        <v>0.11637613359488735</v>
      </c>
      <c r="G23">
        <f>B2</f>
        <v>61</v>
      </c>
      <c r="H23">
        <f>B23</f>
        <v>4.9357485690000001E-3</v>
      </c>
      <c r="I23">
        <f>Lapses!B2</f>
        <v>9.8600000000000007E-3</v>
      </c>
      <c r="J23">
        <f>1-H23-I23</f>
        <v>0.98520425143099999</v>
      </c>
      <c r="K23">
        <f>1</f>
        <v>1</v>
      </c>
      <c r="M23">
        <v>1</v>
      </c>
      <c r="N23">
        <f>$B$10</f>
        <v>0</v>
      </c>
      <c r="O23">
        <f>$B$3</f>
        <v>300</v>
      </c>
      <c r="P23">
        <f>VLOOKUP(G23,'Death Benefits'!$A$1:$E$98,4,FALSE)</f>
        <v>594594.59459999995</v>
      </c>
      <c r="Q23">
        <f>ABS(MIN(AD24-Q24*J24,0))*$B$5</f>
        <v>201699.50543970961</v>
      </c>
      <c r="S23">
        <v>1</v>
      </c>
      <c r="T23">
        <f>Q23</f>
        <v>201699.50543970961</v>
      </c>
      <c r="U23">
        <f>$B$6*P23*J23</f>
        <v>5857.971224778119</v>
      </c>
      <c r="W23">
        <v>1</v>
      </c>
      <c r="X23">
        <f>N23</f>
        <v>0</v>
      </c>
      <c r="Y23">
        <f>-O23</f>
        <v>-300</v>
      </c>
      <c r="Z23">
        <f>-P23*H23</f>
        <v>-2934.7694194320848</v>
      </c>
      <c r="AA23">
        <v>0</v>
      </c>
      <c r="AB23">
        <f>SUM(X23:Y23)*$B$4</f>
        <v>-18.179099999999998</v>
      </c>
      <c r="AC23">
        <f>-U23</f>
        <v>-5857.971224778119</v>
      </c>
      <c r="AD23">
        <f>SUM(X23:AC23)</f>
        <v>-9110.9197442102031</v>
      </c>
      <c r="AE23">
        <f>-T23*J23</f>
        <v>-198715.21027073203</v>
      </c>
      <c r="AF23">
        <f>SUM(AD23:AE23)</f>
        <v>-207826.13001494223</v>
      </c>
      <c r="AG23">
        <f>$B$5^W23</f>
        <v>0.94286519761983112</v>
      </c>
      <c r="AH23">
        <f>AF23*AG23*K23</f>
        <v>-195952.02514710321</v>
      </c>
      <c r="AI23">
        <f>B10</f>
        <v>0</v>
      </c>
    </row>
    <row r="24" spans="1:35" x14ac:dyDescent="0.2">
      <c r="A24">
        <f>A23+1</f>
        <v>62</v>
      </c>
      <c r="B24">
        <f>VLOOKUP(A24,Table22[#All],2,FALSE)</f>
        <v>5.2434845360000001E-3</v>
      </c>
      <c r="C24">
        <f t="shared" ref="C24:C73" si="0">1-B24</f>
        <v>0.99475651546400001</v>
      </c>
      <c r="D24">
        <f t="shared" ref="D24:D73" si="1">$B$5*(B24+C24*D25)</f>
        <v>0.25899874188645555</v>
      </c>
      <c r="E24">
        <f t="shared" ref="E24:E73" si="2">D24-PRODUCT(C24:C43)*E43*$B$5^(20)</f>
        <v>0.12543025009250516</v>
      </c>
      <c r="G24">
        <f>G23+1</f>
        <v>62</v>
      </c>
      <c r="H24">
        <f t="shared" ref="H24:H73" si="3">B24</f>
        <v>5.2434845360000001E-3</v>
      </c>
      <c r="I24">
        <f>Lapses!B3</f>
        <v>9.92E-3</v>
      </c>
      <c r="J24">
        <f t="shared" ref="J24:J73" si="4">1-H24-I24</f>
        <v>0.98483651546399997</v>
      </c>
      <c r="K24">
        <f>J23*K23</f>
        <v>0.98520425143099999</v>
      </c>
      <c r="M24">
        <v>2</v>
      </c>
      <c r="N24">
        <f t="shared" ref="N24:N73" si="5">$B$10</f>
        <v>0</v>
      </c>
      <c r="O24">
        <f t="shared" ref="O24:O73" si="6">$B$3</f>
        <v>300</v>
      </c>
      <c r="P24">
        <f>VLOOKUP(G24,'Death Benefits'!$A$1:$E$98,4,FALSE)</f>
        <v>594594.59459999995</v>
      </c>
      <c r="Q24">
        <f t="shared" ref="Q24:Q72" si="7">ABS(MIN(AD25-Q25*J25,0))*$B$5</f>
        <v>207780.86089330181</v>
      </c>
      <c r="S24">
        <v>2</v>
      </c>
      <c r="T24">
        <f t="shared" ref="T24:T73" si="8">Q24</f>
        <v>207780.86089330181</v>
      </c>
      <c r="U24">
        <f t="shared" ref="U24:U73" si="9">$B$6*P24*J24</f>
        <v>5855.7846865959364</v>
      </c>
      <c r="W24">
        <v>2</v>
      </c>
      <c r="X24">
        <f t="shared" ref="X24:X73" si="10">N24</f>
        <v>0</v>
      </c>
      <c r="Y24">
        <f t="shared" ref="Y24:Y73" si="11">-O24</f>
        <v>-300</v>
      </c>
      <c r="Z24">
        <f t="shared" ref="Z24:Z73" si="12">-P24*H24</f>
        <v>-3117.7475619742891</v>
      </c>
      <c r="AA24">
        <v>0</v>
      </c>
      <c r="AB24">
        <f t="shared" ref="AB24:AB73" si="13">SUM(X24:Y24)*$B$4</f>
        <v>-18.179099999999998</v>
      </c>
      <c r="AC24">
        <f t="shared" ref="AC24:AC73" si="14">-U24</f>
        <v>-5855.7846865959364</v>
      </c>
      <c r="AD24">
        <f t="shared" ref="AD24:AD73" si="15">SUM(X24:AC24)</f>
        <v>-9291.7113485702248</v>
      </c>
      <c r="AE24">
        <f t="shared" ref="AE24:AE73" si="16">-T24*J24</f>
        <v>-204630.17902226947</v>
      </c>
      <c r="AF24">
        <f t="shared" ref="AF24:AF73" si="17">SUM(AD24:AE24)</f>
        <v>-213921.89037083968</v>
      </c>
      <c r="AG24">
        <f t="shared" ref="AG24:AG73" si="18">$B$5^W24</f>
        <v>0.88899478088268324</v>
      </c>
      <c r="AH24">
        <f t="shared" ref="AH24:AH73" si="19">AF24*AG24*K24</f>
        <v>-187361.65600198004</v>
      </c>
      <c r="AI24">
        <f>$B$10*AG23*K24</f>
        <v>0</v>
      </c>
    </row>
    <row r="25" spans="1:35" x14ac:dyDescent="0.2">
      <c r="A25">
        <f t="shared" ref="A25:A73" si="20">A24+1</f>
        <v>63</v>
      </c>
      <c r="B25">
        <f>VLOOKUP(A25,Table22[#All],2,FALSE)</f>
        <v>5.582421689E-3</v>
      </c>
      <c r="C25">
        <f t="shared" si="0"/>
        <v>0.99441757831099997</v>
      </c>
      <c r="D25">
        <f t="shared" si="1"/>
        <v>0.27087010733160705</v>
      </c>
      <c r="E25">
        <f t="shared" si="2"/>
        <v>0.13589287897979474</v>
      </c>
      <c r="G25">
        <f t="shared" ref="G25:G73" si="21">G24+1</f>
        <v>63</v>
      </c>
      <c r="H25">
        <f t="shared" si="3"/>
        <v>5.582421689E-3</v>
      </c>
      <c r="I25">
        <f>Lapses!B4</f>
        <v>9.9399999999999992E-3</v>
      </c>
      <c r="J25">
        <f t="shared" si="4"/>
        <v>0.98447757831100002</v>
      </c>
      <c r="K25">
        <f t="shared" ref="K25:K73" si="22">J24*K24</f>
        <v>0.97026512199962456</v>
      </c>
      <c r="M25">
        <v>3</v>
      </c>
      <c r="N25">
        <f t="shared" si="5"/>
        <v>0</v>
      </c>
      <c r="O25">
        <f t="shared" si="6"/>
        <v>300</v>
      </c>
      <c r="P25">
        <f>VLOOKUP(G25,'Death Benefits'!$A$1:$E$98,4,FALSE)</f>
        <v>594594.59459999995</v>
      </c>
      <c r="Q25">
        <f t="shared" si="7"/>
        <v>214205.6406768584</v>
      </c>
      <c r="S25">
        <v>3</v>
      </c>
      <c r="T25">
        <f t="shared" si="8"/>
        <v>214205.6406768584</v>
      </c>
      <c r="U25">
        <f t="shared" si="9"/>
        <v>5853.650465686188</v>
      </c>
      <c r="W25">
        <v>3</v>
      </c>
      <c r="X25">
        <f t="shared" si="10"/>
        <v>0</v>
      </c>
      <c r="Y25">
        <f t="shared" si="11"/>
        <v>-300</v>
      </c>
      <c r="Z25">
        <f t="shared" si="12"/>
        <v>-3319.277761057202</v>
      </c>
      <c r="AA25">
        <v>0</v>
      </c>
      <c r="AB25">
        <f t="shared" si="13"/>
        <v>-18.179099999999998</v>
      </c>
      <c r="AC25">
        <f t="shared" si="14"/>
        <v>-5853.650465686188</v>
      </c>
      <c r="AD25">
        <f t="shared" si="15"/>
        <v>-9491.1073267433894</v>
      </c>
      <c r="AE25">
        <f t="shared" si="16"/>
        <v>-210880.65039410981</v>
      </c>
      <c r="AF25">
        <f t="shared" si="17"/>
        <v>-220371.7577208532</v>
      </c>
      <c r="AG25">
        <f t="shared" si="18"/>
        <v>0.83820223975994956</v>
      </c>
      <c r="AH25">
        <f t="shared" si="19"/>
        <v>-179223.59017644628</v>
      </c>
      <c r="AI25">
        <f t="shared" ref="AI25:AI73" si="23">$B$10*AG24*K25</f>
        <v>0</v>
      </c>
    </row>
    <row r="26" spans="1:35" x14ac:dyDescent="0.2">
      <c r="A26">
        <f t="shared" si="20"/>
        <v>64</v>
      </c>
      <c r="B26">
        <f>VLOOKUP(A26,Table22[#All],2,FALSE)</f>
        <v>5.9648131099999998E-3</v>
      </c>
      <c r="C26">
        <f t="shared" si="0"/>
        <v>0.99403518689000003</v>
      </c>
      <c r="D26">
        <f t="shared" si="1"/>
        <v>0.28328300673751705</v>
      </c>
      <c r="E26">
        <f t="shared" si="2"/>
        <v>0.14805192357623467</v>
      </c>
      <c r="G26">
        <f t="shared" si="21"/>
        <v>64</v>
      </c>
      <c r="H26">
        <f t="shared" si="3"/>
        <v>5.9648131099999998E-3</v>
      </c>
      <c r="I26">
        <f>Lapses!B5</f>
        <v>1.0019999999999999E-2</v>
      </c>
      <c r="J26">
        <f t="shared" si="4"/>
        <v>0.98401518689</v>
      </c>
      <c r="K26">
        <f t="shared" si="22"/>
        <v>0.9552042576258174</v>
      </c>
      <c r="M26">
        <v>4</v>
      </c>
      <c r="N26">
        <f t="shared" si="5"/>
        <v>0</v>
      </c>
      <c r="O26">
        <f t="shared" si="6"/>
        <v>300</v>
      </c>
      <c r="P26">
        <f>VLOOKUP(G26,'Death Benefits'!$A$1:$E$98,4,FALSE)</f>
        <v>594594.59459999995</v>
      </c>
      <c r="Q26">
        <f t="shared" si="7"/>
        <v>221002.82286087118</v>
      </c>
      <c r="S26">
        <v>4</v>
      </c>
      <c r="T26">
        <f t="shared" si="8"/>
        <v>221002.82286087118</v>
      </c>
      <c r="U26">
        <f t="shared" si="9"/>
        <v>5850.9011112910275</v>
      </c>
      <c r="W26">
        <v>4</v>
      </c>
      <c r="X26">
        <f t="shared" si="10"/>
        <v>0</v>
      </c>
      <c r="Y26">
        <f t="shared" si="11"/>
        <v>-300</v>
      </c>
      <c r="Z26">
        <f t="shared" si="12"/>
        <v>-3546.6456330052147</v>
      </c>
      <c r="AA26">
        <v>0</v>
      </c>
      <c r="AB26">
        <f t="shared" si="13"/>
        <v>-18.179099999999998</v>
      </c>
      <c r="AC26">
        <f t="shared" si="14"/>
        <v>-5850.9011112910275</v>
      </c>
      <c r="AD26">
        <f t="shared" si="15"/>
        <v>-9715.7258442962411</v>
      </c>
      <c r="AE26">
        <f t="shared" si="16"/>
        <v>-217470.13404065772</v>
      </c>
      <c r="AF26">
        <f t="shared" si="17"/>
        <v>-227185.85988495397</v>
      </c>
      <c r="AG26">
        <f t="shared" si="18"/>
        <v>0.79031172043664999</v>
      </c>
      <c r="AH26">
        <f t="shared" si="19"/>
        <v>-171504.67761051017</v>
      </c>
      <c r="AI26">
        <f t="shared" si="23"/>
        <v>0</v>
      </c>
    </row>
    <row r="27" spans="1:35" x14ac:dyDescent="0.2">
      <c r="A27">
        <f t="shared" si="20"/>
        <v>65</v>
      </c>
      <c r="B27">
        <f>VLOOKUP(A27,Table22[#All],2,FALSE)</f>
        <v>6.4029118839999998E-3</v>
      </c>
      <c r="C27">
        <f t="shared" si="0"/>
        <v>0.993597088116</v>
      </c>
      <c r="D27">
        <f t="shared" si="1"/>
        <v>0.29625137809068119</v>
      </c>
      <c r="E27">
        <f t="shared" si="2"/>
        <v>0.16223081034307429</v>
      </c>
      <c r="G27">
        <f t="shared" si="21"/>
        <v>65</v>
      </c>
      <c r="H27">
        <f t="shared" si="3"/>
        <v>6.4029118839999998E-3</v>
      </c>
      <c r="I27">
        <f>Lapses!B6</f>
        <v>9.8499999999999994E-3</v>
      </c>
      <c r="J27">
        <f t="shared" si="4"/>
        <v>0.98374708811599998</v>
      </c>
      <c r="K27">
        <f t="shared" si="22"/>
        <v>0.93993549608579241</v>
      </c>
      <c r="M27">
        <v>5</v>
      </c>
      <c r="N27">
        <f t="shared" si="5"/>
        <v>0</v>
      </c>
      <c r="O27">
        <f t="shared" si="6"/>
        <v>300</v>
      </c>
      <c r="P27">
        <f>VLOOKUP(G27,'Death Benefits'!$A$1:$E$98,4,FALSE)</f>
        <v>594594.59459999995</v>
      </c>
      <c r="Q27">
        <f t="shared" si="7"/>
        <v>228128.05315761137</v>
      </c>
      <c r="S27">
        <v>5</v>
      </c>
      <c r="T27">
        <f t="shared" si="8"/>
        <v>228128.05315761137</v>
      </c>
      <c r="U27">
        <f t="shared" si="9"/>
        <v>5849.3070104726348</v>
      </c>
      <c r="W27">
        <v>5</v>
      </c>
      <c r="X27">
        <f t="shared" si="10"/>
        <v>0</v>
      </c>
      <c r="Y27">
        <f t="shared" si="11"/>
        <v>-300</v>
      </c>
      <c r="Z27">
        <f t="shared" si="12"/>
        <v>-3807.1367959265017</v>
      </c>
      <c r="AA27">
        <v>0</v>
      </c>
      <c r="AB27">
        <f t="shared" si="13"/>
        <v>-18.179099999999998</v>
      </c>
      <c r="AC27">
        <f t="shared" si="14"/>
        <v>-5849.3070104726348</v>
      </c>
      <c r="AD27">
        <f t="shared" si="15"/>
        <v>-9974.6229063991377</v>
      </c>
      <c r="AE27">
        <f t="shared" si="16"/>
        <v>-224420.30801137225</v>
      </c>
      <c r="AF27">
        <f t="shared" si="17"/>
        <v>-234394.93091777139</v>
      </c>
      <c r="AG27">
        <f t="shared" si="18"/>
        <v>0.74515741647077072</v>
      </c>
      <c r="AH27">
        <f t="shared" si="19"/>
        <v>-164170.18756116493</v>
      </c>
      <c r="AI27">
        <f t="shared" si="23"/>
        <v>0</v>
      </c>
    </row>
    <row r="28" spans="1:35" x14ac:dyDescent="0.2">
      <c r="A28">
        <f t="shared" si="20"/>
        <v>66</v>
      </c>
      <c r="B28">
        <f>VLOOKUP(A28,Table22[#All],2,FALSE)</f>
        <v>6.9089710920000004E-3</v>
      </c>
      <c r="C28">
        <f t="shared" si="0"/>
        <v>0.99309102890800005</v>
      </c>
      <c r="D28">
        <f t="shared" si="1"/>
        <v>0.30978393017281791</v>
      </c>
      <c r="E28">
        <f t="shared" si="2"/>
        <v>0.17871380026510464</v>
      </c>
      <c r="G28">
        <f t="shared" si="21"/>
        <v>66</v>
      </c>
      <c r="H28">
        <f t="shared" si="3"/>
        <v>6.9089710920000004E-3</v>
      </c>
      <c r="I28">
        <f>Lapses!B7</f>
        <v>9.7599999999999996E-3</v>
      </c>
      <c r="J28">
        <f t="shared" si="4"/>
        <v>0.98333102890800006</v>
      </c>
      <c r="K28">
        <f t="shared" si="22"/>
        <v>0.92465880729126615</v>
      </c>
      <c r="M28">
        <v>6</v>
      </c>
      <c r="N28">
        <f t="shared" si="5"/>
        <v>0</v>
      </c>
      <c r="O28">
        <f t="shared" si="6"/>
        <v>300</v>
      </c>
      <c r="P28">
        <f>VLOOKUP(G28,'Death Benefits'!$A$1:$E$98,4,FALSE)</f>
        <v>594594.59459999995</v>
      </c>
      <c r="Q28">
        <f t="shared" si="7"/>
        <v>235606.19249615536</v>
      </c>
      <c r="S28">
        <v>6</v>
      </c>
      <c r="T28">
        <f t="shared" si="8"/>
        <v>235606.19249615536</v>
      </c>
      <c r="U28">
        <f t="shared" si="9"/>
        <v>5846.8331449115312</v>
      </c>
      <c r="W28">
        <v>6</v>
      </c>
      <c r="X28">
        <f t="shared" si="10"/>
        <v>0</v>
      </c>
      <c r="Y28">
        <f t="shared" si="11"/>
        <v>-300</v>
      </c>
      <c r="Z28">
        <f t="shared" si="12"/>
        <v>-4108.0368655508591</v>
      </c>
      <c r="AA28">
        <v>0</v>
      </c>
      <c r="AB28">
        <f t="shared" si="13"/>
        <v>-18.179099999999998</v>
      </c>
      <c r="AC28">
        <f t="shared" si="14"/>
        <v>-5846.8331449115312</v>
      </c>
      <c r="AD28">
        <f t="shared" si="15"/>
        <v>-10273.049110462391</v>
      </c>
      <c r="AE28">
        <f t="shared" si="16"/>
        <v>-231678.87968434076</v>
      </c>
      <c r="AF28">
        <f t="shared" si="17"/>
        <v>-241951.92879480316</v>
      </c>
      <c r="AG28">
        <f t="shared" si="18"/>
        <v>0.70258299473859609</v>
      </c>
      <c r="AH28">
        <f t="shared" si="19"/>
        <v>-157183.96261601071</v>
      </c>
      <c r="AI28">
        <f t="shared" si="23"/>
        <v>0</v>
      </c>
    </row>
    <row r="29" spans="1:35" x14ac:dyDescent="0.2">
      <c r="A29">
        <f t="shared" si="20"/>
        <v>67</v>
      </c>
      <c r="B29">
        <f>VLOOKUP(A29,Table22[#All],2,FALSE)</f>
        <v>7.4952438190000002E-3</v>
      </c>
      <c r="C29">
        <f t="shared" si="0"/>
        <v>0.99250475618099998</v>
      </c>
      <c r="D29">
        <f t="shared" si="1"/>
        <v>0.32388464555075297</v>
      </c>
      <c r="E29">
        <f t="shared" si="2"/>
        <v>0.19766700650875837</v>
      </c>
      <c r="G29">
        <f t="shared" si="21"/>
        <v>67</v>
      </c>
      <c r="H29">
        <f t="shared" si="3"/>
        <v>7.4952438190000002E-3</v>
      </c>
      <c r="I29">
        <f>Lapses!B8</f>
        <v>1.026E-2</v>
      </c>
      <c r="J29">
        <f t="shared" si="4"/>
        <v>0.98224475618099993</v>
      </c>
      <c r="K29">
        <f t="shared" si="22"/>
        <v>0.90924569636256491</v>
      </c>
      <c r="M29">
        <v>7</v>
      </c>
      <c r="N29">
        <f t="shared" si="5"/>
        <v>0</v>
      </c>
      <c r="O29">
        <f t="shared" si="6"/>
        <v>300</v>
      </c>
      <c r="P29">
        <f>VLOOKUP(G29,'Death Benefits'!$A$1:$E$98,4,FALSE)</f>
        <v>594594.59459999995</v>
      </c>
      <c r="Q29">
        <f t="shared" si="7"/>
        <v>243593.09087802743</v>
      </c>
      <c r="S29">
        <v>7</v>
      </c>
      <c r="T29">
        <f t="shared" si="8"/>
        <v>243593.09087802743</v>
      </c>
      <c r="U29">
        <f t="shared" si="9"/>
        <v>5840.3742259941746</v>
      </c>
      <c r="W29">
        <v>7</v>
      </c>
      <c r="X29">
        <f t="shared" si="10"/>
        <v>0</v>
      </c>
      <c r="Y29">
        <f t="shared" si="11"/>
        <v>-300</v>
      </c>
      <c r="Z29">
        <f t="shared" si="12"/>
        <v>-4456.6314599864609</v>
      </c>
      <c r="AA29">
        <v>0</v>
      </c>
      <c r="AB29">
        <f t="shared" si="13"/>
        <v>-18.179099999999998</v>
      </c>
      <c r="AC29">
        <f t="shared" si="14"/>
        <v>-5840.3742259941746</v>
      </c>
      <c r="AD29">
        <f t="shared" si="15"/>
        <v>-10615.184785980637</v>
      </c>
      <c r="AE29">
        <f t="shared" si="16"/>
        <v>-239268.03615686423</v>
      </c>
      <c r="AF29">
        <f t="shared" si="17"/>
        <v>-249883.22094284487</v>
      </c>
      <c r="AG29">
        <f t="shared" si="18"/>
        <v>0.66244105417853916</v>
      </c>
      <c r="AH29">
        <f t="shared" si="19"/>
        <v>-150510.08084381447</v>
      </c>
      <c r="AI29">
        <f t="shared" si="23"/>
        <v>0</v>
      </c>
    </row>
    <row r="30" spans="1:35" x14ac:dyDescent="0.2">
      <c r="A30">
        <f t="shared" si="20"/>
        <v>68</v>
      </c>
      <c r="B30">
        <f>VLOOKUP(A30,Table22[#All],2,FALSE)</f>
        <v>8.173983147E-3</v>
      </c>
      <c r="C30">
        <f t="shared" si="0"/>
        <v>0.99182601685299998</v>
      </c>
      <c r="D30">
        <f t="shared" si="1"/>
        <v>0.33855337972497712</v>
      </c>
      <c r="E30">
        <f t="shared" si="2"/>
        <v>0.21916172375627718</v>
      </c>
      <c r="G30">
        <f t="shared" si="21"/>
        <v>68</v>
      </c>
      <c r="H30">
        <f t="shared" si="3"/>
        <v>8.173983147E-3</v>
      </c>
      <c r="I30">
        <f>Lapses!B9</f>
        <v>9.9500000000000005E-3</v>
      </c>
      <c r="J30">
        <f t="shared" si="4"/>
        <v>0.98187601685299997</v>
      </c>
      <c r="K30">
        <f t="shared" si="22"/>
        <v>0.89310181733227112</v>
      </c>
      <c r="M30">
        <v>8</v>
      </c>
      <c r="N30">
        <f t="shared" si="5"/>
        <v>0</v>
      </c>
      <c r="O30">
        <f t="shared" si="6"/>
        <v>300</v>
      </c>
      <c r="P30">
        <f>VLOOKUP(G30,'Death Benefits'!$A$1:$E$98,4,FALSE)</f>
        <v>594594.59459999995</v>
      </c>
      <c r="Q30">
        <f t="shared" si="7"/>
        <v>251903.02048649956</v>
      </c>
      <c r="S30">
        <v>8</v>
      </c>
      <c r="T30">
        <f t="shared" si="8"/>
        <v>251903.02048649956</v>
      </c>
      <c r="U30">
        <f t="shared" si="9"/>
        <v>5838.1817218817223</v>
      </c>
      <c r="W30">
        <v>8</v>
      </c>
      <c r="X30">
        <f t="shared" si="10"/>
        <v>0</v>
      </c>
      <c r="Y30">
        <f t="shared" si="11"/>
        <v>-300</v>
      </c>
      <c r="Z30">
        <f t="shared" si="12"/>
        <v>-4860.2061955576964</v>
      </c>
      <c r="AA30">
        <v>0</v>
      </c>
      <c r="AB30">
        <f t="shared" si="13"/>
        <v>-18.179099999999998</v>
      </c>
      <c r="AC30">
        <f t="shared" si="14"/>
        <v>-5838.1817218817223</v>
      </c>
      <c r="AD30">
        <f t="shared" si="15"/>
        <v>-11016.567017439418</v>
      </c>
      <c r="AE30">
        <f t="shared" si="16"/>
        <v>-247337.53438852384</v>
      </c>
      <c r="AF30">
        <f t="shared" si="17"/>
        <v>-258354.10140596324</v>
      </c>
      <c r="AG30">
        <f t="shared" si="18"/>
        <v>0.62459261545953759</v>
      </c>
      <c r="AH30">
        <f t="shared" si="19"/>
        <v>-144116.3249354279</v>
      </c>
      <c r="AI30">
        <f t="shared" si="23"/>
        <v>0</v>
      </c>
    </row>
    <row r="31" spans="1:35" x14ac:dyDescent="0.2">
      <c r="A31">
        <f t="shared" si="20"/>
        <v>69</v>
      </c>
      <c r="B31">
        <f>VLOOKUP(A31,Table22[#All],2,FALSE)</f>
        <v>8.9574421590000002E-3</v>
      </c>
      <c r="C31">
        <f t="shared" si="0"/>
        <v>0.99104255784100004</v>
      </c>
      <c r="D31">
        <f t="shared" si="1"/>
        <v>0.35378656111738011</v>
      </c>
      <c r="E31">
        <f t="shared" si="2"/>
        <v>0.24311393671647807</v>
      </c>
      <c r="G31">
        <f t="shared" si="21"/>
        <v>69</v>
      </c>
      <c r="H31">
        <f t="shared" si="3"/>
        <v>8.9574421590000002E-3</v>
      </c>
      <c r="I31">
        <f>Lapses!B10</f>
        <v>0.01</v>
      </c>
      <c r="J31">
        <f t="shared" si="4"/>
        <v>0.98104255784100003</v>
      </c>
      <c r="K31">
        <f t="shared" si="22"/>
        <v>0.8769152550463859</v>
      </c>
      <c r="M31">
        <v>9</v>
      </c>
      <c r="N31">
        <f t="shared" si="5"/>
        <v>0</v>
      </c>
      <c r="O31">
        <f t="shared" si="6"/>
        <v>300</v>
      </c>
      <c r="P31">
        <f>VLOOKUP(G31,'Death Benefits'!$A$1:$E$98,4,FALSE)</f>
        <v>594594.59459999995</v>
      </c>
      <c r="Q31">
        <f t="shared" si="7"/>
        <v>260631.0337573842</v>
      </c>
      <c r="S31">
        <v>9</v>
      </c>
      <c r="T31">
        <f t="shared" si="8"/>
        <v>260631.0337573842</v>
      </c>
      <c r="U31">
        <f t="shared" si="9"/>
        <v>5833.2260196481648</v>
      </c>
      <c r="W31">
        <v>9</v>
      </c>
      <c r="X31">
        <f t="shared" si="10"/>
        <v>0</v>
      </c>
      <c r="Y31">
        <f t="shared" si="11"/>
        <v>-300</v>
      </c>
      <c r="Z31">
        <f t="shared" si="12"/>
        <v>-5326.0466891835531</v>
      </c>
      <c r="AA31">
        <v>0</v>
      </c>
      <c r="AB31">
        <f t="shared" si="13"/>
        <v>-18.179099999999998</v>
      </c>
      <c r="AC31">
        <f t="shared" si="14"/>
        <v>-5833.2260196481648</v>
      </c>
      <c r="AD31">
        <f t="shared" si="15"/>
        <v>-11477.451808831718</v>
      </c>
      <c r="AE31">
        <f t="shared" si="16"/>
        <v>-255690.13601008823</v>
      </c>
      <c r="AF31">
        <f t="shared" si="17"/>
        <v>-267167.58781891997</v>
      </c>
      <c r="AG31">
        <f t="shared" si="18"/>
        <v>0.58890663980714408</v>
      </c>
      <c r="AH31">
        <f t="shared" si="19"/>
        <v>-137971.01064268732</v>
      </c>
      <c r="AI31">
        <f t="shared" si="23"/>
        <v>0</v>
      </c>
    </row>
    <row r="32" spans="1:35" x14ac:dyDescent="0.2">
      <c r="A32">
        <f t="shared" si="20"/>
        <v>70</v>
      </c>
      <c r="B32">
        <f>VLOOKUP(A32,Table22[#All],2,FALSE)</f>
        <v>9.8578739390000007E-3</v>
      </c>
      <c r="C32">
        <f t="shared" si="0"/>
        <v>0.99014212606100005</v>
      </c>
      <c r="D32">
        <f t="shared" si="1"/>
        <v>0.36957799673137026</v>
      </c>
      <c r="E32">
        <f t="shared" si="2"/>
        <v>0.26928525384698176</v>
      </c>
      <c r="G32">
        <f t="shared" si="21"/>
        <v>70</v>
      </c>
      <c r="H32">
        <f t="shared" si="3"/>
        <v>9.8578739390000007E-3</v>
      </c>
      <c r="I32">
        <f>Lapses!B11</f>
        <v>1.021E-2</v>
      </c>
      <c r="J32">
        <f t="shared" si="4"/>
        <v>0.979932126061</v>
      </c>
      <c r="K32">
        <f t="shared" si="22"/>
        <v>0.86029118482049938</v>
      </c>
      <c r="M32">
        <v>10</v>
      </c>
      <c r="N32">
        <f t="shared" si="5"/>
        <v>0</v>
      </c>
      <c r="O32">
        <f t="shared" si="6"/>
        <v>300</v>
      </c>
      <c r="P32">
        <f>VLOOKUP(G32,'Death Benefits'!$A$1:$E$98,4,FALSE)</f>
        <v>594594.59459999995</v>
      </c>
      <c r="Q32">
        <f t="shared" si="7"/>
        <v>269833.23065666633</v>
      </c>
      <c r="S32">
        <v>10</v>
      </c>
      <c r="T32">
        <f t="shared" si="8"/>
        <v>269833.23065666633</v>
      </c>
      <c r="U32">
        <f t="shared" si="9"/>
        <v>5826.6234523075636</v>
      </c>
      <c r="W32">
        <v>10</v>
      </c>
      <c r="X32">
        <f t="shared" si="10"/>
        <v>0</v>
      </c>
      <c r="Y32">
        <f t="shared" si="11"/>
        <v>-300</v>
      </c>
      <c r="Z32">
        <f t="shared" si="12"/>
        <v>-5861.4385583776102</v>
      </c>
      <c r="AA32">
        <v>0</v>
      </c>
      <c r="AB32">
        <f t="shared" si="13"/>
        <v>-18.179099999999998</v>
      </c>
      <c r="AC32">
        <f t="shared" si="14"/>
        <v>-5826.6234523075636</v>
      </c>
      <c r="AD32">
        <f t="shared" si="15"/>
        <v>-12006.241110685174</v>
      </c>
      <c r="AE32">
        <f t="shared" si="16"/>
        <v>-264418.25139929523</v>
      </c>
      <c r="AF32">
        <f t="shared" si="17"/>
        <v>-276424.49250998039</v>
      </c>
      <c r="AG32">
        <f t="shared" si="18"/>
        <v>0.55525957532139369</v>
      </c>
      <c r="AH32">
        <f t="shared" si="19"/>
        <v>-132043.81102017718</v>
      </c>
      <c r="AI32">
        <f t="shared" si="23"/>
        <v>0</v>
      </c>
    </row>
    <row r="33" spans="1:35" x14ac:dyDescent="0.2">
      <c r="A33">
        <f t="shared" si="20"/>
        <v>71</v>
      </c>
      <c r="B33">
        <f>VLOOKUP(A33,Table22[#All],2,FALSE)</f>
        <v>1.0887531569999999E-2</v>
      </c>
      <c r="C33">
        <f t="shared" si="0"/>
        <v>0.98911246843</v>
      </c>
      <c r="D33">
        <f t="shared" si="1"/>
        <v>0.385919789293724</v>
      </c>
      <c r="E33">
        <f t="shared" si="2"/>
        <v>0.29728754847999084</v>
      </c>
      <c r="G33">
        <f t="shared" si="21"/>
        <v>71</v>
      </c>
      <c r="H33">
        <f t="shared" si="3"/>
        <v>1.0887531569999999E-2</v>
      </c>
      <c r="I33">
        <f>Lapses!B12</f>
        <v>9.9500000000000005E-3</v>
      </c>
      <c r="J33">
        <f t="shared" si="4"/>
        <v>0.97916246842999999</v>
      </c>
      <c r="K33">
        <f t="shared" si="22"/>
        <v>0.84302696977268865</v>
      </c>
      <c r="M33">
        <v>11</v>
      </c>
      <c r="N33">
        <f t="shared" si="5"/>
        <v>0</v>
      </c>
      <c r="O33">
        <f t="shared" si="6"/>
        <v>300</v>
      </c>
      <c r="P33">
        <f>VLOOKUP(G33,'Death Benefits'!$A$1:$E$98,4,FALSE)</f>
        <v>594594.59459999995</v>
      </c>
      <c r="Q33">
        <f t="shared" si="7"/>
        <v>279392.26647822664</v>
      </c>
      <c r="S33">
        <v>11</v>
      </c>
      <c r="T33">
        <f t="shared" si="8"/>
        <v>279392.26647822664</v>
      </c>
      <c r="U33">
        <f t="shared" si="9"/>
        <v>5822.047109636711</v>
      </c>
      <c r="W33">
        <v>11</v>
      </c>
      <c r="X33">
        <f t="shared" si="10"/>
        <v>0</v>
      </c>
      <c r="Y33">
        <f t="shared" si="11"/>
        <v>-300</v>
      </c>
      <c r="Z33">
        <f t="shared" si="12"/>
        <v>-6473.6674200588504</v>
      </c>
      <c r="AA33">
        <v>0</v>
      </c>
      <c r="AB33">
        <f t="shared" si="13"/>
        <v>-18.179099999999998</v>
      </c>
      <c r="AC33">
        <f t="shared" si="14"/>
        <v>-5822.047109636711</v>
      </c>
      <c r="AD33">
        <f t="shared" si="15"/>
        <v>-12613.893629695562</v>
      </c>
      <c r="AE33">
        <f t="shared" si="16"/>
        <v>-273570.42130507273</v>
      </c>
      <c r="AF33">
        <f t="shared" si="17"/>
        <v>-286184.31493476831</v>
      </c>
      <c r="AG33">
        <f t="shared" si="18"/>
        <v>0.52353492921570932</v>
      </c>
      <c r="AH33">
        <f t="shared" si="19"/>
        <v>-126308.61072049766</v>
      </c>
      <c r="AI33">
        <f t="shared" si="23"/>
        <v>0</v>
      </c>
    </row>
    <row r="34" spans="1:35" x14ac:dyDescent="0.2">
      <c r="A34">
        <f t="shared" si="20"/>
        <v>72</v>
      </c>
      <c r="B34">
        <f>VLOOKUP(A34,Table22[#All],2,FALSE)</f>
        <v>1.205866813E-2</v>
      </c>
      <c r="C34">
        <f t="shared" si="0"/>
        <v>0.98794133186999999</v>
      </c>
      <c r="D34">
        <f t="shared" si="1"/>
        <v>0.402803373642592</v>
      </c>
      <c r="E34">
        <f t="shared" si="2"/>
        <v>0.32646172980573107</v>
      </c>
      <c r="G34">
        <f t="shared" si="21"/>
        <v>72</v>
      </c>
      <c r="H34">
        <f t="shared" si="3"/>
        <v>1.205866813E-2</v>
      </c>
      <c r="I34">
        <f>Lapses!B13</f>
        <v>0.01</v>
      </c>
      <c r="J34">
        <f t="shared" si="4"/>
        <v>0.97794133186999999</v>
      </c>
      <c r="K34">
        <f t="shared" si="22"/>
        <v>0.82546036867568884</v>
      </c>
      <c r="M34">
        <v>12</v>
      </c>
      <c r="N34">
        <f t="shared" si="5"/>
        <v>0</v>
      </c>
      <c r="O34">
        <f t="shared" si="6"/>
        <v>300</v>
      </c>
      <c r="P34">
        <f>VLOOKUP(G34,'Death Benefits'!$A$1:$E$98,4,FALSE)</f>
        <v>594594.59459999995</v>
      </c>
      <c r="Q34">
        <f t="shared" si="7"/>
        <v>289403.47047505568</v>
      </c>
      <c r="S34">
        <v>12</v>
      </c>
      <c r="T34">
        <f t="shared" si="8"/>
        <v>289403.47047505568</v>
      </c>
      <c r="U34">
        <f t="shared" si="9"/>
        <v>5814.7862976582664</v>
      </c>
      <c r="W34">
        <v>12</v>
      </c>
      <c r="X34">
        <f t="shared" si="10"/>
        <v>0</v>
      </c>
      <c r="Y34">
        <f t="shared" si="11"/>
        <v>-300</v>
      </c>
      <c r="Z34">
        <f t="shared" si="12"/>
        <v>-7170.0188881732893</v>
      </c>
      <c r="AA34">
        <v>0</v>
      </c>
      <c r="AB34">
        <f t="shared" si="13"/>
        <v>-18.179099999999998</v>
      </c>
      <c r="AC34">
        <f t="shared" si="14"/>
        <v>-5814.7862976582664</v>
      </c>
      <c r="AD34">
        <f t="shared" si="15"/>
        <v>-13302.984285831557</v>
      </c>
      <c r="AE34">
        <f t="shared" si="16"/>
        <v>-283019.61536417616</v>
      </c>
      <c r="AF34">
        <f t="shared" si="17"/>
        <v>-296322.59965000773</v>
      </c>
      <c r="AG34">
        <f t="shared" si="18"/>
        <v>0.49362286449585413</v>
      </c>
      <c r="AH34">
        <f t="shared" si="19"/>
        <v>-120741.41749222401</v>
      </c>
      <c r="AI34">
        <f t="shared" si="23"/>
        <v>0</v>
      </c>
    </row>
    <row r="35" spans="1:35" x14ac:dyDescent="0.2">
      <c r="A35">
        <f t="shared" si="20"/>
        <v>73</v>
      </c>
      <c r="B35">
        <f>VLOOKUP(A35,Table22[#All],2,FALSE)</f>
        <v>1.3383536709999999E-2</v>
      </c>
      <c r="C35">
        <f t="shared" si="0"/>
        <v>0.98661646328999997</v>
      </c>
      <c r="D35">
        <f t="shared" si="1"/>
        <v>0.42022068330656787</v>
      </c>
      <c r="E35">
        <f t="shared" si="2"/>
        <v>0.35620925561276234</v>
      </c>
      <c r="G35">
        <f t="shared" si="21"/>
        <v>73</v>
      </c>
      <c r="H35">
        <f t="shared" si="3"/>
        <v>1.3383536709999999E-2</v>
      </c>
      <c r="I35">
        <f>Lapses!B14</f>
        <v>9.8799999999999999E-3</v>
      </c>
      <c r="J35">
        <f t="shared" si="4"/>
        <v>0.97673646328999997</v>
      </c>
      <c r="K35">
        <f t="shared" si="22"/>
        <v>0.80725181234860433</v>
      </c>
      <c r="M35">
        <v>13</v>
      </c>
      <c r="N35">
        <f t="shared" si="5"/>
        <v>0</v>
      </c>
      <c r="O35">
        <f t="shared" si="6"/>
        <v>300</v>
      </c>
      <c r="P35">
        <f>VLOOKUP(G35,'Death Benefits'!$A$1:$E$98,4,FALSE)</f>
        <v>594594.59459999995</v>
      </c>
      <c r="Q35">
        <f t="shared" si="7"/>
        <v>299832.02602099959</v>
      </c>
      <c r="S35">
        <v>13</v>
      </c>
      <c r="T35">
        <f t="shared" si="8"/>
        <v>299832.02602099959</v>
      </c>
      <c r="U35">
        <f t="shared" si="9"/>
        <v>5807.622214209553</v>
      </c>
      <c r="W35">
        <v>13</v>
      </c>
      <c r="X35">
        <f t="shared" si="10"/>
        <v>0</v>
      </c>
      <c r="Y35">
        <f t="shared" si="11"/>
        <v>-300</v>
      </c>
      <c r="Z35">
        <f t="shared" si="12"/>
        <v>-7957.7785843966667</v>
      </c>
      <c r="AA35">
        <v>0</v>
      </c>
      <c r="AB35">
        <f t="shared" si="13"/>
        <v>-18.179099999999998</v>
      </c>
      <c r="AC35">
        <f t="shared" si="14"/>
        <v>-5807.622214209553</v>
      </c>
      <c r="AD35">
        <f t="shared" si="15"/>
        <v>-14083.579898606218</v>
      </c>
      <c r="AE35">
        <f t="shared" si="16"/>
        <v>-292856.87267682637</v>
      </c>
      <c r="AF35">
        <f t="shared" si="17"/>
        <v>-306940.4525754326</v>
      </c>
      <c r="AG35">
        <f t="shared" si="18"/>
        <v>0.46541981968255058</v>
      </c>
      <c r="AH35">
        <f t="shared" si="19"/>
        <v>-115320.90221109043</v>
      </c>
      <c r="AI35">
        <f t="shared" si="23"/>
        <v>0</v>
      </c>
    </row>
    <row r="36" spans="1:35" x14ac:dyDescent="0.2">
      <c r="A36">
        <f t="shared" si="20"/>
        <v>74</v>
      </c>
      <c r="B36">
        <f>VLOOKUP(A36,Table22[#All],2,FALSE)</f>
        <v>1.4874390390000001E-2</v>
      </c>
      <c r="C36">
        <f t="shared" si="0"/>
        <v>0.98512560960999995</v>
      </c>
      <c r="D36">
        <f t="shared" si="1"/>
        <v>0.43816546290068142</v>
      </c>
      <c r="E36">
        <f t="shared" si="2"/>
        <v>0.38596072338662868</v>
      </c>
      <c r="G36">
        <f t="shared" si="21"/>
        <v>74</v>
      </c>
      <c r="H36">
        <f t="shared" si="3"/>
        <v>1.4874390390000001E-2</v>
      </c>
      <c r="I36">
        <f>Lapses!B15</f>
        <v>9.9699999999999997E-3</v>
      </c>
      <c r="J36">
        <f t="shared" si="4"/>
        <v>0.97515560960999992</v>
      </c>
      <c r="K36">
        <f t="shared" si="22"/>
        <v>0.78847228017781856</v>
      </c>
      <c r="M36">
        <v>14</v>
      </c>
      <c r="N36">
        <f t="shared" si="5"/>
        <v>0</v>
      </c>
      <c r="O36">
        <f t="shared" si="6"/>
        <v>300</v>
      </c>
      <c r="P36">
        <f>VLOOKUP(G36,'Death Benefits'!$A$1:$E$98,4,FALSE)</f>
        <v>594594.59459999995</v>
      </c>
      <c r="Q36">
        <f t="shared" si="7"/>
        <v>310760.98065563809</v>
      </c>
      <c r="S36">
        <v>14</v>
      </c>
      <c r="T36">
        <f t="shared" si="8"/>
        <v>310760.98065563809</v>
      </c>
      <c r="U36">
        <f t="shared" si="9"/>
        <v>5798.2225436797371</v>
      </c>
      <c r="W36">
        <v>14</v>
      </c>
      <c r="X36">
        <f t="shared" si="10"/>
        <v>0</v>
      </c>
      <c r="Y36">
        <f t="shared" si="11"/>
        <v>-300</v>
      </c>
      <c r="Z36">
        <f t="shared" si="12"/>
        <v>-8844.2321238641853</v>
      </c>
      <c r="AA36">
        <v>0</v>
      </c>
      <c r="AB36">
        <f t="shared" si="13"/>
        <v>-18.179099999999998</v>
      </c>
      <c r="AC36">
        <f t="shared" si="14"/>
        <v>-5798.2225436797371</v>
      </c>
      <c r="AD36">
        <f t="shared" si="15"/>
        <v>-14960.633767543921</v>
      </c>
      <c r="AE36">
        <f t="shared" si="16"/>
        <v>-303040.31353425013</v>
      </c>
      <c r="AF36">
        <f t="shared" si="17"/>
        <v>-318000.94730179408</v>
      </c>
      <c r="AG36">
        <f t="shared" si="18"/>
        <v>0.43882815026117428</v>
      </c>
      <c r="AH36">
        <f t="shared" si="19"/>
        <v>-110029.54642321136</v>
      </c>
      <c r="AI36">
        <f t="shared" si="23"/>
        <v>0</v>
      </c>
    </row>
    <row r="37" spans="1:35" x14ac:dyDescent="0.2">
      <c r="A37">
        <f t="shared" si="20"/>
        <v>75</v>
      </c>
      <c r="B37">
        <f>VLOOKUP(A37,Table22[#All],2,FALSE)</f>
        <v>1.6543482259999999E-2</v>
      </c>
      <c r="C37">
        <f t="shared" si="0"/>
        <v>0.98345651773999998</v>
      </c>
      <c r="D37">
        <f t="shared" si="1"/>
        <v>0.45663474858212405</v>
      </c>
      <c r="E37">
        <f t="shared" si="2"/>
        <v>0.41523787514960581</v>
      </c>
      <c r="G37">
        <f t="shared" si="21"/>
        <v>75</v>
      </c>
      <c r="H37">
        <f t="shared" si="3"/>
        <v>1.6543482259999999E-2</v>
      </c>
      <c r="I37">
        <f>Lapses!B16</f>
        <v>1.0149999999999999E-2</v>
      </c>
      <c r="J37">
        <f t="shared" si="4"/>
        <v>0.97330651773999999</v>
      </c>
      <c r="K37">
        <f t="shared" si="22"/>
        <v>0.76888316703738735</v>
      </c>
      <c r="M37">
        <v>15</v>
      </c>
      <c r="N37">
        <f t="shared" si="5"/>
        <v>0</v>
      </c>
      <c r="O37">
        <f t="shared" si="6"/>
        <v>300</v>
      </c>
      <c r="P37">
        <f>VLOOKUP(G37,'Death Benefits'!$A$1:$E$98,4,FALSE)</f>
        <v>594594.59459999995</v>
      </c>
      <c r="Q37">
        <f t="shared" si="7"/>
        <v>322252.12295679381</v>
      </c>
      <c r="S37">
        <v>15</v>
      </c>
      <c r="T37">
        <f t="shared" si="8"/>
        <v>322252.12295679381</v>
      </c>
      <c r="U37">
        <f t="shared" si="9"/>
        <v>5787.2279433715303</v>
      </c>
      <c r="W37">
        <v>15</v>
      </c>
      <c r="X37">
        <f t="shared" si="10"/>
        <v>0</v>
      </c>
      <c r="Y37">
        <f t="shared" si="11"/>
        <v>-300</v>
      </c>
      <c r="Z37">
        <f t="shared" si="12"/>
        <v>-9836.6651276569901</v>
      </c>
      <c r="AA37">
        <v>0</v>
      </c>
      <c r="AB37">
        <f t="shared" si="13"/>
        <v>-18.179099999999998</v>
      </c>
      <c r="AC37">
        <f t="shared" si="14"/>
        <v>-5787.2279433715303</v>
      </c>
      <c r="AD37">
        <f t="shared" si="15"/>
        <v>-15942.07217102852</v>
      </c>
      <c r="AE37">
        <f t="shared" si="16"/>
        <v>-313650.09162939928</v>
      </c>
      <c r="AF37">
        <f t="shared" si="17"/>
        <v>-329592.16380042781</v>
      </c>
      <c r="AG37">
        <f t="shared" si="18"/>
        <v>0.41375579061714701</v>
      </c>
      <c r="AH37">
        <f t="shared" si="19"/>
        <v>-104853.10980686247</v>
      </c>
      <c r="AI37">
        <f t="shared" si="23"/>
        <v>0</v>
      </c>
    </row>
    <row r="38" spans="1:35" x14ac:dyDescent="0.2">
      <c r="A38">
        <f t="shared" si="20"/>
        <v>76</v>
      </c>
      <c r="B38">
        <f>VLOOKUP(A38,Table22[#All],2,FALSE)</f>
        <v>1.8403065390000001E-2</v>
      </c>
      <c r="C38">
        <f t="shared" si="0"/>
        <v>0.98159693460999997</v>
      </c>
      <c r="D38">
        <f t="shared" si="1"/>
        <v>0.47563054771031466</v>
      </c>
      <c r="E38">
        <f t="shared" si="2"/>
        <v>0.44375239079235035</v>
      </c>
      <c r="G38">
        <f t="shared" si="21"/>
        <v>76</v>
      </c>
      <c r="H38">
        <f t="shared" si="3"/>
        <v>1.8403065390000001E-2</v>
      </c>
      <c r="I38">
        <f>Lapses!B17</f>
        <v>9.9600000000000001E-3</v>
      </c>
      <c r="J38">
        <f t="shared" si="4"/>
        <v>0.97163693461</v>
      </c>
      <c r="K38">
        <f t="shared" si="22"/>
        <v>0.74835899785806226</v>
      </c>
      <c r="M38">
        <v>16</v>
      </c>
      <c r="N38">
        <f t="shared" si="5"/>
        <v>0</v>
      </c>
      <c r="O38">
        <f t="shared" si="6"/>
        <v>300</v>
      </c>
      <c r="P38">
        <f>VLOOKUP(G38,'Death Benefits'!$A$1:$E$98,4,FALSE)</f>
        <v>594594.59459999995</v>
      </c>
      <c r="Q38">
        <f t="shared" si="7"/>
        <v>334221.3333879289</v>
      </c>
      <c r="S38">
        <v>16</v>
      </c>
      <c r="T38">
        <f t="shared" si="8"/>
        <v>334221.3333879289</v>
      </c>
      <c r="U38">
        <f t="shared" si="9"/>
        <v>5777.3006923281964</v>
      </c>
      <c r="W38">
        <v>16</v>
      </c>
      <c r="X38">
        <f t="shared" si="10"/>
        <v>0</v>
      </c>
      <c r="Y38">
        <f t="shared" si="11"/>
        <v>-300</v>
      </c>
      <c r="Z38">
        <f t="shared" si="12"/>
        <v>-10942.36320496434</v>
      </c>
      <c r="AA38">
        <v>0</v>
      </c>
      <c r="AB38">
        <f t="shared" si="13"/>
        <v>-18.179099999999998</v>
      </c>
      <c r="AC38">
        <f t="shared" si="14"/>
        <v>-5777.3006923281964</v>
      </c>
      <c r="AD38">
        <f t="shared" si="15"/>
        <v>-17037.842997292537</v>
      </c>
      <c r="AE38">
        <f t="shared" si="16"/>
        <v>-324741.7918543141</v>
      </c>
      <c r="AF38">
        <f t="shared" si="17"/>
        <v>-341779.63485160662</v>
      </c>
      <c r="AG38">
        <f t="shared" si="18"/>
        <v>0.39011593528658578</v>
      </c>
      <c r="AH38">
        <f t="shared" si="19"/>
        <v>-99781.46057642161</v>
      </c>
      <c r="AI38">
        <f t="shared" si="23"/>
        <v>0</v>
      </c>
    </row>
    <row r="39" spans="1:35" x14ac:dyDescent="0.2">
      <c r="A39">
        <f t="shared" si="20"/>
        <v>77</v>
      </c>
      <c r="B39">
        <f>VLOOKUP(A39,Table22[#All],2,FALSE)</f>
        <v>2.0465392860000001E-2</v>
      </c>
      <c r="C39">
        <f t="shared" si="0"/>
        <v>0.97953460713999996</v>
      </c>
      <c r="D39">
        <f t="shared" si="1"/>
        <v>0.49516176088409414</v>
      </c>
      <c r="E39">
        <f t="shared" si="2"/>
        <v>0.47133549369033312</v>
      </c>
      <c r="G39">
        <f t="shared" si="21"/>
        <v>77</v>
      </c>
      <c r="H39">
        <f t="shared" si="3"/>
        <v>2.0465392860000001E-2</v>
      </c>
      <c r="I39">
        <f>Lapses!B18</f>
        <v>9.9399999999999992E-3</v>
      </c>
      <c r="J39">
        <f t="shared" si="4"/>
        <v>0.96959460714000001</v>
      </c>
      <c r="K39">
        <f t="shared" si="22"/>
        <v>0.72713324266661916</v>
      </c>
      <c r="M39">
        <v>17</v>
      </c>
      <c r="N39">
        <f t="shared" si="5"/>
        <v>0</v>
      </c>
      <c r="O39">
        <f t="shared" si="6"/>
        <v>300</v>
      </c>
      <c r="P39">
        <f>VLOOKUP(G39,'Death Benefits'!$A$1:$E$98,4,FALSE)</f>
        <v>594594.59459999995</v>
      </c>
      <c r="Q39">
        <f t="shared" si="7"/>
        <v>346765.74400973442</v>
      </c>
      <c r="S39">
        <v>17</v>
      </c>
      <c r="T39">
        <f t="shared" si="8"/>
        <v>346765.74400973442</v>
      </c>
      <c r="U39">
        <f t="shared" si="9"/>
        <v>5765.1571235875454</v>
      </c>
      <c r="W39">
        <v>17</v>
      </c>
      <c r="X39">
        <f t="shared" si="10"/>
        <v>0</v>
      </c>
      <c r="Y39">
        <f t="shared" si="11"/>
        <v>-300</v>
      </c>
      <c r="Z39">
        <f t="shared" si="12"/>
        <v>-12168.611970921434</v>
      </c>
      <c r="AA39">
        <v>0</v>
      </c>
      <c r="AB39">
        <f t="shared" si="13"/>
        <v>-18.179099999999998</v>
      </c>
      <c r="AC39">
        <f t="shared" si="14"/>
        <v>-5765.1571235875454</v>
      </c>
      <c r="AD39">
        <f t="shared" si="15"/>
        <v>-18251.948194508979</v>
      </c>
      <c r="AE39">
        <f t="shared" si="16"/>
        <v>-336222.19533272827</v>
      </c>
      <c r="AF39">
        <f t="shared" si="17"/>
        <v>-354474.14352723723</v>
      </c>
      <c r="AG39">
        <f t="shared" si="18"/>
        <v>0.36782673841863195</v>
      </c>
      <c r="AH39">
        <f t="shared" si="19"/>
        <v>-94807.317339128567</v>
      </c>
      <c r="AI39">
        <f t="shared" si="23"/>
        <v>0</v>
      </c>
    </row>
    <row r="40" spans="1:35" x14ac:dyDescent="0.2">
      <c r="A40">
        <f t="shared" si="20"/>
        <v>78</v>
      </c>
      <c r="B40">
        <f>VLOOKUP(A40,Table22[#All],2,FALSE)</f>
        <v>2.274271777E-2</v>
      </c>
      <c r="C40">
        <f t="shared" si="0"/>
        <v>0.97725728222999997</v>
      </c>
      <c r="D40">
        <f t="shared" si="1"/>
        <v>0.51524640535365285</v>
      </c>
      <c r="E40">
        <f t="shared" si="2"/>
        <v>0.49798671128520255</v>
      </c>
      <c r="G40">
        <f t="shared" si="21"/>
        <v>78</v>
      </c>
      <c r="H40">
        <f t="shared" si="3"/>
        <v>2.274271777E-2</v>
      </c>
      <c r="I40">
        <f>Lapses!B19</f>
        <v>9.8499999999999994E-3</v>
      </c>
      <c r="J40">
        <f t="shared" si="4"/>
        <v>0.96740728222999994</v>
      </c>
      <c r="K40">
        <f t="shared" si="22"/>
        <v>0.70502447076177488</v>
      </c>
      <c r="M40">
        <v>18</v>
      </c>
      <c r="N40">
        <f t="shared" si="5"/>
        <v>0</v>
      </c>
      <c r="O40">
        <f t="shared" si="6"/>
        <v>300</v>
      </c>
      <c r="P40">
        <f>VLOOKUP(G40,'Death Benefits'!$A$1:$E$98,4,FALSE)</f>
        <v>594594.59459999995</v>
      </c>
      <c r="Q40">
        <f t="shared" si="7"/>
        <v>359916.33165755915</v>
      </c>
      <c r="S40">
        <v>18</v>
      </c>
      <c r="T40">
        <f t="shared" si="8"/>
        <v>359916.33165755915</v>
      </c>
      <c r="U40">
        <f t="shared" si="9"/>
        <v>5752.1514079063454</v>
      </c>
      <c r="W40">
        <v>18</v>
      </c>
      <c r="X40">
        <f t="shared" si="10"/>
        <v>0</v>
      </c>
      <c r="Y40">
        <f t="shared" si="11"/>
        <v>-300</v>
      </c>
      <c r="Z40">
        <f t="shared" si="12"/>
        <v>-13522.697052555364</v>
      </c>
      <c r="AA40">
        <v>0</v>
      </c>
      <c r="AB40">
        <f t="shared" si="13"/>
        <v>-18.179099999999998</v>
      </c>
      <c r="AC40">
        <f t="shared" si="14"/>
        <v>-5752.1514079063454</v>
      </c>
      <c r="AD40">
        <f t="shared" si="15"/>
        <v>-19593.027560461709</v>
      </c>
      <c r="AE40">
        <f t="shared" si="16"/>
        <v>-348185.68023903057</v>
      </c>
      <c r="AF40">
        <f t="shared" si="17"/>
        <v>-367778.70779949229</v>
      </c>
      <c r="AG40">
        <f t="shared" si="18"/>
        <v>0.34681103040894135</v>
      </c>
      <c r="AH40">
        <f t="shared" si="19"/>
        <v>-89925.668631791516</v>
      </c>
      <c r="AI40">
        <f t="shared" si="23"/>
        <v>0</v>
      </c>
    </row>
    <row r="41" spans="1:35" x14ac:dyDescent="0.2">
      <c r="A41">
        <f t="shared" si="20"/>
        <v>79</v>
      </c>
      <c r="B41">
        <f>VLOOKUP(A41,Table22[#All],2,FALSE)</f>
        <v>2.52472932E-2</v>
      </c>
      <c r="C41">
        <f t="shared" si="0"/>
        <v>0.97475270680000003</v>
      </c>
      <c r="D41">
        <f t="shared" si="1"/>
        <v>0.53591421986007548</v>
      </c>
      <c r="E41">
        <f t="shared" si="2"/>
        <v>0.52382039370209055</v>
      </c>
      <c r="G41">
        <f t="shared" si="21"/>
        <v>79</v>
      </c>
      <c r="H41">
        <f t="shared" si="3"/>
        <v>2.52472932E-2</v>
      </c>
      <c r="I41">
        <f>Lapses!B20</f>
        <v>9.8399999999999998E-3</v>
      </c>
      <c r="J41">
        <f t="shared" si="4"/>
        <v>0.96491270680000008</v>
      </c>
      <c r="K41">
        <f t="shared" si="22"/>
        <v>0.68204580716529273</v>
      </c>
      <c r="M41">
        <v>19</v>
      </c>
      <c r="N41">
        <f t="shared" si="5"/>
        <v>0</v>
      </c>
      <c r="O41">
        <f t="shared" si="6"/>
        <v>300</v>
      </c>
      <c r="P41">
        <f>VLOOKUP(G41,'Death Benefits'!$A$1:$E$98,4,FALSE)</f>
        <v>594594.59459999995</v>
      </c>
      <c r="Q41">
        <f t="shared" si="7"/>
        <v>373773.47930347465</v>
      </c>
      <c r="S41">
        <v>19</v>
      </c>
      <c r="T41">
        <f t="shared" si="8"/>
        <v>373773.47930347465</v>
      </c>
      <c r="U41">
        <f t="shared" si="9"/>
        <v>5737.3187972413471</v>
      </c>
      <c r="W41">
        <v>19</v>
      </c>
      <c r="X41">
        <f t="shared" si="10"/>
        <v>0</v>
      </c>
      <c r="Y41">
        <f t="shared" si="11"/>
        <v>-300</v>
      </c>
      <c r="Z41">
        <f t="shared" si="12"/>
        <v>-15011.904065001336</v>
      </c>
      <c r="AA41">
        <v>0</v>
      </c>
      <c r="AB41">
        <f t="shared" si="13"/>
        <v>-18.179099999999998</v>
      </c>
      <c r="AC41">
        <f t="shared" si="14"/>
        <v>-5737.3187972413471</v>
      </c>
      <c r="AD41">
        <f t="shared" si="15"/>
        <v>-21067.401962242682</v>
      </c>
      <c r="AE41">
        <f t="shared" si="16"/>
        <v>-360658.77964476956</v>
      </c>
      <c r="AF41">
        <f t="shared" si="17"/>
        <v>-381726.18160701223</v>
      </c>
      <c r="AG41">
        <f t="shared" si="18"/>
        <v>0.32699605072326376</v>
      </c>
      <c r="AH41">
        <f t="shared" si="19"/>
        <v>-85134.972306717114</v>
      </c>
      <c r="AI41">
        <f t="shared" si="23"/>
        <v>0</v>
      </c>
    </row>
    <row r="42" spans="1:35" x14ac:dyDescent="0.2">
      <c r="A42">
        <f t="shared" si="20"/>
        <v>80</v>
      </c>
      <c r="B42">
        <f>VLOOKUP(A42,Table22[#All],2,FALSE)</f>
        <v>2.7991372220000001E-2</v>
      </c>
      <c r="C42">
        <f t="shared" si="0"/>
        <v>0.97200862777999997</v>
      </c>
      <c r="D42">
        <f t="shared" si="1"/>
        <v>0.55720975879513857</v>
      </c>
      <c r="E42">
        <f t="shared" si="2"/>
        <v>0.54902200950147306</v>
      </c>
      <c r="G42">
        <f t="shared" si="21"/>
        <v>80</v>
      </c>
      <c r="H42">
        <f t="shared" si="3"/>
        <v>2.7991372220000001E-2</v>
      </c>
      <c r="I42">
        <f>Lapses!B21</f>
        <v>0</v>
      </c>
      <c r="J42">
        <f t="shared" si="4"/>
        <v>0.97200862777999997</v>
      </c>
      <c r="K42">
        <f t="shared" si="22"/>
        <v>0.65811466595345347</v>
      </c>
      <c r="M42">
        <v>20</v>
      </c>
      <c r="N42">
        <f t="shared" si="5"/>
        <v>0</v>
      </c>
      <c r="O42">
        <f t="shared" si="6"/>
        <v>300</v>
      </c>
      <c r="P42">
        <f>VLOOKUP(G42,'Death Benefits'!$A$1:$E$98,4,FALSE)</f>
        <v>594594.59459999995</v>
      </c>
      <c r="Q42">
        <f t="shared" si="7"/>
        <v>384442.90685466077</v>
      </c>
      <c r="S42">
        <v>20</v>
      </c>
      <c r="T42">
        <f t="shared" si="8"/>
        <v>384442.90685466077</v>
      </c>
      <c r="U42">
        <f t="shared" si="9"/>
        <v>5779.5107598255136</v>
      </c>
      <c r="W42">
        <v>20</v>
      </c>
      <c r="X42">
        <f t="shared" si="10"/>
        <v>0</v>
      </c>
      <c r="Y42">
        <f t="shared" si="11"/>
        <v>-300</v>
      </c>
      <c r="Z42">
        <f t="shared" si="12"/>
        <v>-16643.518617448601</v>
      </c>
      <c r="AA42">
        <v>0</v>
      </c>
      <c r="AB42">
        <f t="shared" si="13"/>
        <v>-18.179099999999998</v>
      </c>
      <c r="AC42">
        <f t="shared" si="14"/>
        <v>-5779.5107598255136</v>
      </c>
      <c r="AD42">
        <f t="shared" si="15"/>
        <v>-22741.208477274115</v>
      </c>
      <c r="AE42">
        <f t="shared" si="16"/>
        <v>-373681.82235155319</v>
      </c>
      <c r="AF42">
        <f t="shared" si="17"/>
        <v>-396423.03082882729</v>
      </c>
      <c r="AG42">
        <f t="shared" si="18"/>
        <v>0.30831319598609441</v>
      </c>
      <c r="AH42">
        <f t="shared" si="19"/>
        <v>-80436.38790498882</v>
      </c>
      <c r="AI42">
        <f t="shared" si="23"/>
        <v>0</v>
      </c>
    </row>
    <row r="43" spans="1:35" x14ac:dyDescent="0.2">
      <c r="A43">
        <f t="shared" si="20"/>
        <v>81</v>
      </c>
      <c r="B43">
        <f>VLOOKUP(A43,Table22[#All],2,FALSE)</f>
        <v>3.1345718240000001E-2</v>
      </c>
      <c r="C43">
        <f t="shared" si="0"/>
        <v>0.96865428176000001</v>
      </c>
      <c r="D43">
        <f t="shared" si="1"/>
        <v>0.57919612052689595</v>
      </c>
      <c r="E43">
        <f t="shared" si="2"/>
        <v>0.57385217817698864</v>
      </c>
      <c r="G43">
        <f t="shared" si="21"/>
        <v>81</v>
      </c>
      <c r="H43">
        <f t="shared" si="3"/>
        <v>3.1345718240000001E-2</v>
      </c>
      <c r="I43">
        <f>Lapses!B22</f>
        <v>0</v>
      </c>
      <c r="J43">
        <f t="shared" si="4"/>
        <v>0.96865428176000001</v>
      </c>
      <c r="K43">
        <f t="shared" si="22"/>
        <v>0.63969313337530942</v>
      </c>
      <c r="M43">
        <v>21</v>
      </c>
      <c r="N43">
        <f t="shared" si="5"/>
        <v>0</v>
      </c>
      <c r="O43">
        <f t="shared" si="6"/>
        <v>300</v>
      </c>
      <c r="P43">
        <f>VLOOKUP(G43,'Death Benefits'!$A$1:$E$98,4,FALSE)</f>
        <v>594594.59459999995</v>
      </c>
      <c r="Q43">
        <f t="shared" si="7"/>
        <v>395417.91242209973</v>
      </c>
      <c r="S43">
        <v>21</v>
      </c>
      <c r="T43">
        <f t="shared" si="8"/>
        <v>395417.91242209973</v>
      </c>
      <c r="U43">
        <f t="shared" si="9"/>
        <v>5759.565999706414</v>
      </c>
      <c r="W43">
        <v>21</v>
      </c>
      <c r="X43">
        <f t="shared" si="10"/>
        <v>0</v>
      </c>
      <c r="Y43">
        <f t="shared" si="11"/>
        <v>-300</v>
      </c>
      <c r="Z43">
        <f t="shared" si="12"/>
        <v>-18637.994629358625</v>
      </c>
      <c r="AA43">
        <v>0</v>
      </c>
      <c r="AB43">
        <f t="shared" si="13"/>
        <v>-18.179099999999998</v>
      </c>
      <c r="AC43">
        <f t="shared" si="14"/>
        <v>-5759.565999706414</v>
      </c>
      <c r="AD43">
        <f t="shared" si="15"/>
        <v>-24715.739729065041</v>
      </c>
      <c r="AE43">
        <f t="shared" si="16"/>
        <v>-383023.25395226758</v>
      </c>
      <c r="AF43">
        <f t="shared" si="17"/>
        <v>-407738.99368133262</v>
      </c>
      <c r="AG43">
        <f t="shared" si="18"/>
        <v>0.29069778246223066</v>
      </c>
      <c r="AH43">
        <f t="shared" si="19"/>
        <v>-75822.073084071963</v>
      </c>
      <c r="AI43">
        <f t="shared" si="23"/>
        <v>0</v>
      </c>
    </row>
    <row r="44" spans="1:35" x14ac:dyDescent="0.2">
      <c r="A44">
        <f t="shared" si="20"/>
        <v>82</v>
      </c>
      <c r="B44">
        <f>VLOOKUP(A44,Table22[#All],2,FALSE)</f>
        <v>3.6074845539999997E-2</v>
      </c>
      <c r="C44">
        <f t="shared" si="0"/>
        <v>0.96392515446000004</v>
      </c>
      <c r="D44">
        <f t="shared" si="1"/>
        <v>0.60181218477997622</v>
      </c>
      <c r="E44">
        <f t="shared" si="2"/>
        <v>0.59845292916846016</v>
      </c>
      <c r="G44">
        <f t="shared" si="21"/>
        <v>82</v>
      </c>
      <c r="H44">
        <f t="shared" si="3"/>
        <v>3.6074845539999997E-2</v>
      </c>
      <c r="I44">
        <f>Lapses!B23</f>
        <v>0</v>
      </c>
      <c r="J44">
        <f t="shared" si="4"/>
        <v>0.96392515446000004</v>
      </c>
      <c r="K44">
        <f t="shared" si="22"/>
        <v>0.61964149265646429</v>
      </c>
      <c r="M44">
        <v>22</v>
      </c>
      <c r="N44">
        <f t="shared" si="5"/>
        <v>0</v>
      </c>
      <c r="O44">
        <f t="shared" si="6"/>
        <v>300</v>
      </c>
      <c r="P44">
        <f>VLOOKUP(G44,'Death Benefits'!$A$1:$E$98,4,FALSE)</f>
        <v>594594.59459999995</v>
      </c>
      <c r="Q44">
        <f t="shared" si="7"/>
        <v>406545.58678588853</v>
      </c>
      <c r="S44">
        <v>22</v>
      </c>
      <c r="T44">
        <f t="shared" si="8"/>
        <v>406545.58678588853</v>
      </c>
      <c r="U44">
        <f t="shared" si="9"/>
        <v>5731.4468644088611</v>
      </c>
      <c r="W44">
        <v>22</v>
      </c>
      <c r="X44">
        <f t="shared" si="10"/>
        <v>0</v>
      </c>
      <c r="Y44">
        <f t="shared" si="11"/>
        <v>-300</v>
      </c>
      <c r="Z44">
        <f t="shared" si="12"/>
        <v>-21449.908159113915</v>
      </c>
      <c r="AA44">
        <v>0</v>
      </c>
      <c r="AB44">
        <f t="shared" si="13"/>
        <v>-18.179099999999998</v>
      </c>
      <c r="AC44">
        <f t="shared" si="14"/>
        <v>-5731.4468644088611</v>
      </c>
      <c r="AD44">
        <f t="shared" si="15"/>
        <v>-27499.534123522775</v>
      </c>
      <c r="AE44">
        <f t="shared" si="16"/>
        <v>-391879.51753761893</v>
      </c>
      <c r="AF44">
        <f t="shared" si="17"/>
        <v>-419379.05166114168</v>
      </c>
      <c r="AG44">
        <f t="shared" si="18"/>
        <v>0.27408882210889779</v>
      </c>
      <c r="AH44">
        <f t="shared" si="19"/>
        <v>-71225.998994752241</v>
      </c>
      <c r="AI44">
        <f t="shared" si="23"/>
        <v>0</v>
      </c>
    </row>
    <row r="45" spans="1:35" x14ac:dyDescent="0.2">
      <c r="A45">
        <f t="shared" si="20"/>
        <v>83</v>
      </c>
      <c r="B45">
        <f>VLOOKUP(A45,Table22[#All],2,FALSE)</f>
        <v>4.2518036500000002E-2</v>
      </c>
      <c r="C45">
        <f t="shared" si="0"/>
        <v>0.95748196350000003</v>
      </c>
      <c r="D45">
        <f t="shared" si="1"/>
        <v>0.62474285416739606</v>
      </c>
      <c r="E45">
        <f t="shared" si="2"/>
        <v>0.62270766078399997</v>
      </c>
      <c r="G45">
        <f t="shared" si="21"/>
        <v>83</v>
      </c>
      <c r="H45">
        <f t="shared" si="3"/>
        <v>4.2518036500000002E-2</v>
      </c>
      <c r="I45">
        <f>Lapses!B24</f>
        <v>0</v>
      </c>
      <c r="J45">
        <f t="shared" si="4"/>
        <v>0.95748196350000003</v>
      </c>
      <c r="K45">
        <f t="shared" si="22"/>
        <v>0.5972880215187073</v>
      </c>
      <c r="M45">
        <v>23</v>
      </c>
      <c r="N45">
        <f t="shared" si="5"/>
        <v>0</v>
      </c>
      <c r="O45">
        <f t="shared" si="6"/>
        <v>300</v>
      </c>
      <c r="P45">
        <f>VLOOKUP(G45,'Death Benefits'!$A$1:$E$98,4,FALSE)</f>
        <v>594594.59459999995</v>
      </c>
      <c r="Q45">
        <f t="shared" si="7"/>
        <v>417646.21703310712</v>
      </c>
      <c r="S45">
        <v>23</v>
      </c>
      <c r="T45">
        <f t="shared" si="8"/>
        <v>417646.21703310712</v>
      </c>
      <c r="U45">
        <f t="shared" si="9"/>
        <v>5693.1359992409452</v>
      </c>
      <c r="W45">
        <v>23</v>
      </c>
      <c r="X45">
        <f t="shared" si="10"/>
        <v>0</v>
      </c>
      <c r="Y45">
        <f t="shared" si="11"/>
        <v>-300</v>
      </c>
      <c r="Z45">
        <f t="shared" si="12"/>
        <v>-25280.994675905502</v>
      </c>
      <c r="AA45">
        <v>0</v>
      </c>
      <c r="AB45">
        <f t="shared" si="13"/>
        <v>-18.179099999999998</v>
      </c>
      <c r="AC45">
        <f t="shared" si="14"/>
        <v>-5693.1359992409452</v>
      </c>
      <c r="AD45">
        <f t="shared" si="15"/>
        <v>-31292.309775146448</v>
      </c>
      <c r="AE45">
        <f t="shared" si="16"/>
        <v>-399888.71993320656</v>
      </c>
      <c r="AF45">
        <f t="shared" si="17"/>
        <v>-431181.02970835299</v>
      </c>
      <c r="AG45">
        <f t="shared" si="18"/>
        <v>0.25842881142309265</v>
      </c>
      <c r="AH45">
        <f t="shared" si="19"/>
        <v>-66555.565929295277</v>
      </c>
      <c r="AI45">
        <f t="shared" si="23"/>
        <v>0</v>
      </c>
    </row>
    <row r="46" spans="1:35" x14ac:dyDescent="0.2">
      <c r="A46">
        <f t="shared" si="20"/>
        <v>84</v>
      </c>
      <c r="B46">
        <f>VLOOKUP(A46,Table22[#All],2,FALSE)</f>
        <v>5.1015379469999997E-2</v>
      </c>
      <c r="C46">
        <f t="shared" si="0"/>
        <v>0.94898462052999999</v>
      </c>
      <c r="D46">
        <f t="shared" si="1"/>
        <v>0.64761779755590954</v>
      </c>
      <c r="E46">
        <f t="shared" si="2"/>
        <v>0.64643032109714682</v>
      </c>
      <c r="G46">
        <f t="shared" si="21"/>
        <v>84</v>
      </c>
      <c r="H46">
        <f t="shared" si="3"/>
        <v>5.1015379469999997E-2</v>
      </c>
      <c r="I46">
        <f>Lapses!B25</f>
        <v>0</v>
      </c>
      <c r="J46">
        <f t="shared" si="4"/>
        <v>0.94898462052999999</v>
      </c>
      <c r="K46">
        <f t="shared" si="22"/>
        <v>0.57189250761876209</v>
      </c>
      <c r="M46">
        <v>24</v>
      </c>
      <c r="N46">
        <f t="shared" si="5"/>
        <v>0</v>
      </c>
      <c r="O46">
        <f t="shared" si="6"/>
        <v>300</v>
      </c>
      <c r="P46">
        <f>VLOOKUP(G46,'Death Benefits'!$A$1:$E$98,4,FALSE)</f>
        <v>594594.59459999995</v>
      </c>
      <c r="Q46">
        <f t="shared" si="7"/>
        <v>428521.23924617399</v>
      </c>
      <c r="S46">
        <v>24</v>
      </c>
      <c r="T46">
        <f t="shared" si="8"/>
        <v>428521.23924617399</v>
      </c>
      <c r="U46">
        <f t="shared" si="9"/>
        <v>5642.6112572567017</v>
      </c>
      <c r="W46">
        <v>24</v>
      </c>
      <c r="X46">
        <f t="shared" si="10"/>
        <v>0</v>
      </c>
      <c r="Y46">
        <f t="shared" si="11"/>
        <v>-300</v>
      </c>
      <c r="Z46">
        <f t="shared" si="12"/>
        <v>-30333.46887432981</v>
      </c>
      <c r="AA46">
        <v>0</v>
      </c>
      <c r="AB46">
        <f t="shared" si="13"/>
        <v>-18.179099999999998</v>
      </c>
      <c r="AC46">
        <f t="shared" si="14"/>
        <v>-5642.6112572567017</v>
      </c>
      <c r="AD46">
        <f t="shared" si="15"/>
        <v>-36294.259231586511</v>
      </c>
      <c r="AE46">
        <f t="shared" si="16"/>
        <v>-406660.06561507576</v>
      </c>
      <c r="AF46">
        <f t="shared" si="17"/>
        <v>-442954.32484666229</v>
      </c>
      <c r="AG46">
        <f t="shared" si="18"/>
        <v>0.24366353235309232</v>
      </c>
      <c r="AH46">
        <f t="shared" si="19"/>
        <v>-61725.396597104569</v>
      </c>
      <c r="AI46">
        <f t="shared" si="23"/>
        <v>0</v>
      </c>
    </row>
    <row r="47" spans="1:35" x14ac:dyDescent="0.2">
      <c r="A47">
        <f t="shared" si="20"/>
        <v>85</v>
      </c>
      <c r="B47">
        <f>VLOOKUP(A47,Table22[#All],2,FALSE)</f>
        <v>6.1565624530000002E-2</v>
      </c>
      <c r="C47">
        <f t="shared" si="0"/>
        <v>0.93843437546999997</v>
      </c>
      <c r="D47">
        <f t="shared" si="1"/>
        <v>0.67002783818486977</v>
      </c>
      <c r="E47">
        <f t="shared" si="2"/>
        <v>0.66936098902003505</v>
      </c>
      <c r="G47">
        <f t="shared" si="21"/>
        <v>85</v>
      </c>
      <c r="H47">
        <f t="shared" si="3"/>
        <v>6.1565624530000002E-2</v>
      </c>
      <c r="I47">
        <f>Lapses!B26</f>
        <v>0</v>
      </c>
      <c r="J47">
        <f t="shared" si="4"/>
        <v>0.93843437546999997</v>
      </c>
      <c r="K47">
        <f t="shared" si="22"/>
        <v>0.54271719432654109</v>
      </c>
      <c r="M47">
        <v>25</v>
      </c>
      <c r="N47">
        <f t="shared" si="5"/>
        <v>0</v>
      </c>
      <c r="O47">
        <f t="shared" si="6"/>
        <v>300</v>
      </c>
      <c r="P47">
        <f>VLOOKUP(G47,'Death Benefits'!$A$1:$E$98,4,FALSE)</f>
        <v>594594.59459999995</v>
      </c>
      <c r="Q47">
        <f t="shared" si="7"/>
        <v>439011.72508233704</v>
      </c>
      <c r="S47">
        <v>25</v>
      </c>
      <c r="T47">
        <f t="shared" si="8"/>
        <v>439011.72508233704</v>
      </c>
      <c r="U47">
        <f t="shared" si="9"/>
        <v>5579.880070412888</v>
      </c>
      <c r="W47">
        <v>25</v>
      </c>
      <c r="X47">
        <f t="shared" si="10"/>
        <v>0</v>
      </c>
      <c r="Y47">
        <f t="shared" si="11"/>
        <v>-300</v>
      </c>
      <c r="Z47">
        <f t="shared" si="12"/>
        <v>-36606.587558711166</v>
      </c>
      <c r="AA47">
        <v>0</v>
      </c>
      <c r="AB47">
        <f t="shared" si="13"/>
        <v>-18.179099999999998</v>
      </c>
      <c r="AC47">
        <f t="shared" si="14"/>
        <v>-5579.880070412888</v>
      </c>
      <c r="AD47">
        <f t="shared" si="15"/>
        <v>-42504.646729124055</v>
      </c>
      <c r="AE47">
        <f t="shared" si="16"/>
        <v>-411983.69405165029</v>
      </c>
      <c r="AF47">
        <f t="shared" si="17"/>
        <v>-454488.34078077436</v>
      </c>
      <c r="AG47">
        <f t="shared" si="18"/>
        <v>0.2297418645848445</v>
      </c>
      <c r="AH47">
        <f t="shared" si="19"/>
        <v>-56667.81521770767</v>
      </c>
      <c r="AI47">
        <f t="shared" si="23"/>
        <v>0</v>
      </c>
    </row>
    <row r="48" spans="1:35" x14ac:dyDescent="0.2">
      <c r="A48">
        <f t="shared" si="20"/>
        <v>86</v>
      </c>
      <c r="B48">
        <f>VLOOKUP(A48,Table22[#All],2,FALSE)</f>
        <v>7.4005408689999996E-2</v>
      </c>
      <c r="C48">
        <f t="shared" si="0"/>
        <v>0.92599459131000006</v>
      </c>
      <c r="D48">
        <f t="shared" si="1"/>
        <v>0.69164547626495987</v>
      </c>
      <c r="E48">
        <f t="shared" si="2"/>
        <v>0.69128531103072266</v>
      </c>
      <c r="G48">
        <f t="shared" si="21"/>
        <v>86</v>
      </c>
      <c r="H48">
        <f t="shared" si="3"/>
        <v>7.4005408689999996E-2</v>
      </c>
      <c r="I48">
        <f>Lapses!B27</f>
        <v>0</v>
      </c>
      <c r="J48">
        <f t="shared" si="4"/>
        <v>0.92599459131000006</v>
      </c>
      <c r="K48">
        <f t="shared" si="22"/>
        <v>0.50930447131465817</v>
      </c>
      <c r="M48">
        <v>26</v>
      </c>
      <c r="N48">
        <f t="shared" si="5"/>
        <v>0</v>
      </c>
      <c r="O48">
        <f t="shared" si="6"/>
        <v>300</v>
      </c>
      <c r="P48">
        <f>VLOOKUP(G48,'Death Benefits'!$A$1:$E$98,4,FALSE)</f>
        <v>594594.59459999995</v>
      </c>
      <c r="Q48">
        <f t="shared" si="7"/>
        <v>449016.88803007343</v>
      </c>
      <c r="S48">
        <v>26</v>
      </c>
      <c r="T48">
        <f t="shared" si="8"/>
        <v>449016.88803007343</v>
      </c>
      <c r="U48">
        <f t="shared" si="9"/>
        <v>5505.9137862176212</v>
      </c>
      <c r="W48">
        <v>26</v>
      </c>
      <c r="X48">
        <f t="shared" si="10"/>
        <v>0</v>
      </c>
      <c r="Y48">
        <f t="shared" si="11"/>
        <v>-300</v>
      </c>
      <c r="Z48">
        <f t="shared" si="12"/>
        <v>-44003.215978237859</v>
      </c>
      <c r="AA48">
        <v>0</v>
      </c>
      <c r="AB48">
        <f t="shared" si="13"/>
        <v>-18.179099999999998</v>
      </c>
      <c r="AC48">
        <f t="shared" si="14"/>
        <v>-5505.9137862176212</v>
      </c>
      <c r="AD48">
        <f t="shared" si="15"/>
        <v>-49827.308864455481</v>
      </c>
      <c r="AE48">
        <f t="shared" si="16"/>
        <v>-415787.20972269593</v>
      </c>
      <c r="AF48">
        <f t="shared" si="17"/>
        <v>-465614.51858715143</v>
      </c>
      <c r="AG48">
        <f t="shared" si="18"/>
        <v>0.21661560855333792</v>
      </c>
      <c r="AH48">
        <f t="shared" si="19"/>
        <v>-51368.129283846123</v>
      </c>
      <c r="AI48">
        <f t="shared" si="23"/>
        <v>0</v>
      </c>
    </row>
    <row r="49" spans="1:35" x14ac:dyDescent="0.2">
      <c r="A49">
        <f t="shared" si="20"/>
        <v>87</v>
      </c>
      <c r="B49">
        <f>VLOOKUP(A49,Table22[#All],2,FALSE)</f>
        <v>8.8582400699999994E-2</v>
      </c>
      <c r="C49">
        <f t="shared" si="0"/>
        <v>0.91141759929999999</v>
      </c>
      <c r="D49">
        <f t="shared" si="1"/>
        <v>0.71226302474091452</v>
      </c>
      <c r="E49">
        <f t="shared" si="2"/>
        <v>0.71207614781524131</v>
      </c>
      <c r="G49">
        <f t="shared" si="21"/>
        <v>87</v>
      </c>
      <c r="H49">
        <f t="shared" si="3"/>
        <v>8.8582400699999994E-2</v>
      </c>
      <c r="I49">
        <f>Lapses!B28</f>
        <v>0</v>
      </c>
      <c r="J49">
        <f t="shared" si="4"/>
        <v>0.91141759929999999</v>
      </c>
      <c r="K49">
        <f t="shared" si="22"/>
        <v>0.47161318576737254</v>
      </c>
      <c r="M49">
        <v>27</v>
      </c>
      <c r="N49">
        <f t="shared" si="5"/>
        <v>0</v>
      </c>
      <c r="O49">
        <f t="shared" si="6"/>
        <v>300</v>
      </c>
      <c r="P49">
        <f>VLOOKUP(G49,'Death Benefits'!$A$1:$E$98,4,FALSE)</f>
        <v>594594.59459999995</v>
      </c>
      <c r="Q49">
        <f t="shared" si="7"/>
        <v>458426.44381932961</v>
      </c>
      <c r="S49">
        <v>27</v>
      </c>
      <c r="T49">
        <f t="shared" si="8"/>
        <v>458426.44381932961</v>
      </c>
      <c r="U49">
        <f t="shared" si="9"/>
        <v>5419.2397796708874</v>
      </c>
      <c r="W49">
        <v>27</v>
      </c>
      <c r="X49">
        <f t="shared" si="10"/>
        <v>0</v>
      </c>
      <c r="Y49">
        <f t="shared" si="11"/>
        <v>-300</v>
      </c>
      <c r="Z49">
        <f t="shared" si="12"/>
        <v>-52670.616632911246</v>
      </c>
      <c r="AA49">
        <v>0</v>
      </c>
      <c r="AB49">
        <f t="shared" si="13"/>
        <v>-18.179099999999998</v>
      </c>
      <c r="AC49">
        <f t="shared" si="14"/>
        <v>-5419.2397796708874</v>
      </c>
      <c r="AD49">
        <f t="shared" si="15"/>
        <v>-58408.035512582137</v>
      </c>
      <c r="AE49">
        <f t="shared" si="16"/>
        <v>-417817.92888144968</v>
      </c>
      <c r="AF49">
        <f t="shared" si="17"/>
        <v>-476225.96439403179</v>
      </c>
      <c r="AG49">
        <f t="shared" si="18"/>
        <v>0.20423931856618294</v>
      </c>
      <c r="AH49">
        <f t="shared" si="19"/>
        <v>-45871.016239815479</v>
      </c>
      <c r="AI49">
        <f t="shared" si="23"/>
        <v>0</v>
      </c>
    </row>
    <row r="50" spans="1:35" x14ac:dyDescent="0.2">
      <c r="A50">
        <f t="shared" si="20"/>
        <v>88</v>
      </c>
      <c r="B50">
        <f>VLOOKUP(A50,Table22[#All],2,FALSE)</f>
        <v>0.1050926761</v>
      </c>
      <c r="C50">
        <f t="shared" si="0"/>
        <v>0.89490732390000005</v>
      </c>
      <c r="D50">
        <f t="shared" si="1"/>
        <v>0.73165322576972058</v>
      </c>
      <c r="E50">
        <f t="shared" si="2"/>
        <v>0.73156025915028722</v>
      </c>
      <c r="G50">
        <f t="shared" si="21"/>
        <v>88</v>
      </c>
      <c r="H50">
        <f t="shared" si="3"/>
        <v>0.1050926761</v>
      </c>
      <c r="I50">
        <f>Lapses!B29</f>
        <v>0</v>
      </c>
      <c r="J50">
        <f t="shared" si="4"/>
        <v>0.89490732390000005</v>
      </c>
      <c r="K50">
        <f t="shared" si="22"/>
        <v>0.42983655757032363</v>
      </c>
      <c r="M50">
        <v>28</v>
      </c>
      <c r="N50">
        <f t="shared" si="5"/>
        <v>0</v>
      </c>
      <c r="O50">
        <f t="shared" si="6"/>
        <v>300</v>
      </c>
      <c r="P50">
        <f>VLOOKUP(G50,'Death Benefits'!$A$1:$E$98,4,FALSE)</f>
        <v>594594.59459999995</v>
      </c>
      <c r="Q50">
        <f t="shared" si="7"/>
        <v>467175.66507084423</v>
      </c>
      <c r="S50">
        <v>28</v>
      </c>
      <c r="T50">
        <f t="shared" si="8"/>
        <v>467175.66507084423</v>
      </c>
      <c r="U50">
        <f t="shared" si="9"/>
        <v>5321.0705745889145</v>
      </c>
      <c r="W50">
        <v>28</v>
      </c>
      <c r="X50">
        <f t="shared" si="10"/>
        <v>0</v>
      </c>
      <c r="Y50">
        <f t="shared" si="11"/>
        <v>-300</v>
      </c>
      <c r="Z50">
        <f t="shared" si="12"/>
        <v>-62487.537141108609</v>
      </c>
      <c r="AA50">
        <v>0</v>
      </c>
      <c r="AB50">
        <f t="shared" si="13"/>
        <v>-18.179099999999998</v>
      </c>
      <c r="AC50">
        <f t="shared" si="14"/>
        <v>-5321.0705745889145</v>
      </c>
      <c r="AD50">
        <f t="shared" si="15"/>
        <v>-68126.786815697531</v>
      </c>
      <c r="AE50">
        <f t="shared" si="16"/>
        <v>-418078.92421975196</v>
      </c>
      <c r="AF50">
        <f t="shared" si="17"/>
        <v>-486205.71103544952</v>
      </c>
      <c r="AG50">
        <f t="shared" si="18"/>
        <v>0.19257014546164372</v>
      </c>
      <c r="AH50">
        <f t="shared" si="19"/>
        <v>-40245.040031352059</v>
      </c>
      <c r="AI50">
        <f t="shared" si="23"/>
        <v>0</v>
      </c>
    </row>
    <row r="51" spans="1:35" x14ac:dyDescent="0.2">
      <c r="A51">
        <f t="shared" si="20"/>
        <v>89</v>
      </c>
      <c r="B51">
        <f>VLOOKUP(A51,Table22[#All],2,FALSE)</f>
        <v>0.1235648594</v>
      </c>
      <c r="C51">
        <f t="shared" si="0"/>
        <v>0.87643514059999994</v>
      </c>
      <c r="D51">
        <f t="shared" si="1"/>
        <v>0.74968270152033833</v>
      </c>
      <c r="E51">
        <f t="shared" si="2"/>
        <v>0.74963857725553285</v>
      </c>
      <c r="G51">
        <f t="shared" si="21"/>
        <v>89</v>
      </c>
      <c r="H51">
        <f t="shared" si="3"/>
        <v>0.1235648594</v>
      </c>
      <c r="I51">
        <f>Lapses!B30</f>
        <v>0</v>
      </c>
      <c r="J51">
        <f t="shared" si="4"/>
        <v>0.87643514059999994</v>
      </c>
      <c r="K51">
        <f t="shared" si="22"/>
        <v>0.38466388344964664</v>
      </c>
      <c r="M51">
        <v>29</v>
      </c>
      <c r="N51">
        <f t="shared" si="5"/>
        <v>0</v>
      </c>
      <c r="O51">
        <f t="shared" si="6"/>
        <v>300</v>
      </c>
      <c r="P51">
        <f>VLOOKUP(G51,'Death Benefits'!$A$1:$E$98,4,FALSE)</f>
        <v>594594.59459999995</v>
      </c>
      <c r="Q51">
        <f t="shared" si="7"/>
        <v>475203.10060718103</v>
      </c>
      <c r="S51">
        <v>29</v>
      </c>
      <c r="T51">
        <f t="shared" si="8"/>
        <v>475203.10060718103</v>
      </c>
      <c r="U51">
        <f t="shared" si="9"/>
        <v>5211.2359711825093</v>
      </c>
      <c r="W51">
        <v>29</v>
      </c>
      <c r="X51">
        <f t="shared" si="10"/>
        <v>0</v>
      </c>
      <c r="Y51">
        <f t="shared" si="11"/>
        <v>-300</v>
      </c>
      <c r="Z51">
        <f t="shared" si="12"/>
        <v>-73470.997481749</v>
      </c>
      <c r="AA51">
        <v>0</v>
      </c>
      <c r="AB51">
        <f t="shared" si="13"/>
        <v>-18.179099999999998</v>
      </c>
      <c r="AC51">
        <f t="shared" si="14"/>
        <v>-5211.2359711825093</v>
      </c>
      <c r="AD51">
        <f t="shared" si="15"/>
        <v>-79000.412552931506</v>
      </c>
      <c r="AE51">
        <f t="shared" si="16"/>
        <v>-416484.69629421062</v>
      </c>
      <c r="AF51">
        <f t="shared" si="17"/>
        <v>-495485.10884714214</v>
      </c>
      <c r="AG51">
        <f t="shared" si="18"/>
        <v>0.18156768825637232</v>
      </c>
      <c r="AH51">
        <f t="shared" si="19"/>
        <v>-34605.93460668288</v>
      </c>
      <c r="AI51">
        <f t="shared" si="23"/>
        <v>0</v>
      </c>
    </row>
    <row r="52" spans="1:35" x14ac:dyDescent="0.2">
      <c r="A52">
        <f t="shared" si="20"/>
        <v>90</v>
      </c>
      <c r="B52">
        <f>VLOOKUP(A52,Table22[#All],2,FALSE)</f>
        <v>0.1438957408</v>
      </c>
      <c r="C52">
        <f t="shared" si="0"/>
        <v>0.8561042592</v>
      </c>
      <c r="D52">
        <f t="shared" si="1"/>
        <v>0.76622482791439817</v>
      </c>
      <c r="E52">
        <f t="shared" si="2"/>
        <v>0.76620508278315713</v>
      </c>
      <c r="G52">
        <f t="shared" si="21"/>
        <v>90</v>
      </c>
      <c r="H52">
        <f t="shared" si="3"/>
        <v>0.1438957408</v>
      </c>
      <c r="I52">
        <f>Lapses!B31</f>
        <v>0</v>
      </c>
      <c r="J52">
        <f t="shared" si="4"/>
        <v>0.8561042592</v>
      </c>
      <c r="K52">
        <f t="shared" si="22"/>
        <v>0.33713294477493305</v>
      </c>
      <c r="M52">
        <v>30</v>
      </c>
      <c r="N52">
        <f t="shared" si="5"/>
        <v>0</v>
      </c>
      <c r="O52">
        <f t="shared" si="6"/>
        <v>300</v>
      </c>
      <c r="P52">
        <f>VLOOKUP(G52,'Death Benefits'!$A$1:$E$98,4,FALSE)</f>
        <v>594594.59459999995</v>
      </c>
      <c r="Q52">
        <f t="shared" si="7"/>
        <v>482453.88343897648</v>
      </c>
      <c r="S52">
        <v>30</v>
      </c>
      <c r="T52">
        <f t="shared" si="8"/>
        <v>482453.88343897648</v>
      </c>
      <c r="U52">
        <f t="shared" si="9"/>
        <v>5090.3496493435732</v>
      </c>
      <c r="W52">
        <v>30</v>
      </c>
      <c r="X52">
        <f t="shared" si="10"/>
        <v>0</v>
      </c>
      <c r="Y52">
        <f t="shared" si="11"/>
        <v>-300</v>
      </c>
      <c r="Z52">
        <f t="shared" si="12"/>
        <v>-85559.629665642671</v>
      </c>
      <c r="AA52">
        <v>0</v>
      </c>
      <c r="AB52">
        <f t="shared" si="13"/>
        <v>-18.179099999999998</v>
      </c>
      <c r="AC52">
        <f t="shared" si="14"/>
        <v>-5090.3496493435732</v>
      </c>
      <c r="AD52">
        <f t="shared" si="15"/>
        <v>-90968.158414986232</v>
      </c>
      <c r="AE52">
        <f t="shared" si="16"/>
        <v>-413030.82447968813</v>
      </c>
      <c r="AF52">
        <f t="shared" si="17"/>
        <v>-503998.98289467435</v>
      </c>
      <c r="AG52">
        <f t="shared" si="18"/>
        <v>0.1711938542692204</v>
      </c>
      <c r="AH52">
        <f t="shared" si="19"/>
        <v>-29088.345759121526</v>
      </c>
      <c r="AI52">
        <f t="shared" si="23"/>
        <v>0</v>
      </c>
    </row>
    <row r="53" spans="1:35" x14ac:dyDescent="0.2">
      <c r="A53">
        <f t="shared" si="20"/>
        <v>91</v>
      </c>
      <c r="B53">
        <f>VLOOKUP(A53,Table22[#All],2,FALSE)</f>
        <v>0.16435597460000001</v>
      </c>
      <c r="C53">
        <f t="shared" si="0"/>
        <v>0.83564402539999993</v>
      </c>
      <c r="D53">
        <f t="shared" si="1"/>
        <v>0.7811665528173638</v>
      </c>
      <c r="E53">
        <f t="shared" si="2"/>
        <v>0.78115851390983315</v>
      </c>
      <c r="G53">
        <f t="shared" si="21"/>
        <v>91</v>
      </c>
      <c r="H53">
        <f t="shared" si="3"/>
        <v>0.16435597460000001</v>
      </c>
      <c r="I53">
        <f>Lapses!B32</f>
        <v>0</v>
      </c>
      <c r="J53">
        <f t="shared" si="4"/>
        <v>0.83564402539999993</v>
      </c>
      <c r="K53">
        <f t="shared" si="22"/>
        <v>0.28862094993845855</v>
      </c>
      <c r="M53">
        <v>31</v>
      </c>
      <c r="N53">
        <f t="shared" si="5"/>
        <v>0</v>
      </c>
      <c r="O53">
        <f t="shared" si="6"/>
        <v>300</v>
      </c>
      <c r="P53">
        <f>VLOOKUP(G53,'Death Benefits'!$A$1:$E$98,4,FALSE)</f>
        <v>594594.59459999995</v>
      </c>
      <c r="Q53">
        <f t="shared" si="7"/>
        <v>489056.44221605541</v>
      </c>
      <c r="S53">
        <v>31</v>
      </c>
      <c r="T53">
        <f t="shared" si="8"/>
        <v>489056.44221605541</v>
      </c>
      <c r="U53">
        <f t="shared" si="9"/>
        <v>4968.6942051262504</v>
      </c>
      <c r="W53">
        <v>31</v>
      </c>
      <c r="X53">
        <f t="shared" si="10"/>
        <v>0</v>
      </c>
      <c r="Y53">
        <f t="shared" si="11"/>
        <v>-300</v>
      </c>
      <c r="Z53">
        <f t="shared" si="12"/>
        <v>-97725.174087374893</v>
      </c>
      <c r="AA53">
        <v>0</v>
      </c>
      <c r="AB53">
        <f t="shared" si="13"/>
        <v>-18.179099999999998</v>
      </c>
      <c r="AC53">
        <f t="shared" si="14"/>
        <v>-4968.6942051262504</v>
      </c>
      <c r="AD53">
        <f t="shared" si="15"/>
        <v>-103012.04739250113</v>
      </c>
      <c r="AE53">
        <f t="shared" si="16"/>
        <v>-408677.09402122698</v>
      </c>
      <c r="AF53">
        <f t="shared" si="17"/>
        <v>-511689.14141372812</v>
      </c>
      <c r="AG53">
        <f t="shared" si="18"/>
        <v>0.16141272723684905</v>
      </c>
      <c r="AH53">
        <f t="shared" si="19"/>
        <v>-23838.110471248641</v>
      </c>
      <c r="AI53">
        <f t="shared" si="23"/>
        <v>0</v>
      </c>
    </row>
    <row r="54" spans="1:35" x14ac:dyDescent="0.2">
      <c r="A54">
        <f t="shared" si="20"/>
        <v>92</v>
      </c>
      <c r="B54">
        <f>VLOOKUP(A54,Table22[#All],2,FALSE)</f>
        <v>0.18581168510000001</v>
      </c>
      <c r="C54">
        <f t="shared" si="0"/>
        <v>0.81418831489999999</v>
      </c>
      <c r="D54">
        <f t="shared" si="1"/>
        <v>0.79477254384787677</v>
      </c>
      <c r="E54">
        <f t="shared" si="2"/>
        <v>0.79477000260856179</v>
      </c>
      <c r="G54">
        <f t="shared" si="21"/>
        <v>92</v>
      </c>
      <c r="H54">
        <f t="shared" si="3"/>
        <v>0.18581168510000001</v>
      </c>
      <c r="I54">
        <f>Lapses!B33</f>
        <v>0</v>
      </c>
      <c r="J54">
        <f t="shared" si="4"/>
        <v>0.81418831489999999</v>
      </c>
      <c r="K54">
        <f t="shared" si="22"/>
        <v>0.24118437242134536</v>
      </c>
      <c r="M54">
        <v>32</v>
      </c>
      <c r="N54">
        <f t="shared" si="5"/>
        <v>0</v>
      </c>
      <c r="O54">
        <f t="shared" si="6"/>
        <v>300</v>
      </c>
      <c r="P54">
        <f>VLOOKUP(G54,'Death Benefits'!$A$1:$E$98,4,FALSE)</f>
        <v>594594.59459999995</v>
      </c>
      <c r="Q54">
        <f t="shared" si="7"/>
        <v>495032.74081044435</v>
      </c>
      <c r="S54">
        <v>32</v>
      </c>
      <c r="T54">
        <f t="shared" si="8"/>
        <v>495032.74081044435</v>
      </c>
      <c r="U54">
        <f t="shared" si="9"/>
        <v>4841.1197102602264</v>
      </c>
      <c r="W54">
        <v>32</v>
      </c>
      <c r="X54">
        <f t="shared" si="10"/>
        <v>0</v>
      </c>
      <c r="Y54">
        <f t="shared" si="11"/>
        <v>-300</v>
      </c>
      <c r="Z54">
        <f t="shared" si="12"/>
        <v>-110482.62357397735</v>
      </c>
      <c r="AA54">
        <v>0</v>
      </c>
      <c r="AB54">
        <f t="shared" si="13"/>
        <v>-18.179099999999998</v>
      </c>
      <c r="AC54">
        <f t="shared" si="14"/>
        <v>-4841.1197102602264</v>
      </c>
      <c r="AD54">
        <f t="shared" si="15"/>
        <v>-115641.92238423758</v>
      </c>
      <c r="AE54">
        <f t="shared" si="16"/>
        <v>-403049.87306078413</v>
      </c>
      <c r="AF54">
        <f t="shared" si="17"/>
        <v>-518691.79544502171</v>
      </c>
      <c r="AG54">
        <f t="shared" si="18"/>
        <v>0.15219044296452758</v>
      </c>
      <c r="AH54">
        <f t="shared" si="19"/>
        <v>-19039.07846750626</v>
      </c>
      <c r="AI54">
        <f t="shared" si="23"/>
        <v>0</v>
      </c>
    </row>
    <row r="55" spans="1:35" x14ac:dyDescent="0.2">
      <c r="A55">
        <f t="shared" si="20"/>
        <v>93</v>
      </c>
      <c r="B55">
        <f>VLOOKUP(A55,Table22[#All],2,FALSE)</f>
        <v>0.207642256</v>
      </c>
      <c r="C55">
        <f t="shared" si="0"/>
        <v>0.79235774400000003</v>
      </c>
      <c r="D55">
        <f t="shared" si="1"/>
        <v>0.80708808829826473</v>
      </c>
      <c r="E55">
        <f t="shared" si="2"/>
        <v>0.80708808829826473</v>
      </c>
      <c r="G55">
        <f t="shared" si="21"/>
        <v>93</v>
      </c>
      <c r="H55">
        <f t="shared" si="3"/>
        <v>0.207642256</v>
      </c>
      <c r="I55">
        <f>Lapses!B34</f>
        <v>0</v>
      </c>
      <c r="J55">
        <f t="shared" si="4"/>
        <v>0.79235774400000003</v>
      </c>
      <c r="K55">
        <f t="shared" si="22"/>
        <v>0.1963694977619492</v>
      </c>
      <c r="M55">
        <v>33</v>
      </c>
      <c r="N55">
        <f t="shared" si="5"/>
        <v>0</v>
      </c>
      <c r="O55">
        <f t="shared" si="6"/>
        <v>300</v>
      </c>
      <c r="P55">
        <f>VLOOKUP(G55,'Death Benefits'!$A$1:$E$98,4,FALSE)</f>
        <v>594594.59459999995</v>
      </c>
      <c r="Q55">
        <f t="shared" si="7"/>
        <v>500452.96378332225</v>
      </c>
      <c r="S55">
        <v>33</v>
      </c>
      <c r="T55">
        <f t="shared" si="8"/>
        <v>500452.96378332225</v>
      </c>
      <c r="U55">
        <f t="shared" si="9"/>
        <v>4711.3163157185063</v>
      </c>
      <c r="W55">
        <v>33</v>
      </c>
      <c r="X55">
        <f t="shared" si="10"/>
        <v>0</v>
      </c>
      <c r="Y55">
        <f t="shared" si="11"/>
        <v>-300</v>
      </c>
      <c r="Z55">
        <f t="shared" si="12"/>
        <v>-123462.9630281494</v>
      </c>
      <c r="AA55">
        <v>0</v>
      </c>
      <c r="AB55">
        <f t="shared" si="13"/>
        <v>-18.179099999999998</v>
      </c>
      <c r="AC55">
        <f t="shared" si="14"/>
        <v>-4711.3163157185063</v>
      </c>
      <c r="AD55">
        <f t="shared" si="15"/>
        <v>-128492.4584438679</v>
      </c>
      <c r="AE55">
        <f t="shared" si="16"/>
        <v>-396537.78136146691</v>
      </c>
      <c r="AF55">
        <f t="shared" si="17"/>
        <v>-525030.23980533483</v>
      </c>
      <c r="AG55">
        <f t="shared" si="18"/>
        <v>0.14349507208159892</v>
      </c>
      <c r="AH55">
        <f t="shared" si="19"/>
        <v>-14794.331097793647</v>
      </c>
      <c r="AI55">
        <f t="shared" si="23"/>
        <v>0</v>
      </c>
    </row>
    <row r="56" spans="1:35" x14ac:dyDescent="0.2">
      <c r="A56">
        <f t="shared" si="20"/>
        <v>94</v>
      </c>
      <c r="B56">
        <f>VLOOKUP(A56,Table22[#All],2,FALSE)</f>
        <v>0.22948699819999999</v>
      </c>
      <c r="C56">
        <f t="shared" si="0"/>
        <v>0.77051300180000004</v>
      </c>
      <c r="D56">
        <f t="shared" si="1"/>
        <v>0.81825785649780269</v>
      </c>
      <c r="E56">
        <f t="shared" si="2"/>
        <v>0.81825785649780269</v>
      </c>
      <c r="G56">
        <f t="shared" si="21"/>
        <v>94</v>
      </c>
      <c r="H56">
        <f t="shared" si="3"/>
        <v>0.22948699819999999</v>
      </c>
      <c r="I56">
        <f>Lapses!B35</f>
        <v>0</v>
      </c>
      <c r="J56">
        <f t="shared" si="4"/>
        <v>0.77051300180000004</v>
      </c>
      <c r="K56">
        <f t="shared" si="22"/>
        <v>0.15559489223707113</v>
      </c>
      <c r="M56">
        <v>34</v>
      </c>
      <c r="N56">
        <f t="shared" si="5"/>
        <v>0</v>
      </c>
      <c r="O56">
        <f t="shared" si="6"/>
        <v>300</v>
      </c>
      <c r="P56">
        <f>VLOOKUP(G56,'Death Benefits'!$A$1:$E$98,4,FALSE)</f>
        <v>594594.59459999995</v>
      </c>
      <c r="Q56">
        <f t="shared" si="7"/>
        <v>505413.37355743931</v>
      </c>
      <c r="S56">
        <v>34</v>
      </c>
      <c r="T56">
        <f t="shared" si="8"/>
        <v>505413.37355743931</v>
      </c>
      <c r="U56">
        <f t="shared" si="9"/>
        <v>4581.428659393001</v>
      </c>
      <c r="W56">
        <v>34</v>
      </c>
      <c r="X56">
        <f t="shared" si="10"/>
        <v>0</v>
      </c>
      <c r="Y56">
        <f t="shared" si="11"/>
        <v>-300</v>
      </c>
      <c r="Z56">
        <f t="shared" si="12"/>
        <v>-136451.72866069991</v>
      </c>
      <c r="AA56">
        <v>0</v>
      </c>
      <c r="AB56">
        <f t="shared" si="13"/>
        <v>-18.179099999999998</v>
      </c>
      <c r="AC56">
        <f t="shared" si="14"/>
        <v>-4581.428659393001</v>
      </c>
      <c r="AD56">
        <f t="shared" si="15"/>
        <v>-141351.33642009291</v>
      </c>
      <c r="AE56">
        <f t="shared" si="16"/>
        <v>-389427.57560960733</v>
      </c>
      <c r="AF56">
        <f t="shared" si="17"/>
        <v>-530778.91202970024</v>
      </c>
      <c r="AG56">
        <f t="shared" si="18"/>
        <v>0.13529650949568869</v>
      </c>
      <c r="AH56">
        <f t="shared" si="19"/>
        <v>-11173.663506355695</v>
      </c>
      <c r="AI56">
        <f t="shared" si="23"/>
        <v>0</v>
      </c>
    </row>
    <row r="57" spans="1:35" x14ac:dyDescent="0.2">
      <c r="A57">
        <f t="shared" si="20"/>
        <v>95</v>
      </c>
      <c r="B57">
        <f>VLOOKUP(A57,Table22[#All],2,FALSE)</f>
        <v>0.25202198619999999</v>
      </c>
      <c r="C57">
        <f t="shared" si="0"/>
        <v>0.74797801380000006</v>
      </c>
      <c r="D57">
        <f t="shared" si="1"/>
        <v>0.82848028279436625</v>
      </c>
      <c r="E57">
        <f t="shared" si="2"/>
        <v>0.82848028279436625</v>
      </c>
      <c r="G57">
        <f t="shared" si="21"/>
        <v>95</v>
      </c>
      <c r="H57">
        <f t="shared" si="3"/>
        <v>0.25202198619999999</v>
      </c>
      <c r="I57">
        <f>Lapses!B36</f>
        <v>0</v>
      </c>
      <c r="J57">
        <f t="shared" si="4"/>
        <v>0.74797801380000006</v>
      </c>
      <c r="K57">
        <f t="shared" si="22"/>
        <v>0.1198878874823332</v>
      </c>
      <c r="M57">
        <v>35</v>
      </c>
      <c r="N57">
        <f t="shared" si="5"/>
        <v>0</v>
      </c>
      <c r="O57">
        <f t="shared" si="6"/>
        <v>300</v>
      </c>
      <c r="P57">
        <f>VLOOKUP(G57,'Death Benefits'!$A$1:$E$98,4,FALSE)</f>
        <v>594594.59459999995</v>
      </c>
      <c r="Q57">
        <f t="shared" si="7"/>
        <v>509939.29509158048</v>
      </c>
      <c r="S57">
        <v>35</v>
      </c>
      <c r="T57">
        <f t="shared" si="8"/>
        <v>509939.29509158048</v>
      </c>
      <c r="U57">
        <f t="shared" si="9"/>
        <v>4447.4368388512421</v>
      </c>
      <c r="W57">
        <v>35</v>
      </c>
      <c r="X57">
        <f t="shared" si="10"/>
        <v>0</v>
      </c>
      <c r="Y57">
        <f t="shared" si="11"/>
        <v>-300</v>
      </c>
      <c r="Z57">
        <f t="shared" si="12"/>
        <v>-149850.91071487579</v>
      </c>
      <c r="AA57">
        <v>0</v>
      </c>
      <c r="AB57">
        <f t="shared" si="13"/>
        <v>-18.179099999999998</v>
      </c>
      <c r="AC57">
        <f t="shared" si="14"/>
        <v>-4447.4368388512421</v>
      </c>
      <c r="AD57">
        <f t="shared" si="15"/>
        <v>-154616.52665372705</v>
      </c>
      <c r="AE57">
        <f t="shared" si="16"/>
        <v>-381423.38110117248</v>
      </c>
      <c r="AF57">
        <f t="shared" si="17"/>
        <v>-536039.90775489947</v>
      </c>
      <c r="AG57">
        <f t="shared" si="18"/>
        <v>0.12756637016292588</v>
      </c>
      <c r="AH57">
        <f t="shared" si="19"/>
        <v>-8198.0135068255313</v>
      </c>
      <c r="AI57">
        <f t="shared" si="23"/>
        <v>0</v>
      </c>
    </row>
    <row r="58" spans="1:35" x14ac:dyDescent="0.2">
      <c r="A58">
        <f t="shared" si="20"/>
        <v>96</v>
      </c>
      <c r="B58">
        <f>VLOOKUP(A58,Table22[#All],2,FALSE)</f>
        <v>0.27450597059999998</v>
      </c>
      <c r="C58">
        <f t="shared" si="0"/>
        <v>0.72549402940000007</v>
      </c>
      <c r="D58">
        <f t="shared" si="1"/>
        <v>0.83780766911474736</v>
      </c>
      <c r="E58">
        <f t="shared" si="2"/>
        <v>0.83780766911474736</v>
      </c>
      <c r="G58">
        <f t="shared" si="21"/>
        <v>96</v>
      </c>
      <c r="H58">
        <f t="shared" si="3"/>
        <v>0.27450597059999998</v>
      </c>
      <c r="I58">
        <f>Lapses!B37</f>
        <v>0</v>
      </c>
      <c r="J58">
        <f t="shared" si="4"/>
        <v>0.72549402940000007</v>
      </c>
      <c r="K58">
        <f t="shared" si="22"/>
        <v>8.967350395771348E-2</v>
      </c>
      <c r="M58">
        <v>36</v>
      </c>
      <c r="N58">
        <f t="shared" si="5"/>
        <v>0</v>
      </c>
      <c r="O58">
        <f t="shared" si="6"/>
        <v>300</v>
      </c>
      <c r="P58">
        <f>VLOOKUP(G58,'Death Benefits'!$A$1:$E$98,4,FALSE)</f>
        <v>594594.59459999995</v>
      </c>
      <c r="Q58">
        <f t="shared" si="7"/>
        <v>514116.41964520392</v>
      </c>
      <c r="S58">
        <v>36</v>
      </c>
      <c r="T58">
        <f t="shared" si="8"/>
        <v>514116.41964520392</v>
      </c>
      <c r="U58">
        <f t="shared" si="9"/>
        <v>4313.748282958135</v>
      </c>
      <c r="W58">
        <v>36</v>
      </c>
      <c r="X58">
        <f t="shared" si="10"/>
        <v>0</v>
      </c>
      <c r="Y58">
        <f t="shared" si="11"/>
        <v>-300</v>
      </c>
      <c r="Z58">
        <f t="shared" si="12"/>
        <v>-163219.76630418649</v>
      </c>
      <c r="AA58">
        <v>0</v>
      </c>
      <c r="AB58">
        <f t="shared" si="13"/>
        <v>-18.179099999999998</v>
      </c>
      <c r="AC58">
        <f t="shared" si="14"/>
        <v>-4313.748282958135</v>
      </c>
      <c r="AD58">
        <f t="shared" si="15"/>
        <v>-167851.69368714464</v>
      </c>
      <c r="AE58">
        <f t="shared" si="16"/>
        <v>-372988.39286910032</v>
      </c>
      <c r="AF58">
        <f t="shared" si="17"/>
        <v>-540840.08655624499</v>
      </c>
      <c r="AG58">
        <f t="shared" si="18"/>
        <v>0.12027789081331164</v>
      </c>
      <c r="AH58">
        <f t="shared" si="19"/>
        <v>-5833.3605107555431</v>
      </c>
      <c r="AI58">
        <f t="shared" si="23"/>
        <v>0</v>
      </c>
    </row>
    <row r="59" spans="1:35" x14ac:dyDescent="0.2">
      <c r="A59">
        <f t="shared" si="20"/>
        <v>97</v>
      </c>
      <c r="B59">
        <f>VLOOKUP(A59,Table22[#All],2,FALSE)</f>
        <v>0.2976445929</v>
      </c>
      <c r="C59">
        <f t="shared" si="0"/>
        <v>0.7023554071</v>
      </c>
      <c r="D59">
        <f t="shared" si="1"/>
        <v>0.84641679318566376</v>
      </c>
      <c r="E59">
        <f t="shared" si="2"/>
        <v>0.84641679318566376</v>
      </c>
      <c r="G59">
        <f t="shared" si="21"/>
        <v>97</v>
      </c>
      <c r="H59">
        <f t="shared" si="3"/>
        <v>0.2976445929</v>
      </c>
      <c r="I59">
        <f>Lapses!B38</f>
        <v>0</v>
      </c>
      <c r="J59">
        <f t="shared" si="4"/>
        <v>0.7023554071</v>
      </c>
      <c r="K59">
        <f t="shared" si="22"/>
        <v>6.5057591716698407E-2</v>
      </c>
      <c r="M59">
        <v>37</v>
      </c>
      <c r="N59">
        <f t="shared" si="5"/>
        <v>0</v>
      </c>
      <c r="O59">
        <f t="shared" si="6"/>
        <v>300</v>
      </c>
      <c r="P59">
        <f>VLOOKUP(G59,'Death Benefits'!$A$1:$E$98,4,FALSE)</f>
        <v>594594.59459999995</v>
      </c>
      <c r="Q59">
        <f t="shared" si="7"/>
        <v>517968.70389707491</v>
      </c>
      <c r="S59">
        <v>37</v>
      </c>
      <c r="T59">
        <f t="shared" si="8"/>
        <v>517968.70389707491</v>
      </c>
      <c r="U59">
        <f t="shared" si="9"/>
        <v>4176.167285497424</v>
      </c>
      <c r="W59">
        <v>37</v>
      </c>
      <c r="X59">
        <f t="shared" si="10"/>
        <v>0</v>
      </c>
      <c r="Y59">
        <f t="shared" si="11"/>
        <v>-300</v>
      </c>
      <c r="Z59">
        <f t="shared" si="12"/>
        <v>-176977.86605025752</v>
      </c>
      <c r="AA59">
        <v>0</v>
      </c>
      <c r="AB59">
        <f t="shared" si="13"/>
        <v>-18.179099999999998</v>
      </c>
      <c r="AC59">
        <f t="shared" si="14"/>
        <v>-4176.167285497424</v>
      </c>
      <c r="AD59">
        <f t="shared" si="15"/>
        <v>-181472.21243575495</v>
      </c>
      <c r="AE59">
        <f t="shared" si="16"/>
        <v>-363798.11989068938</v>
      </c>
      <c r="AF59">
        <f t="shared" si="17"/>
        <v>-545270.33232644433</v>
      </c>
      <c r="AG59">
        <f t="shared" si="18"/>
        <v>0.11340583729098955</v>
      </c>
      <c r="AH59">
        <f t="shared" si="19"/>
        <v>-4022.955797871527</v>
      </c>
      <c r="AI59">
        <f t="shared" si="23"/>
        <v>0</v>
      </c>
    </row>
    <row r="60" spans="1:35" x14ac:dyDescent="0.2">
      <c r="A60">
        <f t="shared" si="20"/>
        <v>98</v>
      </c>
      <c r="B60">
        <f>VLOOKUP(A60,Table22[#All],2,FALSE)</f>
        <v>0.32160249130000002</v>
      </c>
      <c r="C60">
        <f t="shared" si="0"/>
        <v>0.67839750870000004</v>
      </c>
      <c r="D60">
        <f t="shared" si="1"/>
        <v>0.85435737040876747</v>
      </c>
      <c r="E60">
        <f t="shared" si="2"/>
        <v>0.85435737040876747</v>
      </c>
      <c r="G60">
        <f t="shared" si="21"/>
        <v>98</v>
      </c>
      <c r="H60">
        <f t="shared" si="3"/>
        <v>0.32160249130000002</v>
      </c>
      <c r="I60">
        <f>Lapses!B39</f>
        <v>0</v>
      </c>
      <c r="J60">
        <f t="shared" si="4"/>
        <v>0.67839750870000004</v>
      </c>
      <c r="K60">
        <f t="shared" si="22"/>
        <v>4.5693551315127298E-2</v>
      </c>
      <c r="M60">
        <v>38</v>
      </c>
      <c r="N60">
        <f t="shared" si="5"/>
        <v>0</v>
      </c>
      <c r="O60">
        <f t="shared" si="6"/>
        <v>300</v>
      </c>
      <c r="P60">
        <f>VLOOKUP(G60,'Death Benefits'!$A$1:$E$98,4,FALSE)</f>
        <v>594594.59459999995</v>
      </c>
      <c r="Q60">
        <f t="shared" si="7"/>
        <v>521495.2177102844</v>
      </c>
      <c r="S60">
        <v>38</v>
      </c>
      <c r="T60">
        <f t="shared" si="8"/>
        <v>521495.2177102844</v>
      </c>
      <c r="U60">
        <f t="shared" si="9"/>
        <v>4033.7149166312647</v>
      </c>
      <c r="W60">
        <v>38</v>
      </c>
      <c r="X60">
        <f t="shared" si="10"/>
        <v>0</v>
      </c>
      <c r="Y60">
        <f t="shared" si="11"/>
        <v>-300</v>
      </c>
      <c r="Z60">
        <f t="shared" si="12"/>
        <v>-191223.10293687353</v>
      </c>
      <c r="AA60">
        <v>0</v>
      </c>
      <c r="AB60">
        <f t="shared" si="13"/>
        <v>-18.179099999999998</v>
      </c>
      <c r="AC60">
        <f t="shared" si="14"/>
        <v>-4033.7149166312647</v>
      </c>
      <c r="AD60">
        <f t="shared" si="15"/>
        <v>-195574.9969535048</v>
      </c>
      <c r="AE60">
        <f t="shared" si="16"/>
        <v>-353781.05649362109</v>
      </c>
      <c r="AF60">
        <f t="shared" si="17"/>
        <v>-549356.05344712595</v>
      </c>
      <c r="AG60">
        <f t="shared" si="18"/>
        <v>0.10692641718861129</v>
      </c>
      <c r="AH60">
        <f t="shared" si="19"/>
        <v>-2684.0700271087017</v>
      </c>
      <c r="AI60">
        <f t="shared" si="23"/>
        <v>0</v>
      </c>
    </row>
    <row r="61" spans="1:35" x14ac:dyDescent="0.2">
      <c r="A61">
        <f t="shared" si="20"/>
        <v>99</v>
      </c>
      <c r="B61">
        <f>VLOOKUP(A61,Table22[#All],2,FALSE)</f>
        <v>0.34564267430000001</v>
      </c>
      <c r="C61">
        <f t="shared" si="0"/>
        <v>0.65435732569999994</v>
      </c>
      <c r="D61">
        <f t="shared" si="1"/>
        <v>0.86162812390562005</v>
      </c>
      <c r="E61">
        <f t="shared" si="2"/>
        <v>0.86162812390562005</v>
      </c>
      <c r="G61">
        <f t="shared" si="21"/>
        <v>99</v>
      </c>
      <c r="H61">
        <f t="shared" si="3"/>
        <v>0.34564267430000001</v>
      </c>
      <c r="I61">
        <f>Lapses!B40</f>
        <v>0</v>
      </c>
      <c r="J61">
        <f t="shared" si="4"/>
        <v>0.65435732569999994</v>
      </c>
      <c r="K61">
        <f t="shared" si="22"/>
        <v>3.0998391375837969E-2</v>
      </c>
      <c r="M61">
        <v>39</v>
      </c>
      <c r="N61">
        <f t="shared" si="5"/>
        <v>0</v>
      </c>
      <c r="O61">
        <f t="shared" si="6"/>
        <v>300</v>
      </c>
      <c r="P61">
        <f>VLOOKUP(G61,'Death Benefits'!$A$1:$E$98,4,FALSE)</f>
        <v>594594.59459999995</v>
      </c>
      <c r="Q61">
        <f t="shared" si="7"/>
        <v>524743.94607060298</v>
      </c>
      <c r="S61">
        <v>39</v>
      </c>
      <c r="T61">
        <f t="shared" si="8"/>
        <v>524743.94607060298</v>
      </c>
      <c r="U61">
        <f t="shared" si="9"/>
        <v>3890.7732879813161</v>
      </c>
      <c r="W61">
        <v>39</v>
      </c>
      <c r="X61">
        <f t="shared" si="10"/>
        <v>0</v>
      </c>
      <c r="Y61">
        <f t="shared" si="11"/>
        <v>-300</v>
      </c>
      <c r="Z61">
        <f t="shared" si="12"/>
        <v>-205517.26580186831</v>
      </c>
      <c r="AA61">
        <v>0</v>
      </c>
      <c r="AB61">
        <f t="shared" si="13"/>
        <v>-18.179099999999998</v>
      </c>
      <c r="AC61">
        <f t="shared" si="14"/>
        <v>-3890.7732879813161</v>
      </c>
      <c r="AD61">
        <f t="shared" si="15"/>
        <v>-209726.21818984963</v>
      </c>
      <c r="AE61">
        <f t="shared" si="16"/>
        <v>-343370.04522802477</v>
      </c>
      <c r="AF61">
        <f t="shared" si="17"/>
        <v>-553096.26341787446</v>
      </c>
      <c r="AG61">
        <f t="shared" si="18"/>
        <v>0.10081719747332049</v>
      </c>
      <c r="AH61">
        <f t="shared" si="19"/>
        <v>-1728.5203720518798</v>
      </c>
      <c r="AI61">
        <f t="shared" si="23"/>
        <v>0</v>
      </c>
    </row>
    <row r="62" spans="1:35" x14ac:dyDescent="0.2">
      <c r="A62">
        <f t="shared" si="20"/>
        <v>100</v>
      </c>
      <c r="B62">
        <f>VLOOKUP(A62,Table22[#All],2,FALSE)</f>
        <v>0.37048969749999999</v>
      </c>
      <c r="C62">
        <f t="shared" si="0"/>
        <v>0.62951030249999995</v>
      </c>
      <c r="D62">
        <f t="shared" si="1"/>
        <v>0.86832913259142996</v>
      </c>
      <c r="E62">
        <f t="shared" si="2"/>
        <v>0.86832913259142996</v>
      </c>
      <c r="G62">
        <f t="shared" si="21"/>
        <v>100</v>
      </c>
      <c r="H62">
        <f t="shared" si="3"/>
        <v>0.37048969749999999</v>
      </c>
      <c r="I62">
        <f>Lapses!B41</f>
        <v>0</v>
      </c>
      <c r="J62">
        <f t="shared" si="4"/>
        <v>0.62951030249999995</v>
      </c>
      <c r="K62">
        <f t="shared" si="22"/>
        <v>2.0284024481695275E-2</v>
      </c>
      <c r="M62">
        <v>40</v>
      </c>
      <c r="N62">
        <f t="shared" si="5"/>
        <v>0</v>
      </c>
      <c r="O62">
        <f t="shared" si="6"/>
        <v>300</v>
      </c>
      <c r="P62">
        <f>VLOOKUP(G62,'Death Benefits'!$A$1:$E$98,4,FALSE)</f>
        <v>594594.59459999995</v>
      </c>
      <c r="Q62">
        <f t="shared" si="7"/>
        <v>527695.0493610691</v>
      </c>
      <c r="S62">
        <v>40</v>
      </c>
      <c r="T62">
        <f t="shared" si="8"/>
        <v>527695.0493610691</v>
      </c>
      <c r="U62">
        <f t="shared" si="9"/>
        <v>3743.0342311151085</v>
      </c>
      <c r="W62">
        <v>40</v>
      </c>
      <c r="X62">
        <f t="shared" si="10"/>
        <v>0</v>
      </c>
      <c r="Y62">
        <f t="shared" si="11"/>
        <v>-300</v>
      </c>
      <c r="Z62">
        <f t="shared" si="12"/>
        <v>-220291.17148848911</v>
      </c>
      <c r="AA62">
        <v>0</v>
      </c>
      <c r="AB62">
        <f t="shared" si="13"/>
        <v>-18.179099999999998</v>
      </c>
      <c r="AC62">
        <f t="shared" si="14"/>
        <v>-3743.0342311151085</v>
      </c>
      <c r="AD62">
        <f t="shared" si="15"/>
        <v>-224352.38481960422</v>
      </c>
      <c r="AE62">
        <f t="shared" si="16"/>
        <v>-332189.47015103902</v>
      </c>
      <c r="AF62">
        <f t="shared" si="17"/>
        <v>-556541.8549706433</v>
      </c>
      <c r="AG62">
        <f t="shared" si="18"/>
        <v>9.5057026819159868E-2</v>
      </c>
      <c r="AH62">
        <f t="shared" si="19"/>
        <v>-1073.0900886245895</v>
      </c>
      <c r="AI62">
        <f t="shared" si="23"/>
        <v>0</v>
      </c>
    </row>
    <row r="63" spans="1:35" x14ac:dyDescent="0.2">
      <c r="A63">
        <f t="shared" si="20"/>
        <v>101</v>
      </c>
      <c r="B63">
        <f>VLOOKUP(A63,Table22[#All],2,FALSE)</f>
        <v>0.39533692190000003</v>
      </c>
      <c r="C63">
        <f t="shared" si="0"/>
        <v>0.60466307809999997</v>
      </c>
      <c r="D63">
        <f t="shared" si="1"/>
        <v>0.87442186943250688</v>
      </c>
      <c r="E63">
        <f t="shared" si="2"/>
        <v>0.87442186943250688</v>
      </c>
      <c r="G63">
        <f t="shared" si="21"/>
        <v>101</v>
      </c>
      <c r="H63">
        <f t="shared" si="3"/>
        <v>0.39533692190000003</v>
      </c>
      <c r="I63">
        <f>Lapses!B42</f>
        <v>0</v>
      </c>
      <c r="J63">
        <f t="shared" si="4"/>
        <v>0.60466307809999997</v>
      </c>
      <c r="K63">
        <f t="shared" si="22"/>
        <v>1.2769002387389398E-2</v>
      </c>
      <c r="M63">
        <v>41</v>
      </c>
      <c r="N63">
        <f t="shared" si="5"/>
        <v>0</v>
      </c>
      <c r="O63">
        <f t="shared" si="6"/>
        <v>300</v>
      </c>
      <c r="P63">
        <f>VLOOKUP(G63,'Death Benefits'!$A$1:$E$98,4,FALSE)</f>
        <v>594594.59459999995</v>
      </c>
      <c r="Q63">
        <f t="shared" si="7"/>
        <v>530366.62564122723</v>
      </c>
      <c r="S63">
        <v>41</v>
      </c>
      <c r="T63">
        <f t="shared" si="8"/>
        <v>530366.62564122723</v>
      </c>
      <c r="U63">
        <f t="shared" si="9"/>
        <v>3595.2939779245762</v>
      </c>
      <c r="W63">
        <v>41</v>
      </c>
      <c r="X63">
        <f t="shared" si="10"/>
        <v>0</v>
      </c>
      <c r="Y63">
        <f t="shared" si="11"/>
        <v>-300</v>
      </c>
      <c r="Z63">
        <f t="shared" si="12"/>
        <v>-235065.19680754235</v>
      </c>
      <c r="AA63">
        <v>0</v>
      </c>
      <c r="AB63">
        <f t="shared" si="13"/>
        <v>-18.179099999999998</v>
      </c>
      <c r="AC63">
        <f t="shared" si="14"/>
        <v>-3595.2939779245762</v>
      </c>
      <c r="AD63">
        <f t="shared" si="15"/>
        <v>-238978.66988546692</v>
      </c>
      <c r="AE63">
        <f t="shared" si="16"/>
        <v>-320693.11638173484</v>
      </c>
      <c r="AF63">
        <f t="shared" si="17"/>
        <v>-559671.78626720177</v>
      </c>
      <c r="AG63">
        <f t="shared" si="18"/>
        <v>8.9625962377000754E-2</v>
      </c>
      <c r="AH63">
        <f t="shared" si="19"/>
        <v>-640.50749243888777</v>
      </c>
      <c r="AI63">
        <f t="shared" si="23"/>
        <v>0</v>
      </c>
    </row>
    <row r="64" spans="1:35" x14ac:dyDescent="0.2">
      <c r="A64">
        <f t="shared" si="20"/>
        <v>102</v>
      </c>
      <c r="B64">
        <f>VLOOKUP(A64,Table22[#All],2,FALSE)</f>
        <v>0.4196770252</v>
      </c>
      <c r="C64">
        <f t="shared" si="0"/>
        <v>0.58032297480000006</v>
      </c>
      <c r="D64">
        <f t="shared" si="1"/>
        <v>0.87994836930743381</v>
      </c>
      <c r="E64">
        <f t="shared" si="2"/>
        <v>0.87994836930743381</v>
      </c>
      <c r="G64">
        <f t="shared" si="21"/>
        <v>102</v>
      </c>
      <c r="H64">
        <f t="shared" si="3"/>
        <v>0.4196770252</v>
      </c>
      <c r="I64">
        <f>Lapses!B43</f>
        <v>0</v>
      </c>
      <c r="J64">
        <f t="shared" si="4"/>
        <v>0.58032297480000006</v>
      </c>
      <c r="K64">
        <f t="shared" si="22"/>
        <v>7.7209442878251218E-3</v>
      </c>
      <c r="M64">
        <v>42</v>
      </c>
      <c r="N64">
        <f t="shared" si="5"/>
        <v>0</v>
      </c>
      <c r="O64">
        <f t="shared" si="6"/>
        <v>300</v>
      </c>
      <c r="P64">
        <f>VLOOKUP(G64,'Death Benefits'!$A$1:$E$98,4,FALSE)</f>
        <v>594594.59459999995</v>
      </c>
      <c r="Q64">
        <f t="shared" si="7"/>
        <v>532804.70820694091</v>
      </c>
      <c r="S64">
        <v>42</v>
      </c>
      <c r="T64">
        <f t="shared" si="8"/>
        <v>532804.70820694091</v>
      </c>
      <c r="U64">
        <f t="shared" si="9"/>
        <v>3450.5690393827203</v>
      </c>
      <c r="W64">
        <v>42</v>
      </c>
      <c r="X64">
        <f t="shared" si="10"/>
        <v>0</v>
      </c>
      <c r="Y64">
        <f t="shared" si="11"/>
        <v>-300</v>
      </c>
      <c r="Z64">
        <f t="shared" si="12"/>
        <v>-249537.69066172797</v>
      </c>
      <c r="AA64">
        <v>0</v>
      </c>
      <c r="AB64">
        <f t="shared" si="13"/>
        <v>-18.179099999999998</v>
      </c>
      <c r="AC64">
        <f t="shared" si="14"/>
        <v>-3450.5690393827203</v>
      </c>
      <c r="AD64">
        <f t="shared" si="15"/>
        <v>-253306.43880111069</v>
      </c>
      <c r="AE64">
        <f t="shared" si="16"/>
        <v>-309198.81325409794</v>
      </c>
      <c r="AF64">
        <f t="shared" si="17"/>
        <v>-562505.25205520866</v>
      </c>
      <c r="AG64">
        <f t="shared" si="18"/>
        <v>8.4505200728458366E-2</v>
      </c>
      <c r="AH64">
        <f t="shared" si="19"/>
        <v>-367.01214686210943</v>
      </c>
      <c r="AI64">
        <f t="shared" si="23"/>
        <v>0</v>
      </c>
    </row>
    <row r="65" spans="1:35" x14ac:dyDescent="0.2">
      <c r="A65">
        <f t="shared" si="20"/>
        <v>103</v>
      </c>
      <c r="B65">
        <f>VLOOKUP(A65,Table22[#All],2,FALSE)</f>
        <v>0.44453422999999997</v>
      </c>
      <c r="C65">
        <f t="shared" si="0"/>
        <v>0.55546577000000008</v>
      </c>
      <c r="D65">
        <f t="shared" si="1"/>
        <v>0.88501334212962868</v>
      </c>
      <c r="E65">
        <f t="shared" si="2"/>
        <v>0.88501334212962868</v>
      </c>
      <c r="G65">
        <f t="shared" si="21"/>
        <v>103</v>
      </c>
      <c r="H65">
        <f t="shared" si="3"/>
        <v>0.44453422999999997</v>
      </c>
      <c r="I65">
        <f>Lapses!B44</f>
        <v>0</v>
      </c>
      <c r="J65">
        <f t="shared" si="4"/>
        <v>0.55546577000000008</v>
      </c>
      <c r="K65">
        <f t="shared" si="22"/>
        <v>4.4806413573757423E-3</v>
      </c>
      <c r="M65">
        <v>43</v>
      </c>
      <c r="N65">
        <f t="shared" si="5"/>
        <v>0</v>
      </c>
      <c r="O65">
        <f t="shared" si="6"/>
        <v>300</v>
      </c>
      <c r="P65">
        <f>VLOOKUP(G65,'Death Benefits'!$A$1:$E$98,4,FALSE)</f>
        <v>594594.59459999995</v>
      </c>
      <c r="Q65">
        <f t="shared" si="7"/>
        <v>534960.91450281534</v>
      </c>
      <c r="S65">
        <v>43</v>
      </c>
      <c r="T65">
        <f t="shared" si="8"/>
        <v>534960.91450281534</v>
      </c>
      <c r="U65">
        <f t="shared" si="9"/>
        <v>3302.7694432732687</v>
      </c>
      <c r="W65">
        <v>43</v>
      </c>
      <c r="X65">
        <f t="shared" si="10"/>
        <v>0</v>
      </c>
      <c r="Y65">
        <f t="shared" si="11"/>
        <v>-300</v>
      </c>
      <c r="Z65">
        <f t="shared" si="12"/>
        <v>-264317.65027267311</v>
      </c>
      <c r="AA65">
        <v>0</v>
      </c>
      <c r="AB65">
        <f t="shared" si="13"/>
        <v>-18.179099999999998</v>
      </c>
      <c r="AC65">
        <f t="shared" si="14"/>
        <v>-3302.7694432732687</v>
      </c>
      <c r="AD65">
        <f t="shared" si="15"/>
        <v>-267938.59881594637</v>
      </c>
      <c r="AE65">
        <f t="shared" si="16"/>
        <v>-297152.47629421053</v>
      </c>
      <c r="AF65">
        <f t="shared" si="17"/>
        <v>-565091.0751101569</v>
      </c>
      <c r="AG65">
        <f t="shared" si="18"/>
        <v>7.9677012784741388E-2</v>
      </c>
      <c r="AH65">
        <f t="shared" si="19"/>
        <v>-201.73984126367793</v>
      </c>
      <c r="AI65">
        <f t="shared" si="23"/>
        <v>0</v>
      </c>
    </row>
    <row r="66" spans="1:35" x14ac:dyDescent="0.2">
      <c r="A66">
        <f t="shared" si="20"/>
        <v>104</v>
      </c>
      <c r="B66">
        <f>VLOOKUP(A66,Table22[#All],2,FALSE)</f>
        <v>0.4697913883</v>
      </c>
      <c r="C66">
        <f t="shared" si="0"/>
        <v>0.5302086117</v>
      </c>
      <c r="D66">
        <f t="shared" si="1"/>
        <v>0.88953864001855176</v>
      </c>
      <c r="E66">
        <f t="shared" si="2"/>
        <v>0.88953864001855176</v>
      </c>
      <c r="G66">
        <f t="shared" si="21"/>
        <v>104</v>
      </c>
      <c r="H66">
        <f t="shared" si="3"/>
        <v>0.4697913883</v>
      </c>
      <c r="I66">
        <f>Lapses!B45</f>
        <v>0</v>
      </c>
      <c r="J66">
        <f t="shared" si="4"/>
        <v>0.5302086117</v>
      </c>
      <c r="K66">
        <f t="shared" si="22"/>
        <v>2.4888429016685621E-3</v>
      </c>
      <c r="M66">
        <v>44</v>
      </c>
      <c r="N66">
        <f t="shared" si="5"/>
        <v>0</v>
      </c>
      <c r="O66">
        <f t="shared" si="6"/>
        <v>300</v>
      </c>
      <c r="P66">
        <f>VLOOKUP(G66,'Death Benefits'!$A$1:$E$98,4,FALSE)</f>
        <v>594594.59459999995</v>
      </c>
      <c r="Q66">
        <f t="shared" si="7"/>
        <v>536716.57502589899</v>
      </c>
      <c r="S66">
        <v>44</v>
      </c>
      <c r="T66">
        <f t="shared" si="8"/>
        <v>536716.57502589899</v>
      </c>
      <c r="U66">
        <f t="shared" si="9"/>
        <v>3152.5917452719032</v>
      </c>
      <c r="W66">
        <v>44</v>
      </c>
      <c r="X66">
        <f t="shared" si="10"/>
        <v>0</v>
      </c>
      <c r="Y66">
        <f t="shared" si="11"/>
        <v>-300</v>
      </c>
      <c r="Z66">
        <f t="shared" si="12"/>
        <v>-279335.42007280968</v>
      </c>
      <c r="AA66">
        <v>0</v>
      </c>
      <c r="AB66">
        <f t="shared" si="13"/>
        <v>-18.179099999999998</v>
      </c>
      <c r="AC66">
        <f t="shared" si="14"/>
        <v>-3152.5917452719032</v>
      </c>
      <c r="AD66">
        <f t="shared" si="15"/>
        <v>-282806.19091808161</v>
      </c>
      <c r="AE66">
        <f t="shared" si="16"/>
        <v>-284571.75012086082</v>
      </c>
      <c r="AF66">
        <f t="shared" si="17"/>
        <v>-567377.94103894243</v>
      </c>
      <c r="AG66">
        <f t="shared" si="18"/>
        <v>7.5124682405043011E-2</v>
      </c>
      <c r="AH66">
        <f t="shared" si="19"/>
        <v>-106.08465792353364</v>
      </c>
      <c r="AI66">
        <f t="shared" si="23"/>
        <v>0</v>
      </c>
    </row>
    <row r="67" spans="1:35" x14ac:dyDescent="0.2">
      <c r="A67">
        <f t="shared" si="20"/>
        <v>105</v>
      </c>
      <c r="B67">
        <f>VLOOKUP(A67,Table22[#All],2,FALSE)</f>
        <v>0.49530202029999998</v>
      </c>
      <c r="C67">
        <f t="shared" si="0"/>
        <v>0.50469797969999997</v>
      </c>
      <c r="D67">
        <f t="shared" si="1"/>
        <v>0.89332880348566368</v>
      </c>
      <c r="E67">
        <f t="shared" si="2"/>
        <v>0.89332880348566368</v>
      </c>
      <c r="G67">
        <f t="shared" si="21"/>
        <v>105</v>
      </c>
      <c r="H67">
        <f t="shared" si="3"/>
        <v>0.49530202029999998</v>
      </c>
      <c r="I67">
        <f>Lapses!B46</f>
        <v>0</v>
      </c>
      <c r="J67">
        <f t="shared" si="4"/>
        <v>0.50469797969999997</v>
      </c>
      <c r="K67">
        <f t="shared" si="22"/>
        <v>1.3196059396330879E-3</v>
      </c>
      <c r="M67">
        <v>45</v>
      </c>
      <c r="N67">
        <f t="shared" si="5"/>
        <v>0</v>
      </c>
      <c r="O67">
        <f t="shared" si="6"/>
        <v>300</v>
      </c>
      <c r="P67">
        <f>VLOOKUP(G67,'Death Benefits'!$A$1:$E$98,4,FALSE)</f>
        <v>594594.59459999995</v>
      </c>
      <c r="Q67">
        <f t="shared" si="7"/>
        <v>537781.02997932862</v>
      </c>
      <c r="S67">
        <v>45</v>
      </c>
      <c r="T67">
        <f t="shared" si="8"/>
        <v>537781.02997932862</v>
      </c>
      <c r="U67">
        <f t="shared" si="9"/>
        <v>3000.9069063516049</v>
      </c>
      <c r="W67">
        <v>45</v>
      </c>
      <c r="X67">
        <f t="shared" si="10"/>
        <v>0</v>
      </c>
      <c r="Y67">
        <f t="shared" si="11"/>
        <v>-300</v>
      </c>
      <c r="Z67">
        <f t="shared" si="12"/>
        <v>-294503.90396483941</v>
      </c>
      <c r="AA67">
        <v>0</v>
      </c>
      <c r="AB67">
        <f t="shared" si="13"/>
        <v>-18.179099999999998</v>
      </c>
      <c r="AC67">
        <f t="shared" si="14"/>
        <v>-3000.9069063516049</v>
      </c>
      <c r="AD67">
        <f t="shared" si="15"/>
        <v>-297822.98997119104</v>
      </c>
      <c r="AE67">
        <f t="shared" si="16"/>
        <v>-271416.99935155228</v>
      </c>
      <c r="AF67">
        <f t="shared" si="17"/>
        <v>-569239.98932274338</v>
      </c>
      <c r="AG67">
        <f t="shared" si="18"/>
        <v>7.0832448521957928E-2</v>
      </c>
      <c r="AH67">
        <f t="shared" si="19"/>
        <v>-53.207385382296323</v>
      </c>
      <c r="AI67">
        <f t="shared" si="23"/>
        <v>0</v>
      </c>
    </row>
    <row r="68" spans="1:35" x14ac:dyDescent="0.2">
      <c r="A68">
        <f t="shared" si="20"/>
        <v>106</v>
      </c>
      <c r="B68">
        <f>VLOOKUP(A68,Table22[#All],2,FALSE)</f>
        <v>0.5209142323</v>
      </c>
      <c r="C68">
        <f t="shared" si="0"/>
        <v>0.4790857677</v>
      </c>
      <c r="D68">
        <f t="shared" si="1"/>
        <v>0.89590180043766987</v>
      </c>
      <c r="E68">
        <f t="shared" si="2"/>
        <v>0.89590180043766987</v>
      </c>
      <c r="G68">
        <f t="shared" si="21"/>
        <v>106</v>
      </c>
      <c r="H68">
        <f t="shared" si="3"/>
        <v>0.5209142323</v>
      </c>
      <c r="I68">
        <f>Lapses!B47</f>
        <v>0</v>
      </c>
      <c r="J68">
        <f t="shared" si="4"/>
        <v>0.4790857677</v>
      </c>
      <c r="K68">
        <f t="shared" si="22"/>
        <v>6.6600245173293953E-4</v>
      </c>
      <c r="M68">
        <v>46</v>
      </c>
      <c r="N68">
        <f t="shared" si="5"/>
        <v>0</v>
      </c>
      <c r="O68">
        <f t="shared" si="6"/>
        <v>300</v>
      </c>
      <c r="P68">
        <f>VLOOKUP(G68,'Death Benefits'!$A$1:$E$98,4,FALSE)</f>
        <v>594594.59459999995</v>
      </c>
      <c r="Q68">
        <f t="shared" si="7"/>
        <v>537418.10017654428</v>
      </c>
      <c r="S68">
        <v>46</v>
      </c>
      <c r="T68">
        <f t="shared" si="8"/>
        <v>537418.10017654428</v>
      </c>
      <c r="U68">
        <f t="shared" si="9"/>
        <v>2848.6180782421125</v>
      </c>
      <c r="W68">
        <v>46</v>
      </c>
      <c r="X68">
        <f t="shared" si="10"/>
        <v>0</v>
      </c>
      <c r="Y68">
        <f t="shared" si="11"/>
        <v>-300</v>
      </c>
      <c r="Z68">
        <f t="shared" si="12"/>
        <v>-309732.7867757887</v>
      </c>
      <c r="AA68">
        <v>0</v>
      </c>
      <c r="AB68">
        <f t="shared" si="13"/>
        <v>-18.179099999999998</v>
      </c>
      <c r="AC68">
        <f t="shared" si="14"/>
        <v>-2848.6180782421125</v>
      </c>
      <c r="AD68">
        <f t="shared" si="15"/>
        <v>-312899.58395403082</v>
      </c>
      <c r="AE68">
        <f t="shared" si="16"/>
        <v>-257469.36309895522</v>
      </c>
      <c r="AF68">
        <f t="shared" si="17"/>
        <v>-570368.94705298601</v>
      </c>
      <c r="AG68">
        <f t="shared" si="18"/>
        <v>6.6785450573552382E-2</v>
      </c>
      <c r="AH68">
        <f t="shared" si="19"/>
        <v>-25.369596575578328</v>
      </c>
      <c r="AI68">
        <f t="shared" si="23"/>
        <v>0</v>
      </c>
    </row>
    <row r="69" spans="1:35" x14ac:dyDescent="0.2">
      <c r="A69">
        <f t="shared" si="20"/>
        <v>107</v>
      </c>
      <c r="B69">
        <f>VLOOKUP(A69,Table22[#All],2,FALSE)</f>
        <v>0.54665868200000001</v>
      </c>
      <c r="C69">
        <f t="shared" si="0"/>
        <v>0.45334131799999999</v>
      </c>
      <c r="D69">
        <f t="shared" si="1"/>
        <v>0.89603273250981064</v>
      </c>
      <c r="E69">
        <f t="shared" si="2"/>
        <v>0.89603273250981064</v>
      </c>
      <c r="G69">
        <f t="shared" si="21"/>
        <v>107</v>
      </c>
      <c r="H69">
        <f t="shared" si="3"/>
        <v>0.54665868200000001</v>
      </c>
      <c r="I69">
        <f>Lapses!B48</f>
        <v>0</v>
      </c>
      <c r="J69">
        <f t="shared" si="4"/>
        <v>0.45334131799999999</v>
      </c>
      <c r="K69">
        <f t="shared" si="22"/>
        <v>3.1907229587855755E-4</v>
      </c>
      <c r="M69">
        <v>47</v>
      </c>
      <c r="N69">
        <f t="shared" si="5"/>
        <v>0</v>
      </c>
      <c r="O69">
        <f t="shared" si="6"/>
        <v>300</v>
      </c>
      <c r="P69">
        <f>VLOOKUP(G69,'Death Benefits'!$A$1:$E$98,4,FALSE)</f>
        <v>594594.59459999995</v>
      </c>
      <c r="Q69">
        <f t="shared" si="7"/>
        <v>533659.72989178461</v>
      </c>
      <c r="S69">
        <v>47</v>
      </c>
      <c r="T69">
        <f t="shared" si="8"/>
        <v>533659.72989178461</v>
      </c>
      <c r="U69">
        <f t="shared" si="9"/>
        <v>2695.5429719163967</v>
      </c>
      <c r="W69">
        <v>47</v>
      </c>
      <c r="X69">
        <f t="shared" si="10"/>
        <v>0</v>
      </c>
      <c r="Y69">
        <f t="shared" si="11"/>
        <v>-300</v>
      </c>
      <c r="Z69">
        <f t="shared" si="12"/>
        <v>-325040.29740836029</v>
      </c>
      <c r="AA69">
        <v>0</v>
      </c>
      <c r="AB69">
        <f t="shared" si="13"/>
        <v>-18.179099999999998</v>
      </c>
      <c r="AC69">
        <f t="shared" si="14"/>
        <v>-2695.5429719163967</v>
      </c>
      <c r="AD69">
        <f t="shared" si="15"/>
        <v>-328054.01948027668</v>
      </c>
      <c r="AE69">
        <f t="shared" si="16"/>
        <v>-241930.00531266563</v>
      </c>
      <c r="AF69">
        <f t="shared" si="17"/>
        <v>-569984.02479294233</v>
      </c>
      <c r="AG69">
        <f t="shared" si="18"/>
        <v>6.2969677053161921E-2</v>
      </c>
      <c r="AH69">
        <f t="shared" si="19"/>
        <v>-11.452050302073665</v>
      </c>
      <c r="AI69">
        <f t="shared" si="23"/>
        <v>0</v>
      </c>
    </row>
    <row r="70" spans="1:35" x14ac:dyDescent="0.2">
      <c r="A70">
        <f t="shared" si="20"/>
        <v>108</v>
      </c>
      <c r="B70">
        <f>VLOOKUP(A70,Table22[#All],2,FALSE)</f>
        <v>0.57258457519999995</v>
      </c>
      <c r="C70">
        <f t="shared" si="0"/>
        <v>0.42741542480000005</v>
      </c>
      <c r="D70">
        <f t="shared" si="1"/>
        <v>0.89043493274025287</v>
      </c>
      <c r="E70">
        <f t="shared" si="2"/>
        <v>0.89043493274025287</v>
      </c>
      <c r="G70">
        <f t="shared" si="21"/>
        <v>108</v>
      </c>
      <c r="H70">
        <f t="shared" si="3"/>
        <v>0.57258457519999995</v>
      </c>
      <c r="I70">
        <f>Lapses!B49</f>
        <v>0</v>
      </c>
      <c r="J70">
        <f t="shared" si="4"/>
        <v>0.42741542480000005</v>
      </c>
      <c r="K70">
        <f t="shared" si="22"/>
        <v>1.4464865515087123E-4</v>
      </c>
      <c r="M70">
        <v>48</v>
      </c>
      <c r="N70">
        <f t="shared" si="5"/>
        <v>0</v>
      </c>
      <c r="O70">
        <f t="shared" si="6"/>
        <v>300</v>
      </c>
      <c r="P70">
        <f>VLOOKUP(G70,'Death Benefits'!$A$1:$E$98,4,FALSE)</f>
        <v>594594.59459999995</v>
      </c>
      <c r="Q70">
        <f t="shared" si="7"/>
        <v>520998.15342563257</v>
      </c>
      <c r="S70">
        <v>48</v>
      </c>
      <c r="T70">
        <f t="shared" si="8"/>
        <v>520998.15342563257</v>
      </c>
      <c r="U70">
        <f t="shared" si="9"/>
        <v>2541.389012347428</v>
      </c>
      <c r="W70">
        <v>48</v>
      </c>
      <c r="X70">
        <f t="shared" si="10"/>
        <v>0</v>
      </c>
      <c r="Y70">
        <f t="shared" si="11"/>
        <v>-300</v>
      </c>
      <c r="Z70">
        <f t="shared" si="12"/>
        <v>-340455.69336525718</v>
      </c>
      <c r="AA70">
        <v>0</v>
      </c>
      <c r="AB70">
        <f t="shared" si="13"/>
        <v>-18.179099999999998</v>
      </c>
      <c r="AC70">
        <f t="shared" si="14"/>
        <v>-2541.389012347428</v>
      </c>
      <c r="AD70">
        <f t="shared" si="15"/>
        <v>-343315.26147760462</v>
      </c>
      <c r="AE70">
        <f t="shared" si="16"/>
        <v>-222682.64706643234</v>
      </c>
      <c r="AF70">
        <f t="shared" si="17"/>
        <v>-565997.90854403703</v>
      </c>
      <c r="AG70">
        <f t="shared" si="18"/>
        <v>5.9371916998786467E-2</v>
      </c>
      <c r="AH70">
        <f t="shared" si="19"/>
        <v>-4.8608284967777253</v>
      </c>
      <c r="AI70">
        <f t="shared" si="23"/>
        <v>0</v>
      </c>
    </row>
    <row r="71" spans="1:35" x14ac:dyDescent="0.2">
      <c r="A71">
        <f t="shared" si="20"/>
        <v>109</v>
      </c>
      <c r="B71">
        <f>VLOOKUP(A71,Table22[#All],2,FALSE)</f>
        <v>0.59854587479999999</v>
      </c>
      <c r="C71">
        <f t="shared" si="0"/>
        <v>0.40145412520000001</v>
      </c>
      <c r="D71">
        <f t="shared" si="1"/>
        <v>0.8698985146207433</v>
      </c>
      <c r="E71">
        <f t="shared" si="2"/>
        <v>0.8698985146207433</v>
      </c>
      <c r="G71">
        <f t="shared" si="21"/>
        <v>109</v>
      </c>
      <c r="H71">
        <f t="shared" si="3"/>
        <v>0.59854587479999999</v>
      </c>
      <c r="I71">
        <f>Lapses!B50</f>
        <v>0</v>
      </c>
      <c r="J71">
        <f t="shared" si="4"/>
        <v>0.40145412520000001</v>
      </c>
      <c r="K71">
        <f t="shared" si="22"/>
        <v>6.1825066388058339E-5</v>
      </c>
      <c r="M71">
        <v>49</v>
      </c>
      <c r="N71">
        <f t="shared" si="5"/>
        <v>0</v>
      </c>
      <c r="O71">
        <f t="shared" si="6"/>
        <v>300</v>
      </c>
      <c r="P71">
        <f>VLOOKUP(G71,'Death Benefits'!$A$1:$E$98,4,FALSE)</f>
        <v>594594.59459999995</v>
      </c>
      <c r="Q71">
        <f t="shared" si="7"/>
        <v>483172.8482742199</v>
      </c>
      <c r="S71">
        <v>49</v>
      </c>
      <c r="T71">
        <f t="shared" si="8"/>
        <v>483172.8482742199</v>
      </c>
      <c r="U71">
        <f t="shared" si="9"/>
        <v>2387.0245282379165</v>
      </c>
      <c r="W71">
        <v>49</v>
      </c>
      <c r="X71">
        <f t="shared" si="10"/>
        <v>0</v>
      </c>
      <c r="Y71">
        <f t="shared" si="11"/>
        <v>-300</v>
      </c>
      <c r="Z71">
        <f t="shared" si="12"/>
        <v>-355892.1417762083</v>
      </c>
      <c r="AA71">
        <v>0</v>
      </c>
      <c r="AB71">
        <f t="shared" si="13"/>
        <v>-18.179099999999998</v>
      </c>
      <c r="AC71">
        <f t="shared" si="14"/>
        <v>-2387.0245282379165</v>
      </c>
      <c r="AD71">
        <f t="shared" si="15"/>
        <v>-358597.34540444624</v>
      </c>
      <c r="AE71">
        <f t="shared" si="16"/>
        <v>-193971.73312431929</v>
      </c>
      <c r="AF71">
        <f t="shared" si="17"/>
        <v>-552569.07852876559</v>
      </c>
      <c r="AG71">
        <f t="shared" si="18"/>
        <v>5.5979714254129009E-2</v>
      </c>
      <c r="AH71">
        <f t="shared" si="19"/>
        <v>-1.9124137037587552</v>
      </c>
      <c r="AI71">
        <f t="shared" si="23"/>
        <v>0</v>
      </c>
    </row>
    <row r="72" spans="1:35" x14ac:dyDescent="0.2">
      <c r="A72">
        <f t="shared" si="20"/>
        <v>110</v>
      </c>
      <c r="B72">
        <f>VLOOKUP(A72,Table22[#All],2,FALSE)</f>
        <v>0.62439196649999995</v>
      </c>
      <c r="C72">
        <f t="shared" si="0"/>
        <v>0.37560803350000005</v>
      </c>
      <c r="D72">
        <f t="shared" si="1"/>
        <v>0.80723016596172825</v>
      </c>
      <c r="E72">
        <f t="shared" si="2"/>
        <v>0.80723016596172825</v>
      </c>
      <c r="G72">
        <f t="shared" si="21"/>
        <v>110</v>
      </c>
      <c r="H72">
        <f t="shared" si="3"/>
        <v>0.62439196649999995</v>
      </c>
      <c r="I72">
        <f>Lapses!B51</f>
        <v>0</v>
      </c>
      <c r="J72">
        <f t="shared" si="4"/>
        <v>0.37560803350000005</v>
      </c>
      <c r="K72">
        <f t="shared" si="22"/>
        <v>2.4819927942249886E-5</v>
      </c>
      <c r="M72">
        <v>50</v>
      </c>
      <c r="N72">
        <f t="shared" si="5"/>
        <v>0</v>
      </c>
      <c r="O72">
        <f t="shared" si="6"/>
        <v>300</v>
      </c>
      <c r="P72">
        <f>VLOOKUP(G72,'Death Benefits'!$A$1:$E$98,4,FALSE)</f>
        <v>594594.59459999995</v>
      </c>
      <c r="Q72">
        <f t="shared" si="7"/>
        <v>369108.34870216949</v>
      </c>
      <c r="S72">
        <v>50</v>
      </c>
      <c r="T72">
        <f t="shared" si="8"/>
        <v>369108.34870216949</v>
      </c>
      <c r="U72">
        <f t="shared" si="9"/>
        <v>2233.3450640743572</v>
      </c>
      <c r="W72">
        <v>50</v>
      </c>
      <c r="X72">
        <f t="shared" si="10"/>
        <v>0</v>
      </c>
      <c r="Y72">
        <f t="shared" si="11"/>
        <v>-300</v>
      </c>
      <c r="Z72">
        <f t="shared" si="12"/>
        <v>-371260.0881925642</v>
      </c>
      <c r="AA72">
        <v>0</v>
      </c>
      <c r="AB72">
        <f t="shared" si="13"/>
        <v>-18.179099999999998</v>
      </c>
      <c r="AC72">
        <f t="shared" si="14"/>
        <v>-2233.3450640743572</v>
      </c>
      <c r="AD72">
        <f t="shared" si="15"/>
        <v>-373811.61235663859</v>
      </c>
      <c r="AE72">
        <f t="shared" si="16"/>
        <v>-138640.06100445418</v>
      </c>
      <c r="AF72">
        <f t="shared" si="17"/>
        <v>-512451.67336109281</v>
      </c>
      <c r="AG72">
        <f t="shared" si="18"/>
        <v>5.2781324342921029E-2</v>
      </c>
      <c r="AH72">
        <f t="shared" si="19"/>
        <v>-0.67132638249766485</v>
      </c>
      <c r="AI72">
        <f t="shared" si="23"/>
        <v>0</v>
      </c>
    </row>
    <row r="73" spans="1:35" x14ac:dyDescent="0.2">
      <c r="A73">
        <f t="shared" si="20"/>
        <v>111</v>
      </c>
      <c r="B73">
        <f>VLOOKUP(A73,Table22[#All],2,FALSE)</f>
        <v>0.65439899189999995</v>
      </c>
      <c r="C73">
        <f t="shared" si="0"/>
        <v>0.34560100810000005</v>
      </c>
      <c r="D73">
        <f t="shared" si="1"/>
        <v>0.61701003482001171</v>
      </c>
      <c r="E73">
        <f t="shared" si="2"/>
        <v>0.61701003482001171</v>
      </c>
      <c r="G73">
        <f t="shared" si="21"/>
        <v>111</v>
      </c>
      <c r="H73">
        <f t="shared" si="3"/>
        <v>0.65439899189999995</v>
      </c>
      <c r="I73">
        <f>Lapses!B52</f>
        <v>0</v>
      </c>
      <c r="J73">
        <f t="shared" si="4"/>
        <v>0.34560100810000005</v>
      </c>
      <c r="K73">
        <f t="shared" si="22"/>
        <v>9.322564326000182E-6</v>
      </c>
      <c r="M73">
        <v>51</v>
      </c>
      <c r="N73">
        <f t="shared" si="5"/>
        <v>0</v>
      </c>
      <c r="O73">
        <f t="shared" si="6"/>
        <v>300</v>
      </c>
      <c r="P73">
        <f>VLOOKUP(G73,'Death Benefits'!$A$1:$E$98,4,FALSE)</f>
        <v>594594.59459999995</v>
      </c>
      <c r="Q73">
        <v>0</v>
      </c>
      <c r="S73">
        <v>51</v>
      </c>
      <c r="T73">
        <f t="shared" si="8"/>
        <v>0</v>
      </c>
      <c r="U73">
        <f t="shared" si="9"/>
        <v>2054.9249130457083</v>
      </c>
      <c r="W73">
        <v>51</v>
      </c>
      <c r="X73">
        <f t="shared" si="10"/>
        <v>0</v>
      </c>
      <c r="Y73">
        <f t="shared" si="11"/>
        <v>-300</v>
      </c>
      <c r="Z73">
        <f t="shared" si="12"/>
        <v>-389102.10329542914</v>
      </c>
      <c r="AA73">
        <v>0</v>
      </c>
      <c r="AB73">
        <f t="shared" si="13"/>
        <v>-18.179099999999998</v>
      </c>
      <c r="AC73">
        <f t="shared" si="14"/>
        <v>-2054.9249130457083</v>
      </c>
      <c r="AD73">
        <f t="shared" si="15"/>
        <v>-391475.20730847487</v>
      </c>
      <c r="AE73">
        <f t="shared" si="16"/>
        <v>0</v>
      </c>
      <c r="AF73">
        <f t="shared" si="17"/>
        <v>-391475.20730847487</v>
      </c>
      <c r="AG73">
        <f t="shared" si="18"/>
        <v>4.9765673807224638E-2</v>
      </c>
      <c r="AH73">
        <f t="shared" si="19"/>
        <v>-0.18162245429491111</v>
      </c>
      <c r="AI73">
        <f t="shared" si="23"/>
        <v>0</v>
      </c>
    </row>
  </sheetData>
  <mergeCells count="6">
    <mergeCell ref="AF21:AI21"/>
    <mergeCell ref="A21:E21"/>
    <mergeCell ref="G21:K21"/>
    <mergeCell ref="M21:Q21"/>
    <mergeCell ref="S21:U21"/>
    <mergeCell ref="W21:AE21"/>
  </mergeCells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33515E-00FD-7143-9902-99C563D8DBF9}">
          <x14:formula1>
            <xm:f>'Female Lifetable'!$A$2:$A$66</xm:f>
          </x14:formula1>
          <xm:sqref>B2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1830B-9ACE-4F46-A726-C23CAAF4B661}">
  <sheetPr codeName="Sheet11"/>
  <dimension ref="A1:AI75"/>
  <sheetViews>
    <sheetView workbookViewId="0">
      <selection activeCell="C4" sqref="C4"/>
    </sheetView>
  </sheetViews>
  <sheetFormatPr baseColWidth="10" defaultRowHeight="16" x14ac:dyDescent="0.2"/>
  <cols>
    <col min="1" max="1" width="16.83203125" customWidth="1"/>
    <col min="2" max="2" width="22.1640625" customWidth="1"/>
  </cols>
  <sheetData>
    <row r="1" spans="1:2" ht="19" x14ac:dyDescent="0.25">
      <c r="A1" s="6" t="s">
        <v>18</v>
      </c>
      <c r="B1" s="8">
        <f>ROUND(VLOOKUP(B2,Table2[#All],15,FALSE),0)</f>
        <v>2941</v>
      </c>
    </row>
    <row r="2" spans="1:2" ht="19" x14ac:dyDescent="0.25">
      <c r="A2" s="6" t="s">
        <v>0</v>
      </c>
      <c r="B2" s="8">
        <v>61</v>
      </c>
    </row>
    <row r="3" spans="1:2" ht="19" x14ac:dyDescent="0.25">
      <c r="A3" s="6" t="s">
        <v>13</v>
      </c>
      <c r="B3" s="8">
        <f>VLOOKUP(B2,Table2[#All],10,FALSE)</f>
        <v>5215</v>
      </c>
    </row>
    <row r="4" spans="1:2" ht="19" x14ac:dyDescent="0.25">
      <c r="A4" s="6" t="s">
        <v>6</v>
      </c>
      <c r="B4" s="7">
        <v>6.0596999999999998E-2</v>
      </c>
    </row>
    <row r="5" spans="1:2" ht="19" x14ac:dyDescent="0.25">
      <c r="A5" s="6" t="s">
        <v>4</v>
      </c>
      <c r="B5" s="7">
        <f>(1+B4)^(-1)</f>
        <v>0.94286519761983112</v>
      </c>
    </row>
    <row r="6" spans="1:2" ht="19" x14ac:dyDescent="0.25">
      <c r="A6" s="6" t="s">
        <v>52</v>
      </c>
      <c r="B6" s="7">
        <v>0.01</v>
      </c>
    </row>
    <row r="7" spans="1:2" ht="19" x14ac:dyDescent="0.25">
      <c r="A7" s="6" t="s">
        <v>8</v>
      </c>
      <c r="B7" s="8" t="s">
        <v>9</v>
      </c>
    </row>
    <row r="8" spans="1:2" ht="19" x14ac:dyDescent="0.25">
      <c r="A8" s="6" t="s">
        <v>10</v>
      </c>
      <c r="B8" s="8" t="s">
        <v>49</v>
      </c>
    </row>
    <row r="9" spans="1:2" ht="19" x14ac:dyDescent="0.25">
      <c r="A9" s="6" t="s">
        <v>42</v>
      </c>
      <c r="B9" s="8"/>
    </row>
    <row r="10" spans="1:2" ht="19" x14ac:dyDescent="0.25">
      <c r="A10" s="6" t="s">
        <v>36</v>
      </c>
      <c r="B10" s="8">
        <v>0</v>
      </c>
    </row>
    <row r="11" spans="1:2" ht="19" x14ac:dyDescent="0.25">
      <c r="A11" s="6" t="s">
        <v>91</v>
      </c>
      <c r="B11" s="8">
        <v>300</v>
      </c>
    </row>
    <row r="12" spans="1:2" ht="19" x14ac:dyDescent="0.25">
      <c r="A12" s="6" t="s">
        <v>88</v>
      </c>
      <c r="B12" s="29">
        <f>O25+NPV(B4,O26:O75)</f>
        <v>9904.4335148130049</v>
      </c>
    </row>
    <row r="13" spans="1:2" ht="19" x14ac:dyDescent="0.25">
      <c r="A13" s="6" t="s">
        <v>103</v>
      </c>
      <c r="B13" s="29">
        <f>B12*B1</f>
        <v>29128938.967065047</v>
      </c>
    </row>
    <row r="14" spans="1:2" ht="19" x14ac:dyDescent="0.25">
      <c r="A14" s="6" t="s">
        <v>89</v>
      </c>
      <c r="B14" s="29">
        <f>AE25+NPV(B4,AE26:AE75)</f>
        <v>-4669397.8562328015</v>
      </c>
    </row>
    <row r="15" spans="1:2" ht="19" x14ac:dyDescent="0.25">
      <c r="A15" s="6" t="s">
        <v>90</v>
      </c>
      <c r="B15" s="29">
        <f>U25+NPV(B4,U26:U75)</f>
        <v>92694.807585637158</v>
      </c>
    </row>
    <row r="16" spans="1:2" ht="19" x14ac:dyDescent="0.25">
      <c r="A16" s="6" t="s">
        <v>94</v>
      </c>
      <c r="B16" s="29">
        <f>SUM(AH25:AH75)</f>
        <v>-3263578.5659901653</v>
      </c>
    </row>
    <row r="17" spans="1:35" ht="19" x14ac:dyDescent="0.25">
      <c r="A17" s="6" t="s">
        <v>107</v>
      </c>
      <c r="B17" s="29">
        <f>ROUND(B16*B1,0)</f>
        <v>-9598184563</v>
      </c>
    </row>
    <row r="18" spans="1:35" ht="19" x14ac:dyDescent="0.25">
      <c r="A18" s="6" t="s">
        <v>95</v>
      </c>
      <c r="B18" s="29">
        <f>-B17/B13</f>
        <v>329.50683764528094</v>
      </c>
    </row>
    <row r="19" spans="1:35" ht="19" x14ac:dyDescent="0.25">
      <c r="A19" s="6" t="s">
        <v>125</v>
      </c>
      <c r="B19" s="29">
        <f>ROUND(B17-'Female SPWL (before)'!B16,0)</f>
        <v>6449404787</v>
      </c>
    </row>
    <row r="20" spans="1:35" ht="19" x14ac:dyDescent="0.25">
      <c r="A20" s="6" t="s">
        <v>126</v>
      </c>
      <c r="B20" s="29">
        <f>ROUND(B13-'Female SPWL (before)'!B12,0)</f>
        <v>4675725</v>
      </c>
    </row>
    <row r="21" spans="1:35" ht="19" x14ac:dyDescent="0.25">
      <c r="A21" s="6" t="s">
        <v>124</v>
      </c>
      <c r="B21" s="57">
        <f>B19/ABS('Female SPWL (before)'!B16)</f>
        <v>0.4018924366979767</v>
      </c>
    </row>
    <row r="23" spans="1:35" ht="19" x14ac:dyDescent="0.25">
      <c r="A23" s="62" t="s">
        <v>66</v>
      </c>
      <c r="B23" s="62"/>
      <c r="C23" s="62"/>
      <c r="D23" s="62"/>
      <c r="E23" s="62"/>
      <c r="G23" s="62" t="s">
        <v>65</v>
      </c>
      <c r="H23" s="62"/>
      <c r="I23" s="62"/>
      <c r="J23" s="62"/>
      <c r="K23" s="62"/>
      <c r="M23" s="62" t="s">
        <v>67</v>
      </c>
      <c r="N23" s="62"/>
      <c r="O23" s="62"/>
      <c r="P23" s="62"/>
      <c r="Q23" s="62"/>
      <c r="S23" s="62" t="s">
        <v>46</v>
      </c>
      <c r="T23" s="62"/>
      <c r="U23" s="62"/>
      <c r="W23" s="62" t="s">
        <v>68</v>
      </c>
      <c r="X23" s="62"/>
      <c r="Y23" s="62"/>
      <c r="Z23" s="62"/>
      <c r="AA23" s="62"/>
      <c r="AB23" s="62"/>
      <c r="AC23" s="62"/>
      <c r="AD23" s="62"/>
      <c r="AE23" s="62"/>
      <c r="AF23" s="62" t="s">
        <v>69</v>
      </c>
      <c r="AG23" s="62"/>
      <c r="AH23" s="62"/>
      <c r="AI23" s="62"/>
    </row>
    <row r="24" spans="1:35" ht="19" x14ac:dyDescent="0.25">
      <c r="A24" s="11" t="s">
        <v>5</v>
      </c>
      <c r="B24" s="11" t="s">
        <v>1</v>
      </c>
      <c r="C24" s="11" t="s">
        <v>2</v>
      </c>
      <c r="D24" s="11" t="s">
        <v>3</v>
      </c>
      <c r="E24" s="12" t="s">
        <v>7</v>
      </c>
      <c r="G24" s="11" t="s">
        <v>5</v>
      </c>
      <c r="H24" s="14" t="s">
        <v>26</v>
      </c>
      <c r="I24" s="14" t="s">
        <v>47</v>
      </c>
      <c r="J24" s="14" t="s">
        <v>27</v>
      </c>
      <c r="K24" s="15" t="s">
        <v>28</v>
      </c>
      <c r="M24" s="11" t="s">
        <v>34</v>
      </c>
      <c r="N24" s="11" t="s">
        <v>12</v>
      </c>
      <c r="O24" s="11" t="s">
        <v>13</v>
      </c>
      <c r="P24" s="11" t="s">
        <v>14</v>
      </c>
      <c r="Q24" s="12" t="s">
        <v>35</v>
      </c>
      <c r="S24" s="14" t="s">
        <v>34</v>
      </c>
      <c r="T24" s="11" t="s">
        <v>16</v>
      </c>
      <c r="U24" s="12" t="s">
        <v>17</v>
      </c>
      <c r="W24" s="14" t="s">
        <v>34</v>
      </c>
      <c r="X24" s="11" t="s">
        <v>29</v>
      </c>
      <c r="Y24" s="11" t="s">
        <v>30</v>
      </c>
      <c r="Z24" s="11" t="s">
        <v>31</v>
      </c>
      <c r="AA24" s="11" t="s">
        <v>32</v>
      </c>
      <c r="AB24" s="11" t="s">
        <v>33</v>
      </c>
      <c r="AC24" s="11" t="s">
        <v>51</v>
      </c>
      <c r="AD24" s="11" t="s">
        <v>43</v>
      </c>
      <c r="AE24" s="11" t="s">
        <v>44</v>
      </c>
      <c r="AF24" s="11" t="s">
        <v>45</v>
      </c>
      <c r="AG24" s="11" t="s">
        <v>41</v>
      </c>
      <c r="AH24" s="11" t="s">
        <v>38</v>
      </c>
      <c r="AI24" s="12" t="s">
        <v>39</v>
      </c>
    </row>
    <row r="25" spans="1:35" x14ac:dyDescent="0.2">
      <c r="A25">
        <f>B2</f>
        <v>61</v>
      </c>
      <c r="B25">
        <f>VLOOKUP(A25,Table22[#All],3,FALSE)</f>
        <v>3.6072449520422449E-3</v>
      </c>
      <c r="C25">
        <f>1-B25</f>
        <v>0.99639275504795777</v>
      </c>
      <c r="D25">
        <f>$B$5*(B25+C25*D26)</f>
        <v>0.22619231224398231</v>
      </c>
      <c r="E25">
        <f>D25-PRODUCT(C25:C44)*E44*$B$5^(20)</f>
        <v>9.7208315804801548E-2</v>
      </c>
      <c r="G25">
        <f>B2</f>
        <v>61</v>
      </c>
      <c r="H25">
        <f>B25</f>
        <v>3.6072449520422449E-3</v>
      </c>
      <c r="I25">
        <f>Lapses!B2</f>
        <v>9.8600000000000007E-3</v>
      </c>
      <c r="J25">
        <f>1-H25-I25</f>
        <v>0.98653275504795779</v>
      </c>
      <c r="K25">
        <f>1</f>
        <v>1</v>
      </c>
      <c r="M25">
        <v>1</v>
      </c>
      <c r="N25">
        <f>$B$10</f>
        <v>0</v>
      </c>
      <c r="O25">
        <f>$B$3</f>
        <v>5215</v>
      </c>
      <c r="P25">
        <f>VLOOKUP(G25,'Death Benefits'!$A$1:$E$98,4,FALSE)</f>
        <v>594594.59459999995</v>
      </c>
      <c r="Q25">
        <f>ABS(MIN(AD26-Q26*J26,0))*$B$5</f>
        <v>191854.36169939389</v>
      </c>
      <c r="S25">
        <v>1</v>
      </c>
      <c r="T25">
        <f>Q25</f>
        <v>191854.36169939389</v>
      </c>
      <c r="U25">
        <f>$B$6*P25*J25</f>
        <v>5865.8704354736155</v>
      </c>
      <c r="W25">
        <v>1</v>
      </c>
      <c r="X25">
        <f>N25</f>
        <v>0</v>
      </c>
      <c r="Y25">
        <f>-O25</f>
        <v>-5215</v>
      </c>
      <c r="Z25">
        <f>-P25*H25</f>
        <v>-2144.8483498824548</v>
      </c>
      <c r="AA25">
        <v>0</v>
      </c>
      <c r="AB25">
        <f>SUM(X25:Y25)*$B$4</f>
        <v>-316.01335499999999</v>
      </c>
      <c r="AC25">
        <f>-U25</f>
        <v>-5865.8704354736155</v>
      </c>
      <c r="AD25">
        <f>SUM(X25:AC25)</f>
        <v>-13541.732140356071</v>
      </c>
      <c r="AE25">
        <f>-T25*J25</f>
        <v>-189270.61201527045</v>
      </c>
      <c r="AF25">
        <f>SUM(AD25:AE25)</f>
        <v>-202812.34415562652</v>
      </c>
      <c r="AG25">
        <f>$B$5^W25</f>
        <v>0.94286519761983112</v>
      </c>
      <c r="AH25">
        <f>AF25*AG25*K25</f>
        <v>-191224.70095203599</v>
      </c>
      <c r="AI25">
        <f>B10</f>
        <v>0</v>
      </c>
    </row>
    <row r="26" spans="1:35" x14ac:dyDescent="0.2">
      <c r="A26">
        <f>A25+1</f>
        <v>62</v>
      </c>
      <c r="B26">
        <f>VLOOKUP(A26,Table22[#All],3,FALSE)</f>
        <v>3.8321508600325082E-3</v>
      </c>
      <c r="C26">
        <f t="shared" ref="C26:C75" si="0">1-B26</f>
        <v>0.99616784913996748</v>
      </c>
      <c r="D26">
        <f t="shared" ref="D26:D75" si="1">$B$5*(B26+C26*D27)</f>
        <v>0.23714709048202146</v>
      </c>
      <c r="E26">
        <f t="shared" ref="E26:E75" si="2">D26-PRODUCT(C26:C45)*E45*$B$5^(20)</f>
        <v>0.10431387934298353</v>
      </c>
      <c r="G26">
        <f>G25+1</f>
        <v>62</v>
      </c>
      <c r="H26">
        <f t="shared" ref="H26:H75" si="3">B26</f>
        <v>3.8321508600325082E-3</v>
      </c>
      <c r="I26">
        <f>Lapses!B3</f>
        <v>9.92E-3</v>
      </c>
      <c r="J26">
        <f t="shared" ref="J26:J75" si="4">1-H26-I26</f>
        <v>0.98624784913996744</v>
      </c>
      <c r="K26">
        <f>J25*K25</f>
        <v>0.98653275504795779</v>
      </c>
      <c r="M26">
        <v>2</v>
      </c>
      <c r="N26">
        <f t="shared" ref="N26:N75" si="5">$B$10</f>
        <v>0</v>
      </c>
      <c r="O26">
        <f>$B$11</f>
        <v>300</v>
      </c>
      <c r="P26">
        <f>VLOOKUP(G26,'Death Benefits'!$A$1:$E$98,4,FALSE)</f>
        <v>594594.59459999995</v>
      </c>
      <c r="Q26">
        <f t="shared" ref="Q26:Q74" si="6">ABS(MIN(AD27-Q27*J27,0))*$B$5</f>
        <v>197738.55926574804</v>
      </c>
      <c r="S26">
        <v>2</v>
      </c>
      <c r="T26">
        <f t="shared" ref="T26:T75" si="7">Q26</f>
        <v>197738.55926574804</v>
      </c>
      <c r="U26">
        <f t="shared" ref="U26:U75" si="8">$B$6*P26*J26</f>
        <v>5864.1764003450089</v>
      </c>
      <c r="W26">
        <v>2</v>
      </c>
      <c r="X26">
        <f t="shared" ref="X26:X75" si="9">N26</f>
        <v>0</v>
      </c>
      <c r="Y26">
        <f t="shared" ref="Y26:Y75" si="10">-O26</f>
        <v>-300</v>
      </c>
      <c r="Z26">
        <f t="shared" ref="Z26:Z75" si="11">-P26*H26</f>
        <v>-2278.5761870670704</v>
      </c>
      <c r="AA26">
        <v>0</v>
      </c>
      <c r="AB26">
        <f t="shared" ref="AB26:AB75" si="12">SUM(X26:Y26)*$B$4</f>
        <v>-18.179099999999998</v>
      </c>
      <c r="AC26">
        <f t="shared" ref="AC26:AC75" si="13">-U26</f>
        <v>-5864.1764003450089</v>
      </c>
      <c r="AD26">
        <f t="shared" ref="AD26:AD75" si="14">SUM(X26:AC26)</f>
        <v>-8460.9316874120796</v>
      </c>
      <c r="AE26">
        <f t="shared" ref="AE26:AE75" si="15">-T26*J26</f>
        <v>-195019.22876787998</v>
      </c>
      <c r="AF26">
        <f t="shared" ref="AF26:AF75" si="16">SUM(AD26:AE26)</f>
        <v>-203480.16045529206</v>
      </c>
      <c r="AG26">
        <f t="shared" ref="AG26:AG75" si="17">$B$5^W26</f>
        <v>0.88899478088268324</v>
      </c>
      <c r="AH26">
        <f t="shared" ref="AH26:AH75" si="18">AF26*AG26*K26</f>
        <v>-178456.67300140439</v>
      </c>
      <c r="AI26">
        <f>$B$10*AG25*K26</f>
        <v>0</v>
      </c>
    </row>
    <row r="27" spans="1:35" x14ac:dyDescent="0.2">
      <c r="A27">
        <f t="shared" ref="A27:A75" si="19">A26+1</f>
        <v>63</v>
      </c>
      <c r="B27">
        <f>VLOOKUP(A27,Table22[#All],3,FALSE)</f>
        <v>4.0798598583996039E-3</v>
      </c>
      <c r="C27">
        <f t="shared" si="0"/>
        <v>0.99592014014160035</v>
      </c>
      <c r="D27">
        <f t="shared" si="1"/>
        <v>0.24863816080569648</v>
      </c>
      <c r="E27">
        <f t="shared" si="2"/>
        <v>0.11293327325670433</v>
      </c>
      <c r="G27">
        <f t="shared" ref="G27:G75" si="20">G26+1</f>
        <v>63</v>
      </c>
      <c r="H27">
        <f t="shared" si="3"/>
        <v>4.0798598583996039E-3</v>
      </c>
      <c r="I27">
        <f>Lapses!B4</f>
        <v>9.9399999999999992E-3</v>
      </c>
      <c r="J27">
        <f t="shared" si="4"/>
        <v>0.9859801401416004</v>
      </c>
      <c r="K27">
        <f t="shared" ref="K27:K75" si="21">J26*K26</f>
        <v>0.97296580777217467</v>
      </c>
      <c r="M27">
        <v>3</v>
      </c>
      <c r="N27">
        <f t="shared" si="5"/>
        <v>0</v>
      </c>
      <c r="O27">
        <f t="shared" ref="O27:O75" si="22">$B$11</f>
        <v>300</v>
      </c>
      <c r="P27">
        <f>VLOOKUP(G27,'Death Benefits'!$A$1:$E$98,4,FALSE)</f>
        <v>594594.59459999995</v>
      </c>
      <c r="Q27">
        <f t="shared" si="6"/>
        <v>203973.98306323937</v>
      </c>
      <c r="S27">
        <v>3</v>
      </c>
      <c r="T27">
        <f t="shared" si="7"/>
        <v>203973.98306323937</v>
      </c>
      <c r="U27">
        <f t="shared" si="8"/>
        <v>5862.5846171114608</v>
      </c>
      <c r="W27">
        <v>3</v>
      </c>
      <c r="X27">
        <f t="shared" si="9"/>
        <v>0</v>
      </c>
      <c r="Y27">
        <f t="shared" si="10"/>
        <v>-300</v>
      </c>
      <c r="Z27">
        <f t="shared" si="11"/>
        <v>-2425.8626185299258</v>
      </c>
      <c r="AA27">
        <v>0</v>
      </c>
      <c r="AB27">
        <f t="shared" si="12"/>
        <v>-18.179099999999998</v>
      </c>
      <c r="AC27">
        <f t="shared" si="13"/>
        <v>-5862.5846171114608</v>
      </c>
      <c r="AD27">
        <f t="shared" si="14"/>
        <v>-8606.6263356413874</v>
      </c>
      <c r="AE27">
        <f t="shared" si="15"/>
        <v>-201114.29640593319</v>
      </c>
      <c r="AF27">
        <f t="shared" si="16"/>
        <v>-209720.92274157458</v>
      </c>
      <c r="AG27">
        <f t="shared" si="17"/>
        <v>0.83820223975994956</v>
      </c>
      <c r="AH27">
        <f t="shared" si="18"/>
        <v>-171036.24579096155</v>
      </c>
      <c r="AI27">
        <f t="shared" ref="AI27:AI75" si="23">$B$10*AG26*K27</f>
        <v>0</v>
      </c>
    </row>
    <row r="28" spans="1:35" x14ac:dyDescent="0.2">
      <c r="A28">
        <f t="shared" si="19"/>
        <v>64</v>
      </c>
      <c r="B28">
        <f>VLOOKUP(A28,Table22[#All],3,FALSE)</f>
        <v>4.3593269957189545E-3</v>
      </c>
      <c r="C28">
        <f t="shared" si="0"/>
        <v>0.99564067300428105</v>
      </c>
      <c r="D28">
        <f t="shared" si="1"/>
        <v>0.26068860053450277</v>
      </c>
      <c r="E28">
        <f t="shared" si="2"/>
        <v>0.12329623384124686</v>
      </c>
      <c r="G28">
        <f t="shared" si="20"/>
        <v>64</v>
      </c>
      <c r="H28">
        <f t="shared" si="3"/>
        <v>4.3593269957189545E-3</v>
      </c>
      <c r="I28">
        <f>Lapses!B5</f>
        <v>1.0019999999999999E-2</v>
      </c>
      <c r="J28">
        <f t="shared" si="4"/>
        <v>0.98562067300428102</v>
      </c>
      <c r="K28">
        <f t="shared" si="21"/>
        <v>0.95932496350019425</v>
      </c>
      <c r="M28">
        <v>4</v>
      </c>
      <c r="N28">
        <f t="shared" si="5"/>
        <v>0</v>
      </c>
      <c r="O28">
        <f t="shared" si="22"/>
        <v>300</v>
      </c>
      <c r="P28">
        <f>VLOOKUP(G28,'Death Benefits'!$A$1:$E$98,4,FALSE)</f>
        <v>594594.59459999995</v>
      </c>
      <c r="Q28">
        <f t="shared" si="6"/>
        <v>210591.70286024327</v>
      </c>
      <c r="S28">
        <v>4</v>
      </c>
      <c r="T28">
        <f t="shared" si="7"/>
        <v>210591.70286024327</v>
      </c>
      <c r="U28">
        <f t="shared" si="8"/>
        <v>5860.4472449435962</v>
      </c>
      <c r="W28">
        <v>4</v>
      </c>
      <c r="X28">
        <f t="shared" si="9"/>
        <v>0</v>
      </c>
      <c r="Y28">
        <f t="shared" si="10"/>
        <v>-300</v>
      </c>
      <c r="Z28">
        <f t="shared" si="11"/>
        <v>-2592.0322677483473</v>
      </c>
      <c r="AA28">
        <v>0</v>
      </c>
      <c r="AB28">
        <f t="shared" si="12"/>
        <v>-18.179099999999998</v>
      </c>
      <c r="AC28">
        <f t="shared" si="13"/>
        <v>-5860.4472449435962</v>
      </c>
      <c r="AD28">
        <f t="shared" si="14"/>
        <v>-8770.6586126919428</v>
      </c>
      <c r="AE28">
        <f t="shared" si="15"/>
        <v>-207563.53590223053</v>
      </c>
      <c r="AF28">
        <f t="shared" si="16"/>
        <v>-216334.19451492248</v>
      </c>
      <c r="AG28">
        <f t="shared" si="17"/>
        <v>0.79031172043664999</v>
      </c>
      <c r="AH28">
        <f t="shared" si="18"/>
        <v>-164017.17950930292</v>
      </c>
      <c r="AI28">
        <f t="shared" si="23"/>
        <v>0</v>
      </c>
    </row>
    <row r="29" spans="1:35" x14ac:dyDescent="0.2">
      <c r="A29">
        <f t="shared" si="19"/>
        <v>65</v>
      </c>
      <c r="B29">
        <f>VLOOKUP(A29,Table22[#All],3,FALSE)</f>
        <v>4.6795073227585016E-3</v>
      </c>
      <c r="C29">
        <f t="shared" si="0"/>
        <v>0.99532049267724154</v>
      </c>
      <c r="D29">
        <f t="shared" si="1"/>
        <v>0.27331770190168092</v>
      </c>
      <c r="E29">
        <f t="shared" si="2"/>
        <v>0.1356463883672272</v>
      </c>
      <c r="G29">
        <f t="shared" si="20"/>
        <v>65</v>
      </c>
      <c r="H29">
        <f t="shared" si="3"/>
        <v>4.6795073227585016E-3</v>
      </c>
      <c r="I29">
        <f>Lapses!B6</f>
        <v>9.8499999999999994E-3</v>
      </c>
      <c r="J29">
        <f t="shared" si="4"/>
        <v>0.98547049267724152</v>
      </c>
      <c r="K29">
        <f t="shared" si="21"/>
        <v>0.94553051615486883</v>
      </c>
      <c r="M29">
        <v>5</v>
      </c>
      <c r="N29">
        <f t="shared" si="5"/>
        <v>0</v>
      </c>
      <c r="O29">
        <f t="shared" si="22"/>
        <v>300</v>
      </c>
      <c r="P29">
        <f>VLOOKUP(G29,'Death Benefits'!$A$1:$E$98,4,FALSE)</f>
        <v>594594.59459999995</v>
      </c>
      <c r="Q29">
        <f t="shared" si="6"/>
        <v>217553.73370508675</v>
      </c>
      <c r="S29">
        <v>5</v>
      </c>
      <c r="T29">
        <f t="shared" si="7"/>
        <v>217553.73370508675</v>
      </c>
      <c r="U29">
        <f t="shared" si="8"/>
        <v>5859.5542808368664</v>
      </c>
      <c r="W29">
        <v>5</v>
      </c>
      <c r="X29">
        <f t="shared" si="9"/>
        <v>0</v>
      </c>
      <c r="Y29">
        <f t="shared" si="10"/>
        <v>-300</v>
      </c>
      <c r="Z29">
        <f t="shared" si="11"/>
        <v>-2782.4097595033222</v>
      </c>
      <c r="AA29">
        <v>0</v>
      </c>
      <c r="AB29">
        <f t="shared" si="12"/>
        <v>-18.179099999999998</v>
      </c>
      <c r="AC29">
        <f t="shared" si="13"/>
        <v>-5859.5542808368664</v>
      </c>
      <c r="AD29">
        <f t="shared" si="14"/>
        <v>-8960.1431403401875</v>
      </c>
      <c r="AE29">
        <f t="shared" si="15"/>
        <v>-214392.78513812524</v>
      </c>
      <c r="AF29">
        <f t="shared" si="16"/>
        <v>-223352.92827846544</v>
      </c>
      <c r="AG29">
        <f t="shared" si="17"/>
        <v>0.74515741647077072</v>
      </c>
      <c r="AH29">
        <f t="shared" si="18"/>
        <v>-157367.56643579746</v>
      </c>
      <c r="AI29">
        <f t="shared" si="23"/>
        <v>0</v>
      </c>
    </row>
    <row r="30" spans="1:35" x14ac:dyDescent="0.2">
      <c r="A30">
        <f t="shared" si="19"/>
        <v>66</v>
      </c>
      <c r="B30">
        <f>VLOOKUP(A30,Table22[#All],3,FALSE)</f>
        <v>5.0493558873628266E-3</v>
      </c>
      <c r="C30">
        <f t="shared" si="0"/>
        <v>0.99495064411263723</v>
      </c>
      <c r="D30">
        <f t="shared" si="1"/>
        <v>0.28654129947020207</v>
      </c>
      <c r="E30">
        <f t="shared" si="2"/>
        <v>0.1502237080891074</v>
      </c>
      <c r="G30">
        <f t="shared" si="20"/>
        <v>66</v>
      </c>
      <c r="H30">
        <f t="shared" si="3"/>
        <v>5.0493558873628266E-3</v>
      </c>
      <c r="I30">
        <f>Lapses!B7</f>
        <v>9.7599999999999996E-3</v>
      </c>
      <c r="J30">
        <f t="shared" si="4"/>
        <v>0.98519064411263724</v>
      </c>
      <c r="K30">
        <f t="shared" si="21"/>
        <v>0.93179242359650505</v>
      </c>
      <c r="M30">
        <v>6</v>
      </c>
      <c r="N30">
        <f t="shared" si="5"/>
        <v>0</v>
      </c>
      <c r="O30">
        <f t="shared" si="22"/>
        <v>300</v>
      </c>
      <c r="P30">
        <f>VLOOKUP(G30,'Death Benefits'!$A$1:$E$98,4,FALSE)</f>
        <v>594594.59459999995</v>
      </c>
      <c r="Q30">
        <f t="shared" si="6"/>
        <v>224888.90804757454</v>
      </c>
      <c r="S30">
        <v>6</v>
      </c>
      <c r="T30">
        <f t="shared" si="7"/>
        <v>224888.90804757454</v>
      </c>
      <c r="U30">
        <f t="shared" si="8"/>
        <v>5857.8903163986643</v>
      </c>
      <c r="W30">
        <v>6</v>
      </c>
      <c r="X30">
        <f t="shared" si="9"/>
        <v>0</v>
      </c>
      <c r="Y30">
        <f t="shared" si="10"/>
        <v>-300</v>
      </c>
      <c r="Z30">
        <f t="shared" si="11"/>
        <v>-3002.3197168376228</v>
      </c>
      <c r="AA30">
        <v>0</v>
      </c>
      <c r="AB30">
        <f t="shared" si="12"/>
        <v>-18.179099999999998</v>
      </c>
      <c r="AC30">
        <f t="shared" si="13"/>
        <v>-5857.8903163986643</v>
      </c>
      <c r="AD30">
        <f t="shared" si="14"/>
        <v>-9178.3891332362873</v>
      </c>
      <c r="AE30">
        <f t="shared" si="15"/>
        <v>-221558.4481731776</v>
      </c>
      <c r="AF30">
        <f t="shared" si="16"/>
        <v>-230736.83730641389</v>
      </c>
      <c r="AG30">
        <f t="shared" si="17"/>
        <v>0.70258299473859609</v>
      </c>
      <c r="AH30">
        <f t="shared" si="18"/>
        <v>-151054.52665709451</v>
      </c>
      <c r="AI30">
        <f t="shared" si="23"/>
        <v>0</v>
      </c>
    </row>
    <row r="31" spans="1:35" x14ac:dyDescent="0.2">
      <c r="A31">
        <f t="shared" si="19"/>
        <v>67</v>
      </c>
      <c r="B31">
        <f>VLOOKUP(A31,Table22[#All],3,FALSE)</f>
        <v>5.4778277402998694E-3</v>
      </c>
      <c r="C31">
        <f t="shared" si="0"/>
        <v>0.99452217225970008</v>
      </c>
      <c r="D31">
        <f t="shared" si="1"/>
        <v>0.3003721727054855</v>
      </c>
      <c r="E31">
        <f t="shared" si="2"/>
        <v>0.16719583273554614</v>
      </c>
      <c r="G31">
        <f t="shared" si="20"/>
        <v>67</v>
      </c>
      <c r="H31">
        <f t="shared" si="3"/>
        <v>5.4778277402998694E-3</v>
      </c>
      <c r="I31">
        <f>Lapses!B8</f>
        <v>1.026E-2</v>
      </c>
      <c r="J31">
        <f t="shared" si="4"/>
        <v>0.98426217225970003</v>
      </c>
      <c r="K31">
        <f t="shared" si="21"/>
        <v>0.91799317798231617</v>
      </c>
      <c r="M31">
        <v>7</v>
      </c>
      <c r="N31">
        <f t="shared" si="5"/>
        <v>0</v>
      </c>
      <c r="O31">
        <f t="shared" si="22"/>
        <v>300</v>
      </c>
      <c r="P31">
        <f>VLOOKUP(G31,'Death Benefits'!$A$1:$E$98,4,FALSE)</f>
        <v>594594.59459999995</v>
      </c>
      <c r="Q31">
        <f t="shared" si="6"/>
        <v>232751.87457941522</v>
      </c>
      <c r="S31">
        <v>7</v>
      </c>
      <c r="T31">
        <f t="shared" si="7"/>
        <v>232751.87457941522</v>
      </c>
      <c r="U31">
        <f t="shared" si="8"/>
        <v>5852.3696729487165</v>
      </c>
      <c r="W31">
        <v>7</v>
      </c>
      <c r="X31">
        <f t="shared" si="9"/>
        <v>0</v>
      </c>
      <c r="Y31">
        <f t="shared" si="10"/>
        <v>-300</v>
      </c>
      <c r="Z31">
        <f t="shared" si="11"/>
        <v>-3257.0867645322346</v>
      </c>
      <c r="AA31">
        <v>0</v>
      </c>
      <c r="AB31">
        <f t="shared" si="12"/>
        <v>-18.179099999999998</v>
      </c>
      <c r="AC31">
        <f t="shared" si="13"/>
        <v>-5852.3696729487165</v>
      </c>
      <c r="AD31">
        <f t="shared" si="14"/>
        <v>-9427.63553748095</v>
      </c>
      <c r="AE31">
        <f t="shared" si="15"/>
        <v>-229088.86567105248</v>
      </c>
      <c r="AF31">
        <f t="shared" si="16"/>
        <v>-238516.50120853342</v>
      </c>
      <c r="AG31">
        <f t="shared" si="17"/>
        <v>0.66244105417853916</v>
      </c>
      <c r="AH31">
        <f t="shared" si="18"/>
        <v>-145045.78855449817</v>
      </c>
      <c r="AI31">
        <f t="shared" si="23"/>
        <v>0</v>
      </c>
    </row>
    <row r="32" spans="1:35" x14ac:dyDescent="0.2">
      <c r="A32">
        <f t="shared" si="19"/>
        <v>68</v>
      </c>
      <c r="B32">
        <f>VLOOKUP(A32,Table22[#All],3,FALSE)</f>
        <v>5.9738779301450528E-3</v>
      </c>
      <c r="C32">
        <f t="shared" si="0"/>
        <v>0.99402612206985497</v>
      </c>
      <c r="D32">
        <f t="shared" si="1"/>
        <v>0.31482053014787992</v>
      </c>
      <c r="E32">
        <f t="shared" si="2"/>
        <v>0.18667472035502636</v>
      </c>
      <c r="G32">
        <f t="shared" si="20"/>
        <v>68</v>
      </c>
      <c r="H32">
        <f t="shared" si="3"/>
        <v>5.9738779301450528E-3</v>
      </c>
      <c r="I32">
        <f>Lapses!B9</f>
        <v>9.9500000000000005E-3</v>
      </c>
      <c r="J32">
        <f t="shared" si="4"/>
        <v>0.98407612206985495</v>
      </c>
      <c r="K32">
        <f t="shared" si="21"/>
        <v>0.9035459594804599</v>
      </c>
      <c r="M32">
        <v>8</v>
      </c>
      <c r="N32">
        <f t="shared" si="5"/>
        <v>0</v>
      </c>
      <c r="O32">
        <f t="shared" si="22"/>
        <v>300</v>
      </c>
      <c r="P32">
        <f>VLOOKUP(G32,'Death Benefits'!$A$1:$E$98,4,FALSE)</f>
        <v>594594.59459999995</v>
      </c>
      <c r="Q32">
        <f t="shared" si="6"/>
        <v>240971.66525073946</v>
      </c>
      <c r="S32">
        <v>8</v>
      </c>
      <c r="T32">
        <f t="shared" si="7"/>
        <v>240971.66525073946</v>
      </c>
      <c r="U32">
        <f t="shared" si="8"/>
        <v>5851.2634285766553</v>
      </c>
      <c r="W32">
        <v>8</v>
      </c>
      <c r="X32">
        <f t="shared" si="9"/>
        <v>0</v>
      </c>
      <c r="Y32">
        <f t="shared" si="10"/>
        <v>-300</v>
      </c>
      <c r="Z32">
        <f t="shared" si="11"/>
        <v>-3552.0355260644847</v>
      </c>
      <c r="AA32">
        <v>0</v>
      </c>
      <c r="AB32">
        <f t="shared" si="12"/>
        <v>-18.179099999999998</v>
      </c>
      <c r="AC32">
        <f t="shared" si="13"/>
        <v>-5851.2634285766553</v>
      </c>
      <c r="AD32">
        <f t="shared" si="14"/>
        <v>-9721.4780546411403</v>
      </c>
      <c r="AE32">
        <f t="shared" si="15"/>
        <v>-237134.46186866291</v>
      </c>
      <c r="AF32">
        <f t="shared" si="16"/>
        <v>-246855.93992330405</v>
      </c>
      <c r="AG32">
        <f t="shared" si="17"/>
        <v>0.62459261545953759</v>
      </c>
      <c r="AH32">
        <f t="shared" si="18"/>
        <v>-139312.68906741994</v>
      </c>
      <c r="AI32">
        <f t="shared" si="23"/>
        <v>0</v>
      </c>
    </row>
    <row r="33" spans="1:35" x14ac:dyDescent="0.2">
      <c r="A33">
        <f t="shared" si="19"/>
        <v>69</v>
      </c>
      <c r="B33">
        <f>VLOOKUP(A33,Table22[#All],3,FALSE)</f>
        <v>6.5464615062046389E-3</v>
      </c>
      <c r="C33">
        <f t="shared" si="0"/>
        <v>0.99345353849379536</v>
      </c>
      <c r="D33">
        <f t="shared" si="1"/>
        <v>0.32989458184486342</v>
      </c>
      <c r="E33">
        <f t="shared" si="2"/>
        <v>0.20866402193262013</v>
      </c>
      <c r="G33">
        <f t="shared" si="20"/>
        <v>69</v>
      </c>
      <c r="H33">
        <f t="shared" si="3"/>
        <v>6.5464615062046389E-3</v>
      </c>
      <c r="I33">
        <f>Lapses!B10</f>
        <v>0.01</v>
      </c>
      <c r="J33">
        <f t="shared" si="4"/>
        <v>0.98345353849379535</v>
      </c>
      <c r="K33">
        <f t="shared" si="21"/>
        <v>0.88915800391741728</v>
      </c>
      <c r="M33">
        <v>9</v>
      </c>
      <c r="N33">
        <f t="shared" si="5"/>
        <v>0</v>
      </c>
      <c r="O33">
        <f t="shared" si="22"/>
        <v>300</v>
      </c>
      <c r="P33">
        <f>VLOOKUP(G33,'Death Benefits'!$A$1:$E$98,4,FALSE)</f>
        <v>594594.59459999995</v>
      </c>
      <c r="Q33">
        <f t="shared" si="6"/>
        <v>249646.35779370344</v>
      </c>
      <c r="S33">
        <v>9</v>
      </c>
      <c r="T33">
        <f t="shared" si="7"/>
        <v>249646.35779370344</v>
      </c>
      <c r="U33">
        <f t="shared" si="8"/>
        <v>5847.5615802865368</v>
      </c>
      <c r="W33">
        <v>9</v>
      </c>
      <c r="X33">
        <f t="shared" si="9"/>
        <v>0</v>
      </c>
      <c r="Y33">
        <f t="shared" si="10"/>
        <v>-300</v>
      </c>
      <c r="Z33">
        <f t="shared" si="11"/>
        <v>-3892.4906253462523</v>
      </c>
      <c r="AA33">
        <v>0</v>
      </c>
      <c r="AB33">
        <f t="shared" si="12"/>
        <v>-18.179099999999998</v>
      </c>
      <c r="AC33">
        <f t="shared" si="13"/>
        <v>-5847.5615802865368</v>
      </c>
      <c r="AD33">
        <f t="shared" si="14"/>
        <v>-10058.231305632789</v>
      </c>
      <c r="AE33">
        <f t="shared" si="15"/>
        <v>-245515.59394430573</v>
      </c>
      <c r="AF33">
        <f t="shared" si="16"/>
        <v>-255573.82524993853</v>
      </c>
      <c r="AG33">
        <f t="shared" si="17"/>
        <v>0.58890663980714408</v>
      </c>
      <c r="AH33">
        <f t="shared" si="18"/>
        <v>-133826.39106736882</v>
      </c>
      <c r="AI33">
        <f t="shared" si="23"/>
        <v>0</v>
      </c>
    </row>
    <row r="34" spans="1:35" x14ac:dyDescent="0.2">
      <c r="A34">
        <f t="shared" si="19"/>
        <v>70</v>
      </c>
      <c r="B34">
        <f>VLOOKUP(A34,Table22[#All],3,FALSE)</f>
        <v>8.1000770054411551E-3</v>
      </c>
      <c r="C34">
        <f t="shared" si="0"/>
        <v>0.99189992299455887</v>
      </c>
      <c r="D34">
        <f t="shared" si="1"/>
        <v>0.3456012073148968</v>
      </c>
      <c r="E34">
        <f t="shared" si="2"/>
        <v>0.2330482894686238</v>
      </c>
      <c r="G34">
        <f t="shared" si="20"/>
        <v>70</v>
      </c>
      <c r="H34">
        <f t="shared" si="3"/>
        <v>8.1000770054411551E-3</v>
      </c>
      <c r="I34">
        <f>Lapses!B11</f>
        <v>1.021E-2</v>
      </c>
      <c r="J34">
        <f t="shared" si="4"/>
        <v>0.98168992299455882</v>
      </c>
      <c r="K34">
        <f t="shared" si="21"/>
        <v>0.87444558523266402</v>
      </c>
      <c r="M34">
        <v>10</v>
      </c>
      <c r="N34">
        <f t="shared" si="5"/>
        <v>0</v>
      </c>
      <c r="O34">
        <f t="shared" si="22"/>
        <v>300</v>
      </c>
      <c r="P34">
        <f>VLOOKUP(G34,'Death Benefits'!$A$1:$E$98,4,FALSE)</f>
        <v>594594.59459999995</v>
      </c>
      <c r="Q34">
        <f t="shared" si="6"/>
        <v>258536.48476047112</v>
      </c>
      <c r="S34">
        <v>10</v>
      </c>
      <c r="T34">
        <f t="shared" si="7"/>
        <v>258536.48476047112</v>
      </c>
      <c r="U34">
        <f t="shared" si="8"/>
        <v>5837.075217858549</v>
      </c>
      <c r="W34">
        <v>10</v>
      </c>
      <c r="X34">
        <f t="shared" si="9"/>
        <v>0</v>
      </c>
      <c r="Y34">
        <f t="shared" si="10"/>
        <v>-300</v>
      </c>
      <c r="Z34">
        <f t="shared" si="11"/>
        <v>-4816.2620032790655</v>
      </c>
      <c r="AA34">
        <v>0</v>
      </c>
      <c r="AB34">
        <f t="shared" si="12"/>
        <v>-18.179099999999998</v>
      </c>
      <c r="AC34">
        <f t="shared" si="13"/>
        <v>-5837.075217858549</v>
      </c>
      <c r="AD34">
        <f t="shared" si="14"/>
        <v>-10971.516321137615</v>
      </c>
      <c r="AE34">
        <f t="shared" si="15"/>
        <v>-253802.66181579084</v>
      </c>
      <c r="AF34">
        <f t="shared" si="16"/>
        <v>-264774.17813692847</v>
      </c>
      <c r="AG34">
        <f t="shared" si="17"/>
        <v>0.55525957532139369</v>
      </c>
      <c r="AH34">
        <f t="shared" si="18"/>
        <v>-128559.58882407458</v>
      </c>
      <c r="AI34">
        <f t="shared" si="23"/>
        <v>0</v>
      </c>
    </row>
    <row r="35" spans="1:35" x14ac:dyDescent="0.2">
      <c r="A35">
        <f t="shared" si="19"/>
        <v>71</v>
      </c>
      <c r="B35">
        <f>VLOOKUP(A35,Table22[#All],3,FALSE)</f>
        <v>8.9461322656270211E-3</v>
      </c>
      <c r="C35">
        <f t="shared" si="0"/>
        <v>0.99105386773437298</v>
      </c>
      <c r="D35">
        <f t="shared" si="1"/>
        <v>0.36137065681683966</v>
      </c>
      <c r="E35">
        <f t="shared" si="2"/>
        <v>0.25891839534007555</v>
      </c>
      <c r="G35">
        <f t="shared" si="20"/>
        <v>71</v>
      </c>
      <c r="H35">
        <f t="shared" si="3"/>
        <v>8.9461322656270211E-3</v>
      </c>
      <c r="I35">
        <f>Lapses!B12</f>
        <v>9.9500000000000005E-3</v>
      </c>
      <c r="J35">
        <f t="shared" si="4"/>
        <v>0.98110386773437297</v>
      </c>
      <c r="K35">
        <f t="shared" si="21"/>
        <v>0.85843441922998587</v>
      </c>
      <c r="M35">
        <v>11</v>
      </c>
      <c r="N35">
        <f t="shared" si="5"/>
        <v>0</v>
      </c>
      <c r="O35">
        <f t="shared" si="22"/>
        <v>300</v>
      </c>
      <c r="P35">
        <f>VLOOKUP(G35,'Death Benefits'!$A$1:$E$98,4,FALSE)</f>
        <v>594594.59459999995</v>
      </c>
      <c r="Q35">
        <f t="shared" si="6"/>
        <v>267792.16473943781</v>
      </c>
      <c r="S35">
        <v>11</v>
      </c>
      <c r="T35">
        <f t="shared" si="7"/>
        <v>267792.16473943781</v>
      </c>
      <c r="U35">
        <f t="shared" si="8"/>
        <v>5833.5905649601154</v>
      </c>
      <c r="W35">
        <v>11</v>
      </c>
      <c r="X35">
        <f t="shared" si="9"/>
        <v>0</v>
      </c>
      <c r="Y35">
        <f t="shared" si="10"/>
        <v>-300</v>
      </c>
      <c r="Z35">
        <f t="shared" si="11"/>
        <v>-5319.3218877184781</v>
      </c>
      <c r="AA35">
        <v>0</v>
      </c>
      <c r="AB35">
        <f t="shared" si="12"/>
        <v>-18.179099999999998</v>
      </c>
      <c r="AC35">
        <f t="shared" si="13"/>
        <v>-5833.5905649601154</v>
      </c>
      <c r="AD35">
        <f t="shared" si="14"/>
        <v>-11471.091552678594</v>
      </c>
      <c r="AE35">
        <f t="shared" si="15"/>
        <v>-262731.92857482278</v>
      </c>
      <c r="AF35">
        <f t="shared" si="16"/>
        <v>-274203.0201275014</v>
      </c>
      <c r="AG35">
        <f t="shared" si="17"/>
        <v>0.52353492921570932</v>
      </c>
      <c r="AH35">
        <f t="shared" si="18"/>
        <v>-123232.43178426447</v>
      </c>
      <c r="AI35">
        <f t="shared" si="23"/>
        <v>0</v>
      </c>
    </row>
    <row r="36" spans="1:35" x14ac:dyDescent="0.2">
      <c r="A36">
        <f t="shared" si="19"/>
        <v>72</v>
      </c>
      <c r="B36">
        <f>VLOOKUP(A36,Table22[#All],3,FALSE)</f>
        <v>9.90843878106718E-3</v>
      </c>
      <c r="C36">
        <f t="shared" si="0"/>
        <v>0.99009156121893283</v>
      </c>
      <c r="D36">
        <f t="shared" si="1"/>
        <v>0.37770146954582123</v>
      </c>
      <c r="E36">
        <f t="shared" si="2"/>
        <v>0.28637144969042538</v>
      </c>
      <c r="G36">
        <f t="shared" si="20"/>
        <v>72</v>
      </c>
      <c r="H36">
        <f t="shared" si="3"/>
        <v>9.90843878106718E-3</v>
      </c>
      <c r="I36">
        <f>Lapses!B13</f>
        <v>0.01</v>
      </c>
      <c r="J36">
        <f t="shared" si="4"/>
        <v>0.98009156121893282</v>
      </c>
      <c r="K36">
        <f t="shared" si="21"/>
        <v>0.84221332890284928</v>
      </c>
      <c r="M36">
        <v>12</v>
      </c>
      <c r="N36">
        <f t="shared" si="5"/>
        <v>0</v>
      </c>
      <c r="O36">
        <f t="shared" si="22"/>
        <v>300</v>
      </c>
      <c r="P36">
        <f>VLOOKUP(G36,'Death Benefits'!$A$1:$E$98,4,FALSE)</f>
        <v>594594.59459999995</v>
      </c>
      <c r="Q36">
        <f t="shared" si="6"/>
        <v>277507.04385476495</v>
      </c>
      <c r="S36">
        <v>12</v>
      </c>
      <c r="T36">
        <f t="shared" si="7"/>
        <v>277507.04385476495</v>
      </c>
      <c r="U36">
        <f t="shared" si="8"/>
        <v>5827.5714451385238</v>
      </c>
      <c r="W36">
        <v>12</v>
      </c>
      <c r="X36">
        <f t="shared" si="9"/>
        <v>0</v>
      </c>
      <c r="Y36">
        <f t="shared" si="10"/>
        <v>-300</v>
      </c>
      <c r="Z36">
        <f t="shared" si="11"/>
        <v>-5891.5041401475573</v>
      </c>
      <c r="AA36">
        <v>0</v>
      </c>
      <c r="AB36">
        <f t="shared" si="12"/>
        <v>-18.179099999999998</v>
      </c>
      <c r="AC36">
        <f t="shared" si="13"/>
        <v>-5827.5714451385238</v>
      </c>
      <c r="AD36">
        <f t="shared" si="14"/>
        <v>-12037.254685286081</v>
      </c>
      <c r="AE36">
        <f t="shared" si="15"/>
        <v>-271982.31186086743</v>
      </c>
      <c r="AF36">
        <f t="shared" si="16"/>
        <v>-284019.56654615351</v>
      </c>
      <c r="AG36">
        <f t="shared" si="17"/>
        <v>0.49362286449585413</v>
      </c>
      <c r="AH36">
        <f t="shared" si="18"/>
        <v>-118077.08919686625</v>
      </c>
      <c r="AI36">
        <f t="shared" si="23"/>
        <v>0</v>
      </c>
    </row>
    <row r="37" spans="1:35" x14ac:dyDescent="0.2">
      <c r="A37">
        <f t="shared" si="19"/>
        <v>73</v>
      </c>
      <c r="B37">
        <f>VLOOKUP(A37,Table22[#All],3,FALSE)</f>
        <v>1.0997064745093061E-2</v>
      </c>
      <c r="C37">
        <f t="shared" si="0"/>
        <v>0.9890029352549069</v>
      </c>
      <c r="D37">
        <f t="shared" si="1"/>
        <v>0.39459038135204688</v>
      </c>
      <c r="E37">
        <f t="shared" si="2"/>
        <v>0.31491676869757523</v>
      </c>
      <c r="G37">
        <f t="shared" si="20"/>
        <v>73</v>
      </c>
      <c r="H37">
        <f t="shared" si="3"/>
        <v>1.0997064745093061E-2</v>
      </c>
      <c r="I37">
        <f>Lapses!B14</f>
        <v>9.8799999999999999E-3</v>
      </c>
      <c r="J37">
        <f t="shared" si="4"/>
        <v>0.9791229352549069</v>
      </c>
      <c r="K37">
        <f t="shared" si="21"/>
        <v>0.82544617640378815</v>
      </c>
      <c r="M37">
        <v>13</v>
      </c>
      <c r="N37">
        <f t="shared" si="5"/>
        <v>0</v>
      </c>
      <c r="O37">
        <f t="shared" si="22"/>
        <v>300</v>
      </c>
      <c r="P37">
        <f>VLOOKUP(G37,'Death Benefits'!$A$1:$E$98,4,FALSE)</f>
        <v>594594.59459999995</v>
      </c>
      <c r="Q37">
        <f t="shared" si="6"/>
        <v>287649.63177631533</v>
      </c>
      <c r="S37">
        <v>13</v>
      </c>
      <c r="T37">
        <f t="shared" si="7"/>
        <v>287649.63177631533</v>
      </c>
      <c r="U37">
        <f t="shared" si="8"/>
        <v>5821.8120475145342</v>
      </c>
      <c r="W37">
        <v>13</v>
      </c>
      <c r="X37">
        <f t="shared" si="9"/>
        <v>0</v>
      </c>
      <c r="Y37">
        <f t="shared" si="10"/>
        <v>-300</v>
      </c>
      <c r="Z37">
        <f t="shared" si="11"/>
        <v>-6538.7952538985601</v>
      </c>
      <c r="AA37">
        <v>0</v>
      </c>
      <c r="AB37">
        <f t="shared" si="12"/>
        <v>-18.179099999999998</v>
      </c>
      <c r="AC37">
        <f t="shared" si="13"/>
        <v>-5821.8120475145342</v>
      </c>
      <c r="AD37">
        <f t="shared" si="14"/>
        <v>-12678.786401413094</v>
      </c>
      <c r="AE37">
        <f t="shared" si="15"/>
        <v>-281644.35178981902</v>
      </c>
      <c r="AF37">
        <f t="shared" si="16"/>
        <v>-294323.13819123211</v>
      </c>
      <c r="AG37">
        <f t="shared" si="17"/>
        <v>0.46541981968255058</v>
      </c>
      <c r="AH37">
        <f t="shared" si="18"/>
        <v>-113072.77202096158</v>
      </c>
      <c r="AI37">
        <f t="shared" si="23"/>
        <v>0</v>
      </c>
    </row>
    <row r="38" spans="1:35" x14ac:dyDescent="0.2">
      <c r="A38">
        <f t="shared" si="19"/>
        <v>74</v>
      </c>
      <c r="B38">
        <f>VLOOKUP(A38,Table22[#All],3,FALSE)</f>
        <v>1.222207834199754E-2</v>
      </c>
      <c r="C38">
        <f t="shared" si="0"/>
        <v>0.98777792165800249</v>
      </c>
      <c r="D38">
        <f t="shared" si="1"/>
        <v>0.41203549091663022</v>
      </c>
      <c r="E38">
        <f t="shared" si="2"/>
        <v>0.34404948847894246</v>
      </c>
      <c r="G38">
        <f t="shared" si="20"/>
        <v>74</v>
      </c>
      <c r="H38">
        <f t="shared" si="3"/>
        <v>1.222207834199754E-2</v>
      </c>
      <c r="I38">
        <f>Lapses!B15</f>
        <v>9.9699999999999997E-3</v>
      </c>
      <c r="J38">
        <f t="shared" si="4"/>
        <v>0.97780792165800245</v>
      </c>
      <c r="K38">
        <f t="shared" si="21"/>
        <v>0.80821328313541674</v>
      </c>
      <c r="M38">
        <v>14</v>
      </c>
      <c r="N38">
        <f t="shared" si="5"/>
        <v>0</v>
      </c>
      <c r="O38">
        <f t="shared" si="22"/>
        <v>300</v>
      </c>
      <c r="P38">
        <f>VLOOKUP(G38,'Death Benefits'!$A$1:$E$98,4,FALSE)</f>
        <v>594594.59459999995</v>
      </c>
      <c r="Q38">
        <f t="shared" si="6"/>
        <v>298300.89958138461</v>
      </c>
      <c r="S38">
        <v>14</v>
      </c>
      <c r="T38">
        <f t="shared" si="7"/>
        <v>298300.89958138461</v>
      </c>
      <c r="U38">
        <f t="shared" si="8"/>
        <v>5813.9930477490852</v>
      </c>
      <c r="W38">
        <v>14</v>
      </c>
      <c r="X38">
        <f t="shared" si="9"/>
        <v>0</v>
      </c>
      <c r="Y38">
        <f t="shared" si="10"/>
        <v>-300</v>
      </c>
      <c r="Z38">
        <f t="shared" si="11"/>
        <v>-7267.1817169294673</v>
      </c>
      <c r="AA38">
        <v>0</v>
      </c>
      <c r="AB38">
        <f t="shared" si="12"/>
        <v>-18.179099999999998</v>
      </c>
      <c r="AC38">
        <f t="shared" si="13"/>
        <v>-5813.9930477490852</v>
      </c>
      <c r="AD38">
        <f t="shared" si="14"/>
        <v>-13399.353864678553</v>
      </c>
      <c r="AE38">
        <f t="shared" si="15"/>
        <v>-291680.98264838615</v>
      </c>
      <c r="AF38">
        <f t="shared" si="16"/>
        <v>-305080.33651306469</v>
      </c>
      <c r="AG38">
        <f t="shared" si="17"/>
        <v>0.43882815026117428</v>
      </c>
      <c r="AH38">
        <f t="shared" si="18"/>
        <v>-108201.84840591784</v>
      </c>
      <c r="AI38">
        <f t="shared" si="23"/>
        <v>0</v>
      </c>
    </row>
    <row r="39" spans="1:35" x14ac:dyDescent="0.2">
      <c r="A39">
        <f t="shared" si="19"/>
        <v>75</v>
      </c>
      <c r="B39">
        <f>VLOOKUP(A39,Table22[#All],3,FALSE)</f>
        <v>1.3593547764290359E-2</v>
      </c>
      <c r="C39">
        <f t="shared" si="0"/>
        <v>0.98640645223570966</v>
      </c>
      <c r="D39">
        <f t="shared" si="1"/>
        <v>0.43003747897574435</v>
      </c>
      <c r="E39">
        <f t="shared" si="2"/>
        <v>0.37329362560864915</v>
      </c>
      <c r="G39">
        <f t="shared" si="20"/>
        <v>75</v>
      </c>
      <c r="H39">
        <f t="shared" si="3"/>
        <v>1.3593547764290359E-2</v>
      </c>
      <c r="I39">
        <f>Lapses!B16</f>
        <v>1.0149999999999999E-2</v>
      </c>
      <c r="J39">
        <f t="shared" si="4"/>
        <v>0.97625645223570967</v>
      </c>
      <c r="K39">
        <f t="shared" si="21"/>
        <v>0.79027735063903248</v>
      </c>
      <c r="M39">
        <v>15</v>
      </c>
      <c r="N39">
        <f t="shared" si="5"/>
        <v>0</v>
      </c>
      <c r="O39">
        <f t="shared" si="22"/>
        <v>300</v>
      </c>
      <c r="P39">
        <f>VLOOKUP(G39,'Death Benefits'!$A$1:$E$98,4,FALSE)</f>
        <v>594594.59459999995</v>
      </c>
      <c r="Q39">
        <f t="shared" si="6"/>
        <v>309520.55813286401</v>
      </c>
      <c r="S39">
        <v>15</v>
      </c>
      <c r="T39">
        <f t="shared" si="7"/>
        <v>309520.55813286401</v>
      </c>
      <c r="U39">
        <f t="shared" si="8"/>
        <v>5804.7680944272606</v>
      </c>
      <c r="W39">
        <v>15</v>
      </c>
      <c r="X39">
        <f t="shared" si="9"/>
        <v>0</v>
      </c>
      <c r="Y39">
        <f t="shared" si="10"/>
        <v>-300</v>
      </c>
      <c r="Z39">
        <f t="shared" si="11"/>
        <v>-8082.6500220839616</v>
      </c>
      <c r="AA39">
        <v>0</v>
      </c>
      <c r="AB39">
        <f t="shared" si="12"/>
        <v>-18.179099999999998</v>
      </c>
      <c r="AC39">
        <f t="shared" si="13"/>
        <v>-5804.7680944272606</v>
      </c>
      <c r="AD39">
        <f t="shared" si="14"/>
        <v>-14205.597216511222</v>
      </c>
      <c r="AE39">
        <f t="shared" si="15"/>
        <v>-302171.44197680656</v>
      </c>
      <c r="AF39">
        <f t="shared" si="16"/>
        <v>-316377.03919331776</v>
      </c>
      <c r="AG39">
        <f t="shared" si="17"/>
        <v>0.41375579061714701</v>
      </c>
      <c r="AH39">
        <f t="shared" si="18"/>
        <v>-103449.54325189129</v>
      </c>
      <c r="AI39">
        <f t="shared" si="23"/>
        <v>0</v>
      </c>
    </row>
    <row r="40" spans="1:35" x14ac:dyDescent="0.2">
      <c r="A40">
        <f t="shared" si="19"/>
        <v>76</v>
      </c>
      <c r="B40">
        <f>VLOOKUP(A40,Table22[#All],3,FALSE)</f>
        <v>1.5121541188047542E-2</v>
      </c>
      <c r="C40">
        <f t="shared" si="0"/>
        <v>0.98487845881195246</v>
      </c>
      <c r="D40">
        <f t="shared" si="1"/>
        <v>0.44860099132766779</v>
      </c>
      <c r="E40">
        <f t="shared" si="2"/>
        <v>0.40230670188583495</v>
      </c>
      <c r="G40">
        <f t="shared" si="20"/>
        <v>76</v>
      </c>
      <c r="H40">
        <f t="shared" si="3"/>
        <v>1.5121541188047542E-2</v>
      </c>
      <c r="I40">
        <f>Lapses!B17</f>
        <v>9.9600000000000001E-3</v>
      </c>
      <c r="J40">
        <f t="shared" si="4"/>
        <v>0.97491845881195249</v>
      </c>
      <c r="K40">
        <f t="shared" si="21"/>
        <v>0.7715133626170978</v>
      </c>
      <c r="M40">
        <v>16</v>
      </c>
      <c r="N40">
        <f t="shared" si="5"/>
        <v>0</v>
      </c>
      <c r="O40">
        <f t="shared" si="22"/>
        <v>300</v>
      </c>
      <c r="P40">
        <f>VLOOKUP(G40,'Death Benefits'!$A$1:$E$98,4,FALSE)</f>
        <v>594594.59459999995</v>
      </c>
      <c r="Q40">
        <f t="shared" si="6"/>
        <v>321227.27224324644</v>
      </c>
      <c r="S40">
        <v>16</v>
      </c>
      <c r="T40">
        <f t="shared" si="7"/>
        <v>321227.27224324644</v>
      </c>
      <c r="U40">
        <f t="shared" si="8"/>
        <v>5796.8124578534971</v>
      </c>
      <c r="W40">
        <v>16</v>
      </c>
      <c r="X40">
        <f t="shared" si="9"/>
        <v>0</v>
      </c>
      <c r="Y40">
        <f t="shared" si="10"/>
        <v>-300</v>
      </c>
      <c r="Z40">
        <f t="shared" si="11"/>
        <v>-8991.1866524343295</v>
      </c>
      <c r="AA40">
        <v>0</v>
      </c>
      <c r="AB40">
        <f t="shared" si="12"/>
        <v>-18.179099999999998</v>
      </c>
      <c r="AC40">
        <f t="shared" si="13"/>
        <v>-5796.8124578534971</v>
      </c>
      <c r="AD40">
        <f t="shared" si="14"/>
        <v>-15106.178210287826</v>
      </c>
      <c r="AE40">
        <f t="shared" si="15"/>
        <v>-313170.39718375332</v>
      </c>
      <c r="AF40">
        <f t="shared" si="16"/>
        <v>-328276.57539404114</v>
      </c>
      <c r="AG40">
        <f t="shared" si="17"/>
        <v>0.39011593528658578</v>
      </c>
      <c r="AH40">
        <f t="shared" si="18"/>
        <v>-98804.571077502638</v>
      </c>
      <c r="AI40">
        <f t="shared" si="23"/>
        <v>0</v>
      </c>
    </row>
    <row r="41" spans="1:35" x14ac:dyDescent="0.2">
      <c r="A41">
        <f t="shared" si="19"/>
        <v>77</v>
      </c>
      <c r="B41">
        <f>VLOOKUP(A41,Table22[#All],3,FALSE)</f>
        <v>1.6816126797561962E-2</v>
      </c>
      <c r="C41">
        <f t="shared" si="0"/>
        <v>0.98318387320243805</v>
      </c>
      <c r="D41">
        <f t="shared" si="1"/>
        <v>0.46773621687979222</v>
      </c>
      <c r="E41">
        <f t="shared" si="2"/>
        <v>0.43081999028054407</v>
      </c>
      <c r="G41">
        <f t="shared" si="20"/>
        <v>77</v>
      </c>
      <c r="H41">
        <f t="shared" si="3"/>
        <v>1.6816126797561962E-2</v>
      </c>
      <c r="I41">
        <f>Lapses!B18</f>
        <v>9.9399999999999992E-3</v>
      </c>
      <c r="J41">
        <f t="shared" si="4"/>
        <v>0.9732438732024381</v>
      </c>
      <c r="K41">
        <f t="shared" si="21"/>
        <v>0.75216261843548804</v>
      </c>
      <c r="M41">
        <v>17</v>
      </c>
      <c r="N41">
        <f t="shared" si="5"/>
        <v>0</v>
      </c>
      <c r="O41">
        <f t="shared" si="22"/>
        <v>300</v>
      </c>
      <c r="P41">
        <f>VLOOKUP(G41,'Death Benefits'!$A$1:$E$98,4,FALSE)</f>
        <v>594594.59459999995</v>
      </c>
      <c r="Q41">
        <f t="shared" si="6"/>
        <v>333512.36780257529</v>
      </c>
      <c r="S41">
        <v>17</v>
      </c>
      <c r="T41">
        <f t="shared" si="7"/>
        <v>333512.36780257529</v>
      </c>
      <c r="U41">
        <f t="shared" si="8"/>
        <v>5786.8554623373748</v>
      </c>
      <c r="W41">
        <v>17</v>
      </c>
      <c r="X41">
        <f t="shared" si="9"/>
        <v>0</v>
      </c>
      <c r="Y41">
        <f t="shared" si="10"/>
        <v>-300</v>
      </c>
      <c r="Z41">
        <f t="shared" si="11"/>
        <v>-9998.7780959385509</v>
      </c>
      <c r="AA41">
        <v>0</v>
      </c>
      <c r="AB41">
        <f t="shared" si="12"/>
        <v>-18.179099999999998</v>
      </c>
      <c r="AC41">
        <f t="shared" si="13"/>
        <v>-5786.8554623373748</v>
      </c>
      <c r="AD41">
        <f t="shared" si="14"/>
        <v>-16103.812658275925</v>
      </c>
      <c r="AE41">
        <f t="shared" si="15"/>
        <v>-324588.86860109447</v>
      </c>
      <c r="AF41">
        <f t="shared" si="16"/>
        <v>-340692.68125937041</v>
      </c>
      <c r="AG41">
        <f t="shared" si="17"/>
        <v>0.36782673841863195</v>
      </c>
      <c r="AH41">
        <f t="shared" si="18"/>
        <v>-94257.918740532696</v>
      </c>
      <c r="AI41">
        <f t="shared" si="23"/>
        <v>0</v>
      </c>
    </row>
    <row r="42" spans="1:35" x14ac:dyDescent="0.2">
      <c r="A42">
        <f t="shared" si="19"/>
        <v>78</v>
      </c>
      <c r="B42">
        <f>VLOOKUP(A42,Table22[#All],3,FALSE)</f>
        <v>1.8687372793560222E-2</v>
      </c>
      <c r="C42">
        <f t="shared" si="0"/>
        <v>0.98131262720643975</v>
      </c>
      <c r="D42">
        <f t="shared" si="1"/>
        <v>0.48746070260024948</v>
      </c>
      <c r="E42">
        <f t="shared" si="2"/>
        <v>0.45870556860555267</v>
      </c>
      <c r="G42">
        <f t="shared" si="20"/>
        <v>78</v>
      </c>
      <c r="H42">
        <f t="shared" si="3"/>
        <v>1.8687372793560222E-2</v>
      </c>
      <c r="I42">
        <f>Lapses!B19</f>
        <v>9.8499999999999994E-3</v>
      </c>
      <c r="J42">
        <f t="shared" si="4"/>
        <v>0.97146262720643972</v>
      </c>
      <c r="K42">
        <f t="shared" si="21"/>
        <v>0.73203766004424198</v>
      </c>
      <c r="M42">
        <v>18</v>
      </c>
      <c r="N42">
        <f t="shared" si="5"/>
        <v>0</v>
      </c>
      <c r="O42">
        <f t="shared" si="22"/>
        <v>300</v>
      </c>
      <c r="P42">
        <f>VLOOKUP(G42,'Death Benefits'!$A$1:$E$98,4,FALSE)</f>
        <v>594594.59459999995</v>
      </c>
      <c r="Q42">
        <f t="shared" si="6"/>
        <v>346401.75865719863</v>
      </c>
      <c r="S42">
        <v>18</v>
      </c>
      <c r="T42">
        <f t="shared" si="7"/>
        <v>346401.75865719863</v>
      </c>
      <c r="U42">
        <f t="shared" si="8"/>
        <v>5776.2642699286398</v>
      </c>
      <c r="W42">
        <v>18</v>
      </c>
      <c r="X42">
        <f t="shared" si="9"/>
        <v>0</v>
      </c>
      <c r="Y42">
        <f t="shared" si="10"/>
        <v>-300</v>
      </c>
      <c r="Z42">
        <f t="shared" si="11"/>
        <v>-11111.410850326009</v>
      </c>
      <c r="AA42">
        <v>0</v>
      </c>
      <c r="AB42">
        <f t="shared" si="12"/>
        <v>-18.179099999999998</v>
      </c>
      <c r="AC42">
        <f t="shared" si="13"/>
        <v>-5776.2642699286398</v>
      </c>
      <c r="AD42">
        <f t="shared" si="14"/>
        <v>-17205.854220254649</v>
      </c>
      <c r="AE42">
        <f t="shared" si="15"/>
        <v>-336516.36253405327</v>
      </c>
      <c r="AF42">
        <f t="shared" si="16"/>
        <v>-353722.21675430791</v>
      </c>
      <c r="AG42">
        <f t="shared" si="17"/>
        <v>0.34681103040894135</v>
      </c>
      <c r="AH42">
        <f t="shared" si="18"/>
        <v>-89802.548993975259</v>
      </c>
      <c r="AI42">
        <f t="shared" si="23"/>
        <v>0</v>
      </c>
    </row>
    <row r="43" spans="1:35" x14ac:dyDescent="0.2">
      <c r="A43">
        <f t="shared" si="19"/>
        <v>79</v>
      </c>
      <c r="B43">
        <f>VLOOKUP(A43,Table22[#All],3,FALSE)</f>
        <v>2.0745347360335203E-2</v>
      </c>
      <c r="C43">
        <f t="shared" si="0"/>
        <v>0.97925465263966482</v>
      </c>
      <c r="D43">
        <f t="shared" si="1"/>
        <v>0.50780146121295777</v>
      </c>
      <c r="E43">
        <f t="shared" si="2"/>
        <v>0.4859421911191954</v>
      </c>
      <c r="G43">
        <f t="shared" si="20"/>
        <v>79</v>
      </c>
      <c r="H43">
        <f t="shared" si="3"/>
        <v>2.0745347360335203E-2</v>
      </c>
      <c r="I43">
        <f>Lapses!B20</f>
        <v>9.8399999999999998E-3</v>
      </c>
      <c r="J43">
        <f t="shared" si="4"/>
        <v>0.96941465263966486</v>
      </c>
      <c r="K43">
        <f t="shared" si="21"/>
        <v>0.71114722844063394</v>
      </c>
      <c r="M43">
        <v>19</v>
      </c>
      <c r="N43">
        <f t="shared" si="5"/>
        <v>0</v>
      </c>
      <c r="O43">
        <f t="shared" si="22"/>
        <v>300</v>
      </c>
      <c r="P43">
        <f>VLOOKUP(G43,'Death Benefits'!$A$1:$E$98,4,FALSE)</f>
        <v>594594.59459999995</v>
      </c>
      <c r="Q43">
        <f t="shared" si="6"/>
        <v>359985.61343063781</v>
      </c>
      <c r="S43">
        <v>19</v>
      </c>
      <c r="T43">
        <f t="shared" si="7"/>
        <v>359985.61343063781</v>
      </c>
      <c r="U43">
        <f t="shared" si="8"/>
        <v>5764.0871238558129</v>
      </c>
      <c r="W43">
        <v>19</v>
      </c>
      <c r="X43">
        <f t="shared" si="9"/>
        <v>0</v>
      </c>
      <c r="Y43">
        <f t="shared" si="10"/>
        <v>-300</v>
      </c>
      <c r="Z43">
        <f t="shared" si="11"/>
        <v>-12335.07140355469</v>
      </c>
      <c r="AA43">
        <v>0</v>
      </c>
      <c r="AB43">
        <f t="shared" si="12"/>
        <v>-18.179099999999998</v>
      </c>
      <c r="AC43">
        <f t="shared" si="13"/>
        <v>-5764.0871238558129</v>
      </c>
      <c r="AD43">
        <f t="shared" si="14"/>
        <v>-18417.337627410503</v>
      </c>
      <c r="AE43">
        <f t="shared" si="15"/>
        <v>-348975.32839913841</v>
      </c>
      <c r="AF43">
        <f t="shared" si="16"/>
        <v>-367392.66602654889</v>
      </c>
      <c r="AG43">
        <f t="shared" si="17"/>
        <v>0.32699605072326376</v>
      </c>
      <c r="AH43">
        <f t="shared" si="18"/>
        <v>-85434.348486878356</v>
      </c>
      <c r="AI43">
        <f t="shared" si="23"/>
        <v>0</v>
      </c>
    </row>
    <row r="44" spans="1:35" x14ac:dyDescent="0.2">
      <c r="A44">
        <f t="shared" si="19"/>
        <v>80</v>
      </c>
      <c r="B44">
        <f>VLOOKUP(A44,Table22[#All],3,FALSE)</f>
        <v>2.300011867396292E-2</v>
      </c>
      <c r="C44">
        <f t="shared" si="0"/>
        <v>0.9769998813260371</v>
      </c>
      <c r="D44">
        <f t="shared" si="1"/>
        <v>0.52879744569188025</v>
      </c>
      <c r="E44">
        <f t="shared" si="2"/>
        <v>0.51257919481161418</v>
      </c>
      <c r="G44">
        <f t="shared" si="20"/>
        <v>80</v>
      </c>
      <c r="H44">
        <f t="shared" si="3"/>
        <v>2.300011867396292E-2</v>
      </c>
      <c r="I44">
        <f>Lapses!B21</f>
        <v>0</v>
      </c>
      <c r="J44">
        <f t="shared" si="4"/>
        <v>0.9769998813260371</v>
      </c>
      <c r="K44">
        <f t="shared" si="21"/>
        <v>0.68939654343443757</v>
      </c>
      <c r="M44">
        <v>20</v>
      </c>
      <c r="N44">
        <f t="shared" si="5"/>
        <v>0</v>
      </c>
      <c r="O44">
        <f t="shared" si="22"/>
        <v>300</v>
      </c>
      <c r="P44">
        <f>VLOOKUP(G44,'Death Benefits'!$A$1:$E$98,4,FALSE)</f>
        <v>594594.59459999995</v>
      </c>
      <c r="Q44">
        <f t="shared" si="6"/>
        <v>370518.51770346484</v>
      </c>
      <c r="S44">
        <v>20</v>
      </c>
      <c r="T44">
        <f t="shared" si="7"/>
        <v>370518.51770346484</v>
      </c>
      <c r="U44">
        <f t="shared" si="8"/>
        <v>5809.1884836130312</v>
      </c>
      <c r="W44">
        <v>20</v>
      </c>
      <c r="X44">
        <f t="shared" si="9"/>
        <v>0</v>
      </c>
      <c r="Y44">
        <f t="shared" si="10"/>
        <v>-300</v>
      </c>
      <c r="Z44">
        <f t="shared" si="11"/>
        <v>-13675.746238696871</v>
      </c>
      <c r="AA44">
        <v>0</v>
      </c>
      <c r="AB44">
        <f t="shared" si="12"/>
        <v>-18.179099999999998</v>
      </c>
      <c r="AC44">
        <f t="shared" si="13"/>
        <v>-5809.1884836130312</v>
      </c>
      <c r="AD44">
        <f t="shared" si="14"/>
        <v>-19803.113822309901</v>
      </c>
      <c r="AE44">
        <f t="shared" si="15"/>
        <v>-361996.5478253843</v>
      </c>
      <c r="AF44">
        <f t="shared" si="16"/>
        <v>-381799.66164769419</v>
      </c>
      <c r="AG44">
        <f t="shared" si="17"/>
        <v>0.30831319598609441</v>
      </c>
      <c r="AH44">
        <f t="shared" si="18"/>
        <v>-81151.537787148773</v>
      </c>
      <c r="AI44">
        <f t="shared" si="23"/>
        <v>0</v>
      </c>
    </row>
    <row r="45" spans="1:35" x14ac:dyDescent="0.2">
      <c r="A45">
        <f t="shared" si="19"/>
        <v>81</v>
      </c>
      <c r="B45">
        <f>VLOOKUP(A45,Table22[#All],3,FALSE)</f>
        <v>2.5756337837752642E-2</v>
      </c>
      <c r="C45">
        <f t="shared" si="0"/>
        <v>0.97424366216224734</v>
      </c>
      <c r="D45">
        <f t="shared" si="1"/>
        <v>0.55050248839797344</v>
      </c>
      <c r="E45">
        <f t="shared" si="2"/>
        <v>0.53987695394173729</v>
      </c>
      <c r="G45">
        <f t="shared" si="20"/>
        <v>81</v>
      </c>
      <c r="H45">
        <f t="shared" si="3"/>
        <v>2.5756337837752642E-2</v>
      </c>
      <c r="I45">
        <f>Lapses!B22</f>
        <v>0</v>
      </c>
      <c r="J45">
        <f t="shared" si="4"/>
        <v>0.97424366216224734</v>
      </c>
      <c r="K45">
        <f t="shared" si="21"/>
        <v>0.67354034112202565</v>
      </c>
      <c r="M45">
        <v>21</v>
      </c>
      <c r="N45">
        <f t="shared" si="5"/>
        <v>0</v>
      </c>
      <c r="O45">
        <f t="shared" si="22"/>
        <v>300</v>
      </c>
      <c r="P45">
        <f>VLOOKUP(G45,'Death Benefits'!$A$1:$E$98,4,FALSE)</f>
        <v>594594.59459999995</v>
      </c>
      <c r="Q45">
        <f t="shared" si="6"/>
        <v>381367.91055705817</v>
      </c>
      <c r="S45">
        <v>21</v>
      </c>
      <c r="T45">
        <f t="shared" si="7"/>
        <v>381367.91055705817</v>
      </c>
      <c r="U45">
        <f t="shared" si="8"/>
        <v>5792.800153449808</v>
      </c>
      <c r="W45">
        <v>21</v>
      </c>
      <c r="X45">
        <f t="shared" si="9"/>
        <v>0</v>
      </c>
      <c r="Y45">
        <f t="shared" si="10"/>
        <v>-300</v>
      </c>
      <c r="Z45">
        <f t="shared" si="11"/>
        <v>-15314.579255019171</v>
      </c>
      <c r="AA45">
        <v>0</v>
      </c>
      <c r="AB45">
        <f t="shared" si="12"/>
        <v>-18.179099999999998</v>
      </c>
      <c r="AC45">
        <f t="shared" si="13"/>
        <v>-5792.800153449808</v>
      </c>
      <c r="AD45">
        <f t="shared" si="14"/>
        <v>-21425.558508468977</v>
      </c>
      <c r="AE45">
        <f t="shared" si="15"/>
        <v>-371545.26981227275</v>
      </c>
      <c r="AF45">
        <f t="shared" si="16"/>
        <v>-392970.82832074171</v>
      </c>
      <c r="AG45">
        <f t="shared" si="17"/>
        <v>0.29069778246223066</v>
      </c>
      <c r="AH45">
        <f t="shared" si="18"/>
        <v>-76942.384922216967</v>
      </c>
      <c r="AI45">
        <f t="shared" si="23"/>
        <v>0</v>
      </c>
    </row>
    <row r="46" spans="1:35" x14ac:dyDescent="0.2">
      <c r="A46">
        <f t="shared" si="19"/>
        <v>82</v>
      </c>
      <c r="B46">
        <f>VLOOKUP(A46,Table22[#All],3,FALSE)</f>
        <v>2.9642195532380441E-2</v>
      </c>
      <c r="C46">
        <f t="shared" si="0"/>
        <v>0.97035780446761954</v>
      </c>
      <c r="D46">
        <f t="shared" si="1"/>
        <v>0.57285971828752613</v>
      </c>
      <c r="E46">
        <f t="shared" si="2"/>
        <v>0.56621872128498496</v>
      </c>
      <c r="G46">
        <f t="shared" si="20"/>
        <v>82</v>
      </c>
      <c r="H46">
        <f t="shared" si="3"/>
        <v>2.9642195532380441E-2</v>
      </c>
      <c r="I46">
        <f>Lapses!B23</f>
        <v>0</v>
      </c>
      <c r="J46">
        <f t="shared" si="4"/>
        <v>0.97035780446761954</v>
      </c>
      <c r="K46">
        <f t="shared" si="21"/>
        <v>0.65619240854873162</v>
      </c>
      <c r="M46">
        <v>22</v>
      </c>
      <c r="N46">
        <f t="shared" si="5"/>
        <v>0</v>
      </c>
      <c r="O46">
        <f t="shared" si="22"/>
        <v>300</v>
      </c>
      <c r="P46">
        <f>VLOOKUP(G46,'Death Benefits'!$A$1:$E$98,4,FALSE)</f>
        <v>594594.59459999995</v>
      </c>
      <c r="Q46">
        <f t="shared" si="6"/>
        <v>392396.18282115523</v>
      </c>
      <c r="S46">
        <v>22</v>
      </c>
      <c r="T46">
        <f t="shared" si="7"/>
        <v>392396.18282115523</v>
      </c>
      <c r="U46">
        <f t="shared" si="8"/>
        <v>5769.6950536437025</v>
      </c>
      <c r="W46">
        <v>22</v>
      </c>
      <c r="X46">
        <f t="shared" si="9"/>
        <v>0</v>
      </c>
      <c r="Y46">
        <f t="shared" si="10"/>
        <v>-300</v>
      </c>
      <c r="Z46">
        <f t="shared" si="11"/>
        <v>-17625.089235629679</v>
      </c>
      <c r="AA46">
        <v>0</v>
      </c>
      <c r="AB46">
        <f t="shared" si="12"/>
        <v>-18.179099999999998</v>
      </c>
      <c r="AC46">
        <f t="shared" si="13"/>
        <v>-5769.6950536437025</v>
      </c>
      <c r="AD46">
        <f t="shared" si="14"/>
        <v>-23712.963389273384</v>
      </c>
      <c r="AE46">
        <f t="shared" si="15"/>
        <v>-380764.69844381086</v>
      </c>
      <c r="AF46">
        <f t="shared" si="16"/>
        <v>-404477.66183308425</v>
      </c>
      <c r="AG46">
        <f t="shared" si="17"/>
        <v>0.27408882210889779</v>
      </c>
      <c r="AH46">
        <f t="shared" si="18"/>
        <v>-72747.331622773156</v>
      </c>
      <c r="AI46">
        <f t="shared" si="23"/>
        <v>0</v>
      </c>
    </row>
    <row r="47" spans="1:35" x14ac:dyDescent="0.2">
      <c r="A47">
        <f t="shared" si="19"/>
        <v>83</v>
      </c>
      <c r="B47">
        <f>VLOOKUP(A47,Table22[#All],3,FALSE)</f>
        <v>3.4936475339539003E-2</v>
      </c>
      <c r="C47">
        <f t="shared" si="0"/>
        <v>0.96506352466046097</v>
      </c>
      <c r="D47">
        <f t="shared" si="1"/>
        <v>0.59558556693558318</v>
      </c>
      <c r="E47">
        <f t="shared" si="2"/>
        <v>0.59158881378972494</v>
      </c>
      <c r="G47">
        <f t="shared" si="20"/>
        <v>83</v>
      </c>
      <c r="H47">
        <f t="shared" si="3"/>
        <v>3.4936475339539003E-2</v>
      </c>
      <c r="I47">
        <f>Lapses!B24</f>
        <v>0</v>
      </c>
      <c r="J47">
        <f t="shared" si="4"/>
        <v>0.96506352466046097</v>
      </c>
      <c r="K47">
        <f t="shared" si="21"/>
        <v>0.63674142486766638</v>
      </c>
      <c r="M47">
        <v>23</v>
      </c>
      <c r="N47">
        <f t="shared" si="5"/>
        <v>0</v>
      </c>
      <c r="O47">
        <f t="shared" si="22"/>
        <v>300</v>
      </c>
      <c r="P47">
        <f>VLOOKUP(G47,'Death Benefits'!$A$1:$E$98,4,FALSE)</f>
        <v>594594.59459999995</v>
      </c>
      <c r="Q47">
        <f t="shared" si="6"/>
        <v>403439.53565668</v>
      </c>
      <c r="S47">
        <v>23</v>
      </c>
      <c r="T47">
        <f t="shared" si="7"/>
        <v>403439.53565668</v>
      </c>
      <c r="U47">
        <f t="shared" si="8"/>
        <v>5738.2155520873384</v>
      </c>
      <c r="W47">
        <v>23</v>
      </c>
      <c r="X47">
        <f t="shared" si="9"/>
        <v>0</v>
      </c>
      <c r="Y47">
        <f t="shared" si="10"/>
        <v>-300</v>
      </c>
      <c r="Z47">
        <f t="shared" si="11"/>
        <v>-20773.039391266087</v>
      </c>
      <c r="AA47">
        <v>0</v>
      </c>
      <c r="AB47">
        <f t="shared" si="12"/>
        <v>-18.179099999999998</v>
      </c>
      <c r="AC47">
        <f t="shared" si="13"/>
        <v>-5738.2155520873384</v>
      </c>
      <c r="AD47">
        <f t="shared" si="14"/>
        <v>-26829.434043353427</v>
      </c>
      <c r="AE47">
        <f t="shared" si="15"/>
        <v>-389344.78026821534</v>
      </c>
      <c r="AF47">
        <f t="shared" si="16"/>
        <v>-416174.21431156876</v>
      </c>
      <c r="AG47">
        <f t="shared" si="17"/>
        <v>0.25842881142309265</v>
      </c>
      <c r="AH47">
        <f t="shared" si="18"/>
        <v>-68482.436489577813</v>
      </c>
      <c r="AI47">
        <f t="shared" si="23"/>
        <v>0</v>
      </c>
    </row>
    <row r="48" spans="1:35" x14ac:dyDescent="0.2">
      <c r="A48">
        <f t="shared" si="19"/>
        <v>84</v>
      </c>
      <c r="B48">
        <f>VLOOKUP(A48,Table22[#All],3,FALSE)</f>
        <v>4.1918623095186423E-2</v>
      </c>
      <c r="C48">
        <f t="shared" si="0"/>
        <v>0.95808137690481354</v>
      </c>
      <c r="D48">
        <f t="shared" si="1"/>
        <v>0.61834249761495341</v>
      </c>
      <c r="E48">
        <f t="shared" si="2"/>
        <v>0.61602882795047198</v>
      </c>
      <c r="G48">
        <f t="shared" si="20"/>
        <v>84</v>
      </c>
      <c r="H48">
        <f t="shared" si="3"/>
        <v>4.1918623095186423E-2</v>
      </c>
      <c r="I48">
        <f>Lapses!B25</f>
        <v>0</v>
      </c>
      <c r="J48">
        <f t="shared" si="4"/>
        <v>0.95808137690481354</v>
      </c>
      <c r="K48">
        <f t="shared" si="21"/>
        <v>0.61449592378011419</v>
      </c>
      <c r="M48">
        <v>24</v>
      </c>
      <c r="N48">
        <f t="shared" si="5"/>
        <v>0</v>
      </c>
      <c r="O48">
        <f t="shared" si="22"/>
        <v>300</v>
      </c>
      <c r="P48">
        <f>VLOOKUP(G48,'Death Benefits'!$A$1:$E$98,4,FALSE)</f>
        <v>594594.59459999995</v>
      </c>
      <c r="Q48">
        <f t="shared" si="6"/>
        <v>414314.80131346622</v>
      </c>
      <c r="S48">
        <v>24</v>
      </c>
      <c r="T48">
        <f t="shared" si="7"/>
        <v>414314.80131346622</v>
      </c>
      <c r="U48">
        <f t="shared" si="8"/>
        <v>5696.7000789452741</v>
      </c>
      <c r="W48">
        <v>24</v>
      </c>
      <c r="X48">
        <f t="shared" si="9"/>
        <v>0</v>
      </c>
      <c r="Y48">
        <f t="shared" si="10"/>
        <v>-300</v>
      </c>
      <c r="Z48">
        <f t="shared" si="11"/>
        <v>-24924.586705472568</v>
      </c>
      <c r="AA48">
        <v>0</v>
      </c>
      <c r="AB48">
        <f t="shared" si="12"/>
        <v>-18.179099999999998</v>
      </c>
      <c r="AC48">
        <f t="shared" si="13"/>
        <v>-5696.7000789452741</v>
      </c>
      <c r="AD48">
        <f t="shared" si="14"/>
        <v>-30939.465884417841</v>
      </c>
      <c r="AE48">
        <f t="shared" si="15"/>
        <v>-396947.29531444999</v>
      </c>
      <c r="AF48">
        <f t="shared" si="16"/>
        <v>-427886.76119886781</v>
      </c>
      <c r="AG48">
        <f t="shared" si="17"/>
        <v>0.24366353235309232</v>
      </c>
      <c r="AH48">
        <f t="shared" si="18"/>
        <v>-64067.590615561829</v>
      </c>
      <c r="AI48">
        <f t="shared" si="23"/>
        <v>0</v>
      </c>
    </row>
    <row r="49" spans="1:35" x14ac:dyDescent="0.2">
      <c r="A49">
        <f t="shared" si="19"/>
        <v>85</v>
      </c>
      <c r="B49">
        <f>VLOOKUP(A49,Table22[#All],3,FALSE)</f>
        <v>5.0587611757557584E-2</v>
      </c>
      <c r="C49">
        <f t="shared" si="0"/>
        <v>0.94941238824244245</v>
      </c>
      <c r="D49">
        <f t="shared" si="1"/>
        <v>0.64075306090489992</v>
      </c>
      <c r="E49">
        <f t="shared" si="2"/>
        <v>0.63946611369978945</v>
      </c>
      <c r="G49">
        <f t="shared" si="20"/>
        <v>85</v>
      </c>
      <c r="H49">
        <f t="shared" si="3"/>
        <v>5.0587611757557584E-2</v>
      </c>
      <c r="I49">
        <f>Lapses!B26</f>
        <v>0</v>
      </c>
      <c r="J49">
        <f t="shared" si="4"/>
        <v>0.94941238824244245</v>
      </c>
      <c r="K49">
        <f t="shared" si="21"/>
        <v>0.58873710075764718</v>
      </c>
      <c r="M49">
        <v>25</v>
      </c>
      <c r="N49">
        <f t="shared" si="5"/>
        <v>0</v>
      </c>
      <c r="O49">
        <f t="shared" si="22"/>
        <v>300</v>
      </c>
      <c r="P49">
        <f>VLOOKUP(G49,'Death Benefits'!$A$1:$E$98,4,FALSE)</f>
        <v>594594.59459999995</v>
      </c>
      <c r="Q49">
        <f t="shared" si="6"/>
        <v>424871.83228109707</v>
      </c>
      <c r="S49">
        <v>25</v>
      </c>
      <c r="T49">
        <f t="shared" si="7"/>
        <v>424871.83228109707</v>
      </c>
      <c r="U49">
        <f t="shared" si="8"/>
        <v>5645.1547409523282</v>
      </c>
      <c r="W49">
        <v>25</v>
      </c>
      <c r="X49">
        <f t="shared" si="9"/>
        <v>0</v>
      </c>
      <c r="Y49">
        <f t="shared" si="10"/>
        <v>-300</v>
      </c>
      <c r="Z49">
        <f t="shared" si="11"/>
        <v>-30079.120504767143</v>
      </c>
      <c r="AA49">
        <v>0</v>
      </c>
      <c r="AB49">
        <f t="shared" si="12"/>
        <v>-18.179099999999998</v>
      </c>
      <c r="AC49">
        <f t="shared" si="13"/>
        <v>-5645.1547409523282</v>
      </c>
      <c r="AD49">
        <f t="shared" si="14"/>
        <v>-36042.454345719474</v>
      </c>
      <c r="AE49">
        <f t="shared" si="15"/>
        <v>-403378.58098293882</v>
      </c>
      <c r="AF49">
        <f t="shared" si="16"/>
        <v>-439421.0353286583</v>
      </c>
      <c r="AG49">
        <f t="shared" si="17"/>
        <v>0.2297418645848445</v>
      </c>
      <c r="AH49">
        <f t="shared" si="18"/>
        <v>-59435.016734114361</v>
      </c>
      <c r="AI49">
        <f t="shared" si="23"/>
        <v>0</v>
      </c>
    </row>
    <row r="50" spans="1:35" x14ac:dyDescent="0.2">
      <c r="A50">
        <f t="shared" si="19"/>
        <v>86</v>
      </c>
      <c r="B50">
        <f>VLOOKUP(A50,Table22[#All],3,FALSE)</f>
        <v>6.0809208244851337E-2</v>
      </c>
      <c r="C50">
        <f t="shared" si="0"/>
        <v>0.93919079175514864</v>
      </c>
      <c r="D50">
        <f t="shared" si="1"/>
        <v>0.6625078524026764</v>
      </c>
      <c r="E50">
        <f t="shared" si="2"/>
        <v>0.66182080939754828</v>
      </c>
      <c r="G50">
        <f t="shared" si="20"/>
        <v>86</v>
      </c>
      <c r="H50">
        <f t="shared" si="3"/>
        <v>6.0809208244851337E-2</v>
      </c>
      <c r="I50">
        <f>Lapses!B27</f>
        <v>0</v>
      </c>
      <c r="J50">
        <f t="shared" si="4"/>
        <v>0.93919079175514864</v>
      </c>
      <c r="K50">
        <f t="shared" si="21"/>
        <v>0.55895429687724929</v>
      </c>
      <c r="M50">
        <v>26</v>
      </c>
      <c r="N50">
        <f t="shared" si="5"/>
        <v>0</v>
      </c>
      <c r="O50">
        <f t="shared" si="22"/>
        <v>300</v>
      </c>
      <c r="P50">
        <f>VLOOKUP(G50,'Death Benefits'!$A$1:$E$98,4,FALSE)</f>
        <v>594594.59459999995</v>
      </c>
      <c r="Q50">
        <f t="shared" si="6"/>
        <v>435011.0871863151</v>
      </c>
      <c r="S50">
        <v>26</v>
      </c>
      <c r="T50">
        <f t="shared" si="7"/>
        <v>435011.0871863151</v>
      </c>
      <c r="U50">
        <f t="shared" si="8"/>
        <v>5584.3776807570557</v>
      </c>
      <c r="W50">
        <v>26</v>
      </c>
      <c r="X50">
        <f t="shared" si="9"/>
        <v>0</v>
      </c>
      <c r="Y50">
        <f t="shared" si="10"/>
        <v>-300</v>
      </c>
      <c r="Z50">
        <f t="shared" si="11"/>
        <v>-36156.826524294353</v>
      </c>
      <c r="AA50">
        <v>0</v>
      </c>
      <c r="AB50">
        <f t="shared" si="12"/>
        <v>-18.179099999999998</v>
      </c>
      <c r="AC50">
        <f t="shared" si="13"/>
        <v>-5584.3776807570557</v>
      </c>
      <c r="AD50">
        <f t="shared" si="14"/>
        <v>-42059.383305051408</v>
      </c>
      <c r="AE50">
        <f t="shared" si="15"/>
        <v>-408558.4073967833</v>
      </c>
      <c r="AF50">
        <f t="shared" si="16"/>
        <v>-450617.79070183472</v>
      </c>
      <c r="AG50">
        <f t="shared" si="17"/>
        <v>0.21661560855333792</v>
      </c>
      <c r="AH50">
        <f t="shared" si="18"/>
        <v>-54560.002328911454</v>
      </c>
      <c r="AI50">
        <f t="shared" si="23"/>
        <v>0</v>
      </c>
    </row>
    <row r="51" spans="1:35" x14ac:dyDescent="0.2">
      <c r="A51">
        <f t="shared" si="19"/>
        <v>87</v>
      </c>
      <c r="B51">
        <f>VLOOKUP(A51,Table22[#All],3,FALSE)</f>
        <v>7.27869185015802E-2</v>
      </c>
      <c r="C51">
        <f t="shared" si="0"/>
        <v>0.92721308149841986</v>
      </c>
      <c r="D51">
        <f t="shared" si="1"/>
        <v>0.6834017519383877</v>
      </c>
      <c r="E51">
        <f t="shared" si="2"/>
        <v>0.68305027855821698</v>
      </c>
      <c r="G51">
        <f t="shared" si="20"/>
        <v>87</v>
      </c>
      <c r="H51">
        <f t="shared" si="3"/>
        <v>7.27869185015802E-2</v>
      </c>
      <c r="I51">
        <f>Lapses!B28</f>
        <v>0</v>
      </c>
      <c r="J51">
        <f t="shared" si="4"/>
        <v>0.92721308149841986</v>
      </c>
      <c r="K51">
        <f t="shared" si="21"/>
        <v>0.52496472863908616</v>
      </c>
      <c r="M51">
        <v>27</v>
      </c>
      <c r="N51">
        <f t="shared" si="5"/>
        <v>0</v>
      </c>
      <c r="O51">
        <f t="shared" si="22"/>
        <v>300</v>
      </c>
      <c r="P51">
        <f>VLOOKUP(G51,'Death Benefits'!$A$1:$E$98,4,FALSE)</f>
        <v>594594.59459999995</v>
      </c>
      <c r="Q51">
        <f t="shared" si="6"/>
        <v>444624.23578910955</v>
      </c>
      <c r="S51">
        <v>27</v>
      </c>
      <c r="T51">
        <f t="shared" si="7"/>
        <v>444624.23578910955</v>
      </c>
      <c r="U51">
        <f t="shared" si="8"/>
        <v>5513.1588630136966</v>
      </c>
      <c r="W51">
        <v>27</v>
      </c>
      <c r="X51">
        <f t="shared" si="9"/>
        <v>0</v>
      </c>
      <c r="Y51">
        <f t="shared" si="10"/>
        <v>-300</v>
      </c>
      <c r="Z51">
        <f t="shared" si="11"/>
        <v>-43278.708298630314</v>
      </c>
      <c r="AA51">
        <v>0</v>
      </c>
      <c r="AB51">
        <f t="shared" si="12"/>
        <v>-18.179099999999998</v>
      </c>
      <c r="AC51">
        <f t="shared" si="13"/>
        <v>-5513.1588630136966</v>
      </c>
      <c r="AD51">
        <f t="shared" si="14"/>
        <v>-49110.046261644013</v>
      </c>
      <c r="AE51">
        <f t="shared" si="15"/>
        <v>-412261.40777490026</v>
      </c>
      <c r="AF51">
        <f t="shared" si="16"/>
        <v>-461371.45403654425</v>
      </c>
      <c r="AG51">
        <f t="shared" si="17"/>
        <v>0.20423931856618294</v>
      </c>
      <c r="AH51">
        <f t="shared" si="18"/>
        <v>-49467.526846525136</v>
      </c>
      <c r="AI51">
        <f t="shared" si="23"/>
        <v>0</v>
      </c>
    </row>
    <row r="52" spans="1:35" x14ac:dyDescent="0.2">
      <c r="A52">
        <f t="shared" si="19"/>
        <v>88</v>
      </c>
      <c r="B52">
        <f>VLOOKUP(A52,Table22[#All],3,FALSE)</f>
        <v>8.6353180653904613E-2</v>
      </c>
      <c r="C52">
        <f t="shared" si="0"/>
        <v>0.91364681934609537</v>
      </c>
      <c r="D52">
        <f t="shared" si="1"/>
        <v>0.70321152970071532</v>
      </c>
      <c r="E52">
        <f t="shared" si="2"/>
        <v>0.70303965907567445</v>
      </c>
      <c r="G52">
        <f t="shared" si="20"/>
        <v>88</v>
      </c>
      <c r="H52">
        <f t="shared" si="3"/>
        <v>8.6353180653904613E-2</v>
      </c>
      <c r="I52">
        <f>Lapses!B29</f>
        <v>0</v>
      </c>
      <c r="J52">
        <f t="shared" si="4"/>
        <v>0.91364681934609537</v>
      </c>
      <c r="K52">
        <f t="shared" si="21"/>
        <v>0.48675416371942887</v>
      </c>
      <c r="M52">
        <v>28</v>
      </c>
      <c r="N52">
        <f t="shared" si="5"/>
        <v>0</v>
      </c>
      <c r="O52">
        <f t="shared" si="22"/>
        <v>300</v>
      </c>
      <c r="P52">
        <f>VLOOKUP(G52,'Death Benefits'!$A$1:$E$98,4,FALSE)</f>
        <v>594594.59459999995</v>
      </c>
      <c r="Q52">
        <f t="shared" si="6"/>
        <v>453645.01214699907</v>
      </c>
      <c r="S52">
        <v>28</v>
      </c>
      <c r="T52">
        <f t="shared" si="7"/>
        <v>453645.01214699907</v>
      </c>
      <c r="U52">
        <f t="shared" si="8"/>
        <v>5432.4946015667101</v>
      </c>
      <c r="W52">
        <v>28</v>
      </c>
      <c r="X52">
        <f t="shared" si="9"/>
        <v>0</v>
      </c>
      <c r="Y52">
        <f t="shared" si="10"/>
        <v>-300</v>
      </c>
      <c r="Z52">
        <f t="shared" si="11"/>
        <v>-51345.134443328971</v>
      </c>
      <c r="AA52">
        <v>0</v>
      </c>
      <c r="AB52">
        <f t="shared" si="12"/>
        <v>-18.179099999999998</v>
      </c>
      <c r="AC52">
        <f t="shared" si="13"/>
        <v>-5432.4946015667101</v>
      </c>
      <c r="AD52">
        <f t="shared" si="14"/>
        <v>-57095.80814489568</v>
      </c>
      <c r="AE52">
        <f t="shared" si="15"/>
        <v>-414471.32246032648</v>
      </c>
      <c r="AF52">
        <f t="shared" si="16"/>
        <v>-471567.13060522219</v>
      </c>
      <c r="AG52">
        <f t="shared" si="17"/>
        <v>0.19257014546164372</v>
      </c>
      <c r="AH52">
        <f t="shared" si="18"/>
        <v>-44202.024374216693</v>
      </c>
      <c r="AI52">
        <f t="shared" si="23"/>
        <v>0</v>
      </c>
    </row>
    <row r="53" spans="1:35" x14ac:dyDescent="0.2">
      <c r="A53">
        <f t="shared" si="19"/>
        <v>89</v>
      </c>
      <c r="B53">
        <f>VLOOKUP(A53,Table22[#All],3,FALSE)</f>
        <v>0.10153151506094842</v>
      </c>
      <c r="C53">
        <f t="shared" si="0"/>
        <v>0.89846848493905163</v>
      </c>
      <c r="D53">
        <f t="shared" si="1"/>
        <v>0.72180063909604997</v>
      </c>
      <c r="E53">
        <f t="shared" si="2"/>
        <v>0.72172073816951499</v>
      </c>
      <c r="G53">
        <f t="shared" si="20"/>
        <v>89</v>
      </c>
      <c r="H53">
        <f t="shared" si="3"/>
        <v>0.10153151506094842</v>
      </c>
      <c r="I53">
        <f>Lapses!B30</f>
        <v>0</v>
      </c>
      <c r="J53">
        <f t="shared" si="4"/>
        <v>0.89846848493905163</v>
      </c>
      <c r="K53">
        <f t="shared" si="21"/>
        <v>0.44472139348572476</v>
      </c>
      <c r="M53">
        <v>29</v>
      </c>
      <c r="N53">
        <f t="shared" si="5"/>
        <v>0</v>
      </c>
      <c r="O53">
        <f t="shared" si="22"/>
        <v>300</v>
      </c>
      <c r="P53">
        <f>VLOOKUP(G53,'Death Benefits'!$A$1:$E$98,4,FALSE)</f>
        <v>594594.59459999995</v>
      </c>
      <c r="Q53">
        <f t="shared" si="6"/>
        <v>462012.89385660447</v>
      </c>
      <c r="S53">
        <v>29</v>
      </c>
      <c r="T53">
        <f t="shared" si="7"/>
        <v>462012.89385660447</v>
      </c>
      <c r="U53">
        <f t="shared" si="8"/>
        <v>5342.2450456321158</v>
      </c>
      <c r="W53">
        <v>29</v>
      </c>
      <c r="X53">
        <f t="shared" si="9"/>
        <v>0</v>
      </c>
      <c r="Y53">
        <f t="shared" si="10"/>
        <v>-300</v>
      </c>
      <c r="Z53">
        <f t="shared" si="11"/>
        <v>-60370.09003678841</v>
      </c>
      <c r="AA53">
        <v>0</v>
      </c>
      <c r="AB53">
        <f t="shared" si="12"/>
        <v>-18.179099999999998</v>
      </c>
      <c r="AC53">
        <f t="shared" si="13"/>
        <v>-5342.2450456321158</v>
      </c>
      <c r="AD53">
        <f t="shared" si="14"/>
        <v>-66030.51418242052</v>
      </c>
      <c r="AE53">
        <f t="shared" si="15"/>
        <v>-415104.02476565028</v>
      </c>
      <c r="AF53">
        <f t="shared" si="16"/>
        <v>-481134.53894807078</v>
      </c>
      <c r="AG53">
        <f t="shared" si="17"/>
        <v>0.18156768825637232</v>
      </c>
      <c r="AH53">
        <f t="shared" si="18"/>
        <v>-38850.187616537609</v>
      </c>
      <c r="AI53">
        <f t="shared" si="23"/>
        <v>0</v>
      </c>
    </row>
    <row r="54" spans="1:35" x14ac:dyDescent="0.2">
      <c r="A54">
        <f t="shared" si="19"/>
        <v>90</v>
      </c>
      <c r="B54">
        <f>VLOOKUP(A54,Table22[#All],3,FALSE)</f>
        <v>0.1182371156749888</v>
      </c>
      <c r="C54">
        <f t="shared" si="0"/>
        <v>0.88176288432501115</v>
      </c>
      <c r="D54">
        <f t="shared" si="1"/>
        <v>0.73904437216565089</v>
      </c>
      <c r="E54">
        <f t="shared" si="2"/>
        <v>0.73900949418825157</v>
      </c>
      <c r="G54">
        <f t="shared" si="20"/>
        <v>90</v>
      </c>
      <c r="H54">
        <f t="shared" si="3"/>
        <v>0.1182371156749888</v>
      </c>
      <c r="I54">
        <f>Lapses!B31</f>
        <v>0</v>
      </c>
      <c r="J54">
        <f t="shared" si="4"/>
        <v>0.88176288432501115</v>
      </c>
      <c r="K54">
        <f t="shared" si="21"/>
        <v>0.39956815662510292</v>
      </c>
      <c r="M54">
        <v>30</v>
      </c>
      <c r="N54">
        <f t="shared" si="5"/>
        <v>0</v>
      </c>
      <c r="O54">
        <f t="shared" si="22"/>
        <v>300</v>
      </c>
      <c r="P54">
        <f>VLOOKUP(G54,'Death Benefits'!$A$1:$E$98,4,FALSE)</f>
        <v>594594.59459999995</v>
      </c>
      <c r="Q54">
        <f t="shared" si="6"/>
        <v>469678.70063371077</v>
      </c>
      <c r="S54">
        <v>30</v>
      </c>
      <c r="T54">
        <f t="shared" si="7"/>
        <v>469678.70063371077</v>
      </c>
      <c r="U54">
        <f t="shared" si="8"/>
        <v>5242.9144473855667</v>
      </c>
      <c r="W54">
        <v>30</v>
      </c>
      <c r="X54">
        <f t="shared" si="9"/>
        <v>0</v>
      </c>
      <c r="Y54">
        <f t="shared" si="10"/>
        <v>-300</v>
      </c>
      <c r="Z54">
        <f t="shared" si="11"/>
        <v>-70303.149861443264</v>
      </c>
      <c r="AA54">
        <v>0</v>
      </c>
      <c r="AB54">
        <f t="shared" si="12"/>
        <v>-18.179099999999998</v>
      </c>
      <c r="AC54">
        <f t="shared" si="13"/>
        <v>-5242.9144473855667</v>
      </c>
      <c r="AD54">
        <f t="shared" si="14"/>
        <v>-75864.243408828828</v>
      </c>
      <c r="AE54">
        <f t="shared" si="15"/>
        <v>-414145.24577680428</v>
      </c>
      <c r="AF54">
        <f t="shared" si="16"/>
        <v>-490009.48918563314</v>
      </c>
      <c r="AG54">
        <f t="shared" si="17"/>
        <v>0.1711938542692204</v>
      </c>
      <c r="AH54">
        <f t="shared" si="18"/>
        <v>-33518.419354770071</v>
      </c>
      <c r="AI54">
        <f t="shared" si="23"/>
        <v>0</v>
      </c>
    </row>
    <row r="55" spans="1:35" x14ac:dyDescent="0.2">
      <c r="A55">
        <f t="shared" si="19"/>
        <v>91</v>
      </c>
      <c r="B55">
        <f>VLOOKUP(A55,Table22[#All],3,FALSE)</f>
        <v>0.13504900334517561</v>
      </c>
      <c r="C55">
        <f t="shared" si="0"/>
        <v>0.86495099665482433</v>
      </c>
      <c r="D55">
        <f t="shared" si="1"/>
        <v>0.75484139800269945</v>
      </c>
      <c r="E55">
        <f t="shared" si="2"/>
        <v>0.7548276112132315</v>
      </c>
      <c r="G55">
        <f t="shared" si="20"/>
        <v>91</v>
      </c>
      <c r="H55">
        <f t="shared" si="3"/>
        <v>0.13504900334517561</v>
      </c>
      <c r="I55">
        <f>Lapses!B32</f>
        <v>0</v>
      </c>
      <c r="J55">
        <f t="shared" si="4"/>
        <v>0.86495099665482433</v>
      </c>
      <c r="K55">
        <f t="shared" si="21"/>
        <v>0.35232437027017854</v>
      </c>
      <c r="M55">
        <v>31</v>
      </c>
      <c r="N55">
        <f t="shared" si="5"/>
        <v>0</v>
      </c>
      <c r="O55">
        <f t="shared" si="22"/>
        <v>300</v>
      </c>
      <c r="P55">
        <f>VLOOKUP(G55,'Death Benefits'!$A$1:$E$98,4,FALSE)</f>
        <v>594594.59459999995</v>
      </c>
      <c r="Q55">
        <f t="shared" si="6"/>
        <v>476766.06430152786</v>
      </c>
      <c r="S55">
        <v>31</v>
      </c>
      <c r="T55">
        <f t="shared" si="7"/>
        <v>476766.06430152786</v>
      </c>
      <c r="U55">
        <f t="shared" si="8"/>
        <v>5142.951872048412</v>
      </c>
      <c r="W55">
        <v>31</v>
      </c>
      <c r="X55">
        <f t="shared" si="9"/>
        <v>0</v>
      </c>
      <c r="Y55">
        <f t="shared" si="10"/>
        <v>-300</v>
      </c>
      <c r="Z55">
        <f t="shared" si="11"/>
        <v>-80299.407395158734</v>
      </c>
      <c r="AA55">
        <v>0</v>
      </c>
      <c r="AB55">
        <f t="shared" si="12"/>
        <v>-18.179099999999998</v>
      </c>
      <c r="AC55">
        <f t="shared" si="13"/>
        <v>-5142.951872048412</v>
      </c>
      <c r="AD55">
        <f t="shared" si="14"/>
        <v>-85760.538367207133</v>
      </c>
      <c r="AE55">
        <f t="shared" si="15"/>
        <v>-412379.2824888046</v>
      </c>
      <c r="AF55">
        <f t="shared" si="16"/>
        <v>-498139.82085601171</v>
      </c>
      <c r="AG55">
        <f t="shared" si="17"/>
        <v>0.16141272723684905</v>
      </c>
      <c r="AH55">
        <f t="shared" si="18"/>
        <v>-28329.031025095992</v>
      </c>
      <c r="AI55">
        <f t="shared" si="23"/>
        <v>0</v>
      </c>
    </row>
    <row r="56" spans="1:35" x14ac:dyDescent="0.2">
      <c r="A56">
        <f t="shared" si="19"/>
        <v>92</v>
      </c>
      <c r="B56">
        <f>VLOOKUP(A56,Table22[#All],3,FALSE)</f>
        <v>0.15267886028307862</v>
      </c>
      <c r="C56">
        <f t="shared" si="0"/>
        <v>0.84732113971692136</v>
      </c>
      <c r="D56">
        <f t="shared" si="1"/>
        <v>0.76944650208650778</v>
      </c>
      <c r="E56">
        <f t="shared" si="2"/>
        <v>0.76944229151075483</v>
      </c>
      <c r="G56">
        <f t="shared" si="20"/>
        <v>92</v>
      </c>
      <c r="H56">
        <f t="shared" si="3"/>
        <v>0.15267886028307862</v>
      </c>
      <c r="I56">
        <f>Lapses!B33</f>
        <v>0</v>
      </c>
      <c r="J56">
        <f t="shared" si="4"/>
        <v>0.84732113971692136</v>
      </c>
      <c r="K56">
        <f t="shared" si="21"/>
        <v>0.30474331521097431</v>
      </c>
      <c r="M56">
        <v>32</v>
      </c>
      <c r="N56">
        <f t="shared" si="5"/>
        <v>0</v>
      </c>
      <c r="O56">
        <f t="shared" si="22"/>
        <v>300</v>
      </c>
      <c r="P56">
        <f>VLOOKUP(G56,'Death Benefits'!$A$1:$E$98,4,FALSE)</f>
        <v>594594.59459999995</v>
      </c>
      <c r="Q56">
        <f t="shared" si="6"/>
        <v>483309.46612184733</v>
      </c>
      <c r="S56">
        <v>32</v>
      </c>
      <c r="T56">
        <f t="shared" si="7"/>
        <v>483309.46612184733</v>
      </c>
      <c r="U56">
        <f t="shared" si="8"/>
        <v>5038.1256956599282</v>
      </c>
      <c r="W56">
        <v>32</v>
      </c>
      <c r="X56">
        <f t="shared" si="9"/>
        <v>0</v>
      </c>
      <c r="Y56">
        <f t="shared" si="10"/>
        <v>-300</v>
      </c>
      <c r="Z56">
        <f t="shared" si="11"/>
        <v>-90782.025034007165</v>
      </c>
      <c r="AA56">
        <v>0</v>
      </c>
      <c r="AB56">
        <f t="shared" si="12"/>
        <v>-18.179099999999998</v>
      </c>
      <c r="AC56">
        <f t="shared" si="13"/>
        <v>-5038.1256956599282</v>
      </c>
      <c r="AD56">
        <f t="shared" si="14"/>
        <v>-96138.329829667084</v>
      </c>
      <c r="AE56">
        <f t="shared" si="15"/>
        <v>-409518.32767034048</v>
      </c>
      <c r="AF56">
        <f t="shared" si="16"/>
        <v>-505656.65750000754</v>
      </c>
      <c r="AG56">
        <f t="shared" si="17"/>
        <v>0.15219044296452758</v>
      </c>
      <c r="AH56">
        <f t="shared" si="18"/>
        <v>-23451.860298293566</v>
      </c>
      <c r="AI56">
        <f t="shared" si="23"/>
        <v>0</v>
      </c>
    </row>
    <row r="57" spans="1:35" x14ac:dyDescent="0.2">
      <c r="A57">
        <f t="shared" si="19"/>
        <v>93</v>
      </c>
      <c r="B57">
        <f>VLOOKUP(A57,Table22[#All],3,FALSE)</f>
        <v>0.17061673476361602</v>
      </c>
      <c r="C57">
        <f t="shared" si="0"/>
        <v>0.82938326523638395</v>
      </c>
      <c r="D57">
        <f t="shared" si="1"/>
        <v>0.78293076897856728</v>
      </c>
      <c r="E57">
        <f t="shared" si="2"/>
        <v>0.78293076897856728</v>
      </c>
      <c r="G57">
        <f t="shared" si="20"/>
        <v>93</v>
      </c>
      <c r="H57">
        <f t="shared" si="3"/>
        <v>0.17061673476361602</v>
      </c>
      <c r="I57">
        <f>Lapses!B34</f>
        <v>0</v>
      </c>
      <c r="J57">
        <f t="shared" si="4"/>
        <v>0.82938326523638395</v>
      </c>
      <c r="K57">
        <f t="shared" si="21"/>
        <v>0.25821545316567579</v>
      </c>
      <c r="M57">
        <v>33</v>
      </c>
      <c r="N57">
        <f t="shared" si="5"/>
        <v>0</v>
      </c>
      <c r="O57">
        <f t="shared" si="22"/>
        <v>300</v>
      </c>
      <c r="P57">
        <f>VLOOKUP(G57,'Death Benefits'!$A$1:$E$98,4,FALSE)</f>
        <v>594594.59459999995</v>
      </c>
      <c r="Q57">
        <f t="shared" si="6"/>
        <v>489398.75139919348</v>
      </c>
      <c r="S57">
        <v>33</v>
      </c>
      <c r="T57">
        <f t="shared" si="7"/>
        <v>489398.75139919348</v>
      </c>
      <c r="U57">
        <f t="shared" si="8"/>
        <v>4931.4680636125195</v>
      </c>
      <c r="W57">
        <v>33</v>
      </c>
      <c r="X57">
        <f t="shared" si="9"/>
        <v>0</v>
      </c>
      <c r="Y57">
        <f t="shared" si="10"/>
        <v>-300</v>
      </c>
      <c r="Z57">
        <f t="shared" si="11"/>
        <v>-101447.78823874799</v>
      </c>
      <c r="AA57">
        <v>0</v>
      </c>
      <c r="AB57">
        <f t="shared" si="12"/>
        <v>-18.179099999999998</v>
      </c>
      <c r="AC57">
        <f t="shared" si="13"/>
        <v>-4931.4680636125195</v>
      </c>
      <c r="AD57">
        <f t="shared" si="14"/>
        <v>-106697.43540236051</v>
      </c>
      <c r="AE57">
        <f t="shared" si="15"/>
        <v>-405899.13443807239</v>
      </c>
      <c r="AF57">
        <f t="shared" si="16"/>
        <v>-512596.5698404329</v>
      </c>
      <c r="AG57">
        <f t="shared" si="17"/>
        <v>0.14349507208159892</v>
      </c>
      <c r="AH57">
        <f t="shared" si="18"/>
        <v>-18993.058763624584</v>
      </c>
      <c r="AI57">
        <f t="shared" si="23"/>
        <v>0</v>
      </c>
    </row>
    <row r="58" spans="1:35" x14ac:dyDescent="0.2">
      <c r="A58">
        <f t="shared" si="19"/>
        <v>94</v>
      </c>
      <c r="B58">
        <f>VLOOKUP(A58,Table22[#All],3,FALSE)</f>
        <v>0.18856625360296519</v>
      </c>
      <c r="C58">
        <f t="shared" si="0"/>
        <v>0.81143374639703481</v>
      </c>
      <c r="D58">
        <f t="shared" si="1"/>
        <v>0.79547938531736218</v>
      </c>
      <c r="E58">
        <f t="shared" si="2"/>
        <v>0.79547938531736218</v>
      </c>
      <c r="G58">
        <f t="shared" si="20"/>
        <v>94</v>
      </c>
      <c r="H58">
        <f t="shared" si="3"/>
        <v>0.18856625360296519</v>
      </c>
      <c r="I58">
        <f>Lapses!B35</f>
        <v>0</v>
      </c>
      <c r="J58">
        <f t="shared" si="4"/>
        <v>0.81143374639703481</v>
      </c>
      <c r="K58">
        <f t="shared" si="21"/>
        <v>0.21415957568104077</v>
      </c>
      <c r="M58">
        <v>34</v>
      </c>
      <c r="N58">
        <f t="shared" si="5"/>
        <v>0</v>
      </c>
      <c r="O58">
        <f t="shared" si="22"/>
        <v>300</v>
      </c>
      <c r="P58">
        <f>VLOOKUP(G58,'Death Benefits'!$A$1:$E$98,4,FALSE)</f>
        <v>594594.59459999995</v>
      </c>
      <c r="Q58">
        <f t="shared" si="6"/>
        <v>495162.36403853091</v>
      </c>
      <c r="S58">
        <v>34</v>
      </c>
      <c r="T58">
        <f t="shared" si="7"/>
        <v>495162.36403853091</v>
      </c>
      <c r="U58">
        <f t="shared" si="8"/>
        <v>4824.7411948370409</v>
      </c>
      <c r="W58">
        <v>34</v>
      </c>
      <c r="X58">
        <f t="shared" si="9"/>
        <v>0</v>
      </c>
      <c r="Y58">
        <f t="shared" si="10"/>
        <v>-300</v>
      </c>
      <c r="Z58">
        <f t="shared" si="11"/>
        <v>-112120.47511629587</v>
      </c>
      <c r="AA58">
        <v>0</v>
      </c>
      <c r="AB58">
        <f t="shared" si="12"/>
        <v>-18.179099999999998</v>
      </c>
      <c r="AC58">
        <f t="shared" si="13"/>
        <v>-4824.7411948370409</v>
      </c>
      <c r="AD58">
        <f t="shared" si="14"/>
        <v>-117263.39541113291</v>
      </c>
      <c r="AE58">
        <f t="shared" si="15"/>
        <v>-401791.45212659752</v>
      </c>
      <c r="AF58">
        <f t="shared" si="16"/>
        <v>-519054.84753773041</v>
      </c>
      <c r="AG58">
        <f t="shared" si="17"/>
        <v>0.13529650949568869</v>
      </c>
      <c r="AH58">
        <f t="shared" si="18"/>
        <v>-15039.636560358758</v>
      </c>
      <c r="AI58">
        <f t="shared" si="23"/>
        <v>0</v>
      </c>
    </row>
    <row r="59" spans="1:35" x14ac:dyDescent="0.2">
      <c r="A59">
        <f t="shared" si="19"/>
        <v>95</v>
      </c>
      <c r="B59">
        <f>VLOOKUP(A59,Table22[#All],3,FALSE)</f>
        <v>0.2070829377527332</v>
      </c>
      <c r="C59">
        <f t="shared" si="0"/>
        <v>0.79291706224726677</v>
      </c>
      <c r="D59">
        <f t="shared" si="1"/>
        <v>0.80735709962193802</v>
      </c>
      <c r="E59">
        <f t="shared" si="2"/>
        <v>0.80735709962193802</v>
      </c>
      <c r="G59">
        <f t="shared" si="20"/>
        <v>95</v>
      </c>
      <c r="H59">
        <f t="shared" si="3"/>
        <v>0.2070829377527332</v>
      </c>
      <c r="I59">
        <f>Lapses!B36</f>
        <v>0</v>
      </c>
      <c r="J59">
        <f t="shared" si="4"/>
        <v>0.79291706224726677</v>
      </c>
      <c r="K59">
        <f t="shared" si="21"/>
        <v>0.17377630682166623</v>
      </c>
      <c r="M59">
        <v>35</v>
      </c>
      <c r="N59">
        <f t="shared" si="5"/>
        <v>0</v>
      </c>
      <c r="O59">
        <f t="shared" si="22"/>
        <v>300</v>
      </c>
      <c r="P59">
        <f>VLOOKUP(G59,'Death Benefits'!$A$1:$E$98,4,FALSE)</f>
        <v>594594.59459999995</v>
      </c>
      <c r="Q59">
        <f t="shared" si="6"/>
        <v>500688.55899448832</v>
      </c>
      <c r="S59">
        <v>35</v>
      </c>
      <c r="T59">
        <f t="shared" si="7"/>
        <v>500688.55899448832</v>
      </c>
      <c r="U59">
        <f t="shared" si="8"/>
        <v>4714.6419917833655</v>
      </c>
      <c r="W59">
        <v>35</v>
      </c>
      <c r="X59">
        <f t="shared" si="9"/>
        <v>0</v>
      </c>
      <c r="Y59">
        <f t="shared" si="10"/>
        <v>-300</v>
      </c>
      <c r="Z59">
        <f t="shared" si="11"/>
        <v>-123130.39542166343</v>
      </c>
      <c r="AA59">
        <v>0</v>
      </c>
      <c r="AB59">
        <f t="shared" si="12"/>
        <v>-18.179099999999998</v>
      </c>
      <c r="AC59">
        <f t="shared" si="13"/>
        <v>-4714.6419917833655</v>
      </c>
      <c r="AD59">
        <f t="shared" si="14"/>
        <v>-128163.21651344679</v>
      </c>
      <c r="AE59">
        <f t="shared" si="15"/>
        <v>-397004.501298727</v>
      </c>
      <c r="AF59">
        <f t="shared" si="16"/>
        <v>-525167.71781217377</v>
      </c>
      <c r="AG59">
        <f t="shared" si="17"/>
        <v>0.12756637016292588</v>
      </c>
      <c r="AH59">
        <f t="shared" si="18"/>
        <v>-11641.92462840559</v>
      </c>
      <c r="AI59">
        <f t="shared" si="23"/>
        <v>0</v>
      </c>
    </row>
    <row r="60" spans="1:35" x14ac:dyDescent="0.2">
      <c r="A60">
        <f t="shared" si="19"/>
        <v>96</v>
      </c>
      <c r="B60">
        <f>VLOOKUP(A60,Table22[#All],3,FALSE)</f>
        <v>0.22555771295843158</v>
      </c>
      <c r="C60">
        <f t="shared" si="0"/>
        <v>0.77444228704156837</v>
      </c>
      <c r="D60">
        <f t="shared" si="1"/>
        <v>0.81874588269680437</v>
      </c>
      <c r="E60">
        <f t="shared" si="2"/>
        <v>0.81874588269680437</v>
      </c>
      <c r="G60">
        <f t="shared" si="20"/>
        <v>96</v>
      </c>
      <c r="H60">
        <f t="shared" si="3"/>
        <v>0.22555771295843158</v>
      </c>
      <c r="I60">
        <f>Lapses!B37</f>
        <v>0</v>
      </c>
      <c r="J60">
        <f t="shared" si="4"/>
        <v>0.77444228704156837</v>
      </c>
      <c r="K60">
        <f t="shared" si="21"/>
        <v>0.13779019869321524</v>
      </c>
      <c r="M60">
        <v>36</v>
      </c>
      <c r="N60">
        <f t="shared" si="5"/>
        <v>0</v>
      </c>
      <c r="O60">
        <f t="shared" si="22"/>
        <v>300</v>
      </c>
      <c r="P60">
        <f>VLOOKUP(G60,'Death Benefits'!$A$1:$E$98,4,FALSE)</f>
        <v>594594.59459999995</v>
      </c>
      <c r="Q60">
        <f t="shared" si="6"/>
        <v>506158.33121515677</v>
      </c>
      <c r="S60">
        <v>36</v>
      </c>
      <c r="T60">
        <f t="shared" si="7"/>
        <v>506158.33121515677</v>
      </c>
      <c r="U60">
        <f t="shared" si="8"/>
        <v>4604.791977045782</v>
      </c>
      <c r="W60">
        <v>36</v>
      </c>
      <c r="X60">
        <f t="shared" si="9"/>
        <v>0</v>
      </c>
      <c r="Y60">
        <f t="shared" si="10"/>
        <v>-300</v>
      </c>
      <c r="Z60">
        <f t="shared" si="11"/>
        <v>-134115.39689542179</v>
      </c>
      <c r="AA60">
        <v>0</v>
      </c>
      <c r="AB60">
        <f t="shared" si="12"/>
        <v>-18.179099999999998</v>
      </c>
      <c r="AC60">
        <f t="shared" si="13"/>
        <v>-4604.791977045782</v>
      </c>
      <c r="AD60">
        <f t="shared" si="14"/>
        <v>-139038.36797246759</v>
      </c>
      <c r="AE60">
        <f t="shared" si="15"/>
        <v>-391990.41563140968</v>
      </c>
      <c r="AF60">
        <f t="shared" si="16"/>
        <v>-531028.78360387729</v>
      </c>
      <c r="AG60">
        <f t="shared" si="17"/>
        <v>0.12027789081331164</v>
      </c>
      <c r="AH60">
        <f t="shared" si="18"/>
        <v>-8800.8008194261274</v>
      </c>
      <c r="AI60">
        <f t="shared" si="23"/>
        <v>0</v>
      </c>
    </row>
    <row r="61" spans="1:35" x14ac:dyDescent="0.2">
      <c r="A61">
        <f t="shared" si="19"/>
        <v>97</v>
      </c>
      <c r="B61">
        <f>VLOOKUP(A61,Table22[#All],3,FALSE)</f>
        <v>0.24457039496162944</v>
      </c>
      <c r="C61">
        <f t="shared" si="0"/>
        <v>0.75542960503837053</v>
      </c>
      <c r="D61">
        <f t="shared" si="1"/>
        <v>0.83001887261051455</v>
      </c>
      <c r="E61">
        <f t="shared" si="2"/>
        <v>0.83001887261051455</v>
      </c>
      <c r="G61">
        <f t="shared" si="20"/>
        <v>97</v>
      </c>
      <c r="H61">
        <f t="shared" si="3"/>
        <v>0.24457039496162944</v>
      </c>
      <c r="I61">
        <f>Lapses!B38</f>
        <v>0</v>
      </c>
      <c r="J61">
        <f t="shared" si="4"/>
        <v>0.75542960503837053</v>
      </c>
      <c r="K61">
        <f t="shared" si="21"/>
        <v>0.10671055660788574</v>
      </c>
      <c r="M61">
        <v>37</v>
      </c>
      <c r="N61">
        <f t="shared" si="5"/>
        <v>0</v>
      </c>
      <c r="O61">
        <f t="shared" si="22"/>
        <v>300</v>
      </c>
      <c r="P61">
        <f>VLOOKUP(G61,'Death Benefits'!$A$1:$E$98,4,FALSE)</f>
        <v>594594.59459999995</v>
      </c>
      <c r="Q61">
        <f t="shared" si="6"/>
        <v>511761.58240611566</v>
      </c>
      <c r="S61">
        <v>37</v>
      </c>
      <c r="T61">
        <f t="shared" si="7"/>
        <v>511761.58240611566</v>
      </c>
      <c r="U61">
        <f t="shared" si="8"/>
        <v>4491.7435975662802</v>
      </c>
      <c r="W61">
        <v>37</v>
      </c>
      <c r="X61">
        <f t="shared" si="9"/>
        <v>0</v>
      </c>
      <c r="Y61">
        <f t="shared" si="10"/>
        <v>-300</v>
      </c>
      <c r="Z61">
        <f t="shared" si="11"/>
        <v>-145420.23484337193</v>
      </c>
      <c r="AA61">
        <v>0</v>
      </c>
      <c r="AB61">
        <f t="shared" si="12"/>
        <v>-18.179099999999998</v>
      </c>
      <c r="AC61">
        <f t="shared" si="13"/>
        <v>-4491.7435975662802</v>
      </c>
      <c r="AD61">
        <f t="shared" si="14"/>
        <v>-150230.15754093821</v>
      </c>
      <c r="AE61">
        <f t="shared" si="15"/>
        <v>-386599.85007086344</v>
      </c>
      <c r="AF61">
        <f t="shared" si="16"/>
        <v>-536830.00761180161</v>
      </c>
      <c r="AG61">
        <f t="shared" si="17"/>
        <v>0.11340583729098955</v>
      </c>
      <c r="AH61">
        <f t="shared" si="18"/>
        <v>-6496.5020308004832</v>
      </c>
      <c r="AI61">
        <f t="shared" si="23"/>
        <v>0</v>
      </c>
    </row>
    <row r="62" spans="1:35" x14ac:dyDescent="0.2">
      <c r="A62">
        <f t="shared" si="19"/>
        <v>98</v>
      </c>
      <c r="B62">
        <f>VLOOKUP(A62,Table22[#All],3,FALSE)</f>
        <v>0.26425626466633184</v>
      </c>
      <c r="C62">
        <f t="shared" si="0"/>
        <v>0.73574373533366821</v>
      </c>
      <c r="D62">
        <f t="shared" si="1"/>
        <v>0.84156766829408691</v>
      </c>
      <c r="E62">
        <f t="shared" si="2"/>
        <v>0.84156766829408691</v>
      </c>
      <c r="G62">
        <f t="shared" si="20"/>
        <v>98</v>
      </c>
      <c r="H62">
        <f t="shared" si="3"/>
        <v>0.26425626466633184</v>
      </c>
      <c r="I62">
        <f>Lapses!B39</f>
        <v>0</v>
      </c>
      <c r="J62">
        <f t="shared" si="4"/>
        <v>0.73574373533366821</v>
      </c>
      <c r="K62">
        <f t="shared" si="21"/>
        <v>8.0612313631719806E-2</v>
      </c>
      <c r="M62">
        <v>38</v>
      </c>
      <c r="N62">
        <f t="shared" si="5"/>
        <v>0</v>
      </c>
      <c r="O62">
        <f t="shared" si="22"/>
        <v>300</v>
      </c>
      <c r="P62">
        <f>VLOOKUP(G62,'Death Benefits'!$A$1:$E$98,4,FALSE)</f>
        <v>594594.59459999995</v>
      </c>
      <c r="Q62">
        <f t="shared" si="6"/>
        <v>517781.61685905728</v>
      </c>
      <c r="S62">
        <v>38</v>
      </c>
      <c r="T62">
        <f t="shared" si="7"/>
        <v>517781.61685905728</v>
      </c>
      <c r="U62">
        <f t="shared" si="8"/>
        <v>4374.692480402121</v>
      </c>
      <c r="W62">
        <v>38</v>
      </c>
      <c r="X62">
        <f t="shared" si="9"/>
        <v>0</v>
      </c>
      <c r="Y62">
        <f t="shared" si="10"/>
        <v>-300</v>
      </c>
      <c r="Z62">
        <f t="shared" si="11"/>
        <v>-157125.34655978787</v>
      </c>
      <c r="AA62">
        <v>0</v>
      </c>
      <c r="AB62">
        <f t="shared" si="12"/>
        <v>-18.179099999999998</v>
      </c>
      <c r="AC62">
        <f t="shared" si="13"/>
        <v>-4374.692480402121</v>
      </c>
      <c r="AD62">
        <f t="shared" si="14"/>
        <v>-161818.21814019</v>
      </c>
      <c r="AE62">
        <f t="shared" si="15"/>
        <v>-380954.58087498904</v>
      </c>
      <c r="AF62">
        <f t="shared" si="16"/>
        <v>-542772.79901517904</v>
      </c>
      <c r="AG62">
        <f t="shared" si="17"/>
        <v>0.10692641718861129</v>
      </c>
      <c r="AH62">
        <f t="shared" si="18"/>
        <v>-4678.4767533127624</v>
      </c>
      <c r="AI62">
        <f t="shared" si="23"/>
        <v>0</v>
      </c>
    </row>
    <row r="63" spans="1:35" x14ac:dyDescent="0.2">
      <c r="A63">
        <f t="shared" si="19"/>
        <v>99</v>
      </c>
      <c r="B63">
        <f>VLOOKUP(A63,Table22[#All],3,FALSE)</f>
        <v>0.28400974647486987</v>
      </c>
      <c r="C63">
        <f t="shared" si="0"/>
        <v>0.71599025352513013</v>
      </c>
      <c r="D63">
        <f t="shared" si="1"/>
        <v>0.85397652667531987</v>
      </c>
      <c r="E63">
        <f t="shared" si="2"/>
        <v>0.85397652667531987</v>
      </c>
      <c r="G63">
        <f t="shared" si="20"/>
        <v>99</v>
      </c>
      <c r="H63">
        <f t="shared" si="3"/>
        <v>0.28400974647486987</v>
      </c>
      <c r="I63">
        <f>Lapses!B40</f>
        <v>0</v>
      </c>
      <c r="J63">
        <f t="shared" si="4"/>
        <v>0.71599025352513013</v>
      </c>
      <c r="K63">
        <f t="shared" si="21"/>
        <v>5.9310004745290711E-2</v>
      </c>
      <c r="M63">
        <v>39</v>
      </c>
      <c r="N63">
        <f t="shared" si="5"/>
        <v>0</v>
      </c>
      <c r="O63">
        <f t="shared" si="22"/>
        <v>300</v>
      </c>
      <c r="P63">
        <f>VLOOKUP(G63,'Death Benefits'!$A$1:$E$98,4,FALSE)</f>
        <v>594594.59459999995</v>
      </c>
      <c r="Q63">
        <f t="shared" si="6"/>
        <v>524743.94607060298</v>
      </c>
      <c r="S63">
        <v>39</v>
      </c>
      <c r="T63">
        <f t="shared" si="7"/>
        <v>524743.94607060298</v>
      </c>
      <c r="U63">
        <f t="shared" si="8"/>
        <v>4257.2393453232598</v>
      </c>
      <c r="W63">
        <v>39</v>
      </c>
      <c r="X63">
        <f t="shared" si="9"/>
        <v>0</v>
      </c>
      <c r="Y63">
        <f t="shared" si="10"/>
        <v>-300</v>
      </c>
      <c r="Z63">
        <f t="shared" si="11"/>
        <v>-168870.66006767401</v>
      </c>
      <c r="AA63">
        <v>0</v>
      </c>
      <c r="AB63">
        <f t="shared" si="12"/>
        <v>-18.179099999999998</v>
      </c>
      <c r="AC63">
        <f t="shared" si="13"/>
        <v>-4257.2393453232598</v>
      </c>
      <c r="AD63">
        <f t="shared" si="14"/>
        <v>-173446.07851299728</v>
      </c>
      <c r="AE63">
        <f t="shared" si="15"/>
        <v>-375711.55098286824</v>
      </c>
      <c r="AF63">
        <f t="shared" si="16"/>
        <v>-549157.62949586555</v>
      </c>
      <c r="AG63">
        <f t="shared" si="17"/>
        <v>0.10081719747332049</v>
      </c>
      <c r="AH63">
        <f t="shared" si="18"/>
        <v>-3283.6707254406829</v>
      </c>
      <c r="AI63">
        <f t="shared" si="23"/>
        <v>0</v>
      </c>
    </row>
    <row r="64" spans="1:35" x14ac:dyDescent="0.2">
      <c r="A64">
        <f t="shared" si="19"/>
        <v>100</v>
      </c>
      <c r="B64">
        <f>VLOOKUP(A64,Table22[#All],3,FALSE)</f>
        <v>0.37048969749999999</v>
      </c>
      <c r="C64">
        <f t="shared" si="0"/>
        <v>0.62951030249999995</v>
      </c>
      <c r="D64">
        <f t="shared" si="1"/>
        <v>0.86832913259142996</v>
      </c>
      <c r="E64">
        <f t="shared" si="2"/>
        <v>0.86832913259142996</v>
      </c>
      <c r="G64">
        <f t="shared" si="20"/>
        <v>100</v>
      </c>
      <c r="H64">
        <f t="shared" si="3"/>
        <v>0.37048969749999999</v>
      </c>
      <c r="I64">
        <f>Lapses!B41</f>
        <v>0</v>
      </c>
      <c r="J64">
        <f t="shared" si="4"/>
        <v>0.62951030249999995</v>
      </c>
      <c r="K64">
        <f t="shared" si="21"/>
        <v>4.246538533415737E-2</v>
      </c>
      <c r="M64">
        <v>40</v>
      </c>
      <c r="N64">
        <f t="shared" si="5"/>
        <v>0</v>
      </c>
      <c r="O64">
        <f t="shared" si="22"/>
        <v>300</v>
      </c>
      <c r="P64">
        <f>VLOOKUP(G64,'Death Benefits'!$A$1:$E$98,4,FALSE)</f>
        <v>594594.59459999995</v>
      </c>
      <c r="Q64">
        <f t="shared" si="6"/>
        <v>527695.0493610691</v>
      </c>
      <c r="S64">
        <v>40</v>
      </c>
      <c r="T64">
        <f t="shared" si="7"/>
        <v>527695.0493610691</v>
      </c>
      <c r="U64">
        <f t="shared" si="8"/>
        <v>3743.0342311151085</v>
      </c>
      <c r="W64">
        <v>40</v>
      </c>
      <c r="X64">
        <f t="shared" si="9"/>
        <v>0</v>
      </c>
      <c r="Y64">
        <f t="shared" si="10"/>
        <v>-300</v>
      </c>
      <c r="Z64">
        <f t="shared" si="11"/>
        <v>-220291.17148848911</v>
      </c>
      <c r="AA64">
        <v>0</v>
      </c>
      <c r="AB64">
        <f t="shared" si="12"/>
        <v>-18.179099999999998</v>
      </c>
      <c r="AC64">
        <f t="shared" si="13"/>
        <v>-3743.0342311151085</v>
      </c>
      <c r="AD64">
        <f t="shared" si="14"/>
        <v>-224352.38481960422</v>
      </c>
      <c r="AE64">
        <f t="shared" si="15"/>
        <v>-332189.47015103902</v>
      </c>
      <c r="AF64">
        <f t="shared" si="16"/>
        <v>-556541.8549706433</v>
      </c>
      <c r="AG64">
        <f t="shared" si="17"/>
        <v>9.5057026819159868E-2</v>
      </c>
      <c r="AH64">
        <f t="shared" si="18"/>
        <v>-2246.5553693662146</v>
      </c>
      <c r="AI64">
        <f t="shared" si="23"/>
        <v>0</v>
      </c>
    </row>
    <row r="65" spans="1:35" x14ac:dyDescent="0.2">
      <c r="A65">
        <f t="shared" si="19"/>
        <v>101</v>
      </c>
      <c r="B65">
        <f>VLOOKUP(A65,Table22[#All],3,FALSE)</f>
        <v>0.39533692190000003</v>
      </c>
      <c r="C65">
        <f t="shared" si="0"/>
        <v>0.60466307809999997</v>
      </c>
      <c r="D65">
        <f t="shared" si="1"/>
        <v>0.87442186943250688</v>
      </c>
      <c r="E65">
        <f t="shared" si="2"/>
        <v>0.87442186943250688</v>
      </c>
      <c r="G65">
        <f t="shared" si="20"/>
        <v>101</v>
      </c>
      <c r="H65">
        <f t="shared" si="3"/>
        <v>0.39533692190000003</v>
      </c>
      <c r="I65">
        <f>Lapses!B42</f>
        <v>0</v>
      </c>
      <c r="J65">
        <f t="shared" si="4"/>
        <v>0.60466307809999997</v>
      </c>
      <c r="K65">
        <f t="shared" si="21"/>
        <v>2.6732397567484467E-2</v>
      </c>
      <c r="M65">
        <v>41</v>
      </c>
      <c r="N65">
        <f t="shared" si="5"/>
        <v>0</v>
      </c>
      <c r="O65">
        <f t="shared" si="22"/>
        <v>300</v>
      </c>
      <c r="P65">
        <f>VLOOKUP(G65,'Death Benefits'!$A$1:$E$98,4,FALSE)</f>
        <v>594594.59459999995</v>
      </c>
      <c r="Q65">
        <f t="shared" si="6"/>
        <v>530366.62564122723</v>
      </c>
      <c r="S65">
        <v>41</v>
      </c>
      <c r="T65">
        <f t="shared" si="7"/>
        <v>530366.62564122723</v>
      </c>
      <c r="U65">
        <f t="shared" si="8"/>
        <v>3595.2939779245762</v>
      </c>
      <c r="W65">
        <v>41</v>
      </c>
      <c r="X65">
        <f t="shared" si="9"/>
        <v>0</v>
      </c>
      <c r="Y65">
        <f t="shared" si="10"/>
        <v>-300</v>
      </c>
      <c r="Z65">
        <f t="shared" si="11"/>
        <v>-235065.19680754235</v>
      </c>
      <c r="AA65">
        <v>0</v>
      </c>
      <c r="AB65">
        <f t="shared" si="12"/>
        <v>-18.179099999999998</v>
      </c>
      <c r="AC65">
        <f t="shared" si="13"/>
        <v>-3595.2939779245762</v>
      </c>
      <c r="AD65">
        <f t="shared" si="14"/>
        <v>-238978.66988546692</v>
      </c>
      <c r="AE65">
        <f t="shared" si="15"/>
        <v>-320693.11638173484</v>
      </c>
      <c r="AF65">
        <f t="shared" si="16"/>
        <v>-559671.78626720177</v>
      </c>
      <c r="AG65">
        <f t="shared" si="17"/>
        <v>8.9625962377000754E-2</v>
      </c>
      <c r="AH65">
        <f t="shared" si="18"/>
        <v>-1340.9270680173729</v>
      </c>
      <c r="AI65">
        <f t="shared" si="23"/>
        <v>0</v>
      </c>
    </row>
    <row r="66" spans="1:35" x14ac:dyDescent="0.2">
      <c r="A66">
        <f t="shared" si="19"/>
        <v>102</v>
      </c>
      <c r="B66">
        <f>VLOOKUP(A66,Table22[#All],3,FALSE)</f>
        <v>0.4196770252</v>
      </c>
      <c r="C66">
        <f t="shared" si="0"/>
        <v>0.58032297480000006</v>
      </c>
      <c r="D66">
        <f t="shared" si="1"/>
        <v>0.87994836930743381</v>
      </c>
      <c r="E66">
        <f t="shared" si="2"/>
        <v>0.87994836930743381</v>
      </c>
      <c r="G66">
        <f t="shared" si="20"/>
        <v>102</v>
      </c>
      <c r="H66">
        <f t="shared" si="3"/>
        <v>0.4196770252</v>
      </c>
      <c r="I66">
        <f>Lapses!B43</f>
        <v>0</v>
      </c>
      <c r="J66">
        <f t="shared" si="4"/>
        <v>0.58032297480000006</v>
      </c>
      <c r="K66">
        <f t="shared" si="21"/>
        <v>1.6164093798148111E-2</v>
      </c>
      <c r="M66">
        <v>42</v>
      </c>
      <c r="N66">
        <f t="shared" si="5"/>
        <v>0</v>
      </c>
      <c r="O66">
        <f t="shared" si="22"/>
        <v>300</v>
      </c>
      <c r="P66">
        <f>VLOOKUP(G66,'Death Benefits'!$A$1:$E$98,4,FALSE)</f>
        <v>594594.59459999995</v>
      </c>
      <c r="Q66">
        <f t="shared" si="6"/>
        <v>532804.70820694091</v>
      </c>
      <c r="S66">
        <v>42</v>
      </c>
      <c r="T66">
        <f t="shared" si="7"/>
        <v>532804.70820694091</v>
      </c>
      <c r="U66">
        <f t="shared" si="8"/>
        <v>3450.5690393827203</v>
      </c>
      <c r="W66">
        <v>42</v>
      </c>
      <c r="X66">
        <f t="shared" si="9"/>
        <v>0</v>
      </c>
      <c r="Y66">
        <f t="shared" si="10"/>
        <v>-300</v>
      </c>
      <c r="Z66">
        <f t="shared" si="11"/>
        <v>-249537.69066172797</v>
      </c>
      <c r="AA66">
        <v>0</v>
      </c>
      <c r="AB66">
        <f t="shared" si="12"/>
        <v>-18.179099999999998</v>
      </c>
      <c r="AC66">
        <f t="shared" si="13"/>
        <v>-3450.5690393827203</v>
      </c>
      <c r="AD66">
        <f t="shared" si="14"/>
        <v>-253306.43880111069</v>
      </c>
      <c r="AE66">
        <f t="shared" si="15"/>
        <v>-309198.81325409794</v>
      </c>
      <c r="AF66">
        <f t="shared" si="16"/>
        <v>-562505.25205520866</v>
      </c>
      <c r="AG66">
        <f t="shared" si="17"/>
        <v>8.4505200728458366E-2</v>
      </c>
      <c r="AH66">
        <f t="shared" si="18"/>
        <v>-768.35404398571598</v>
      </c>
      <c r="AI66">
        <f t="shared" si="23"/>
        <v>0</v>
      </c>
    </row>
    <row r="67" spans="1:35" x14ac:dyDescent="0.2">
      <c r="A67">
        <f t="shared" si="19"/>
        <v>103</v>
      </c>
      <c r="B67">
        <f>VLOOKUP(A67,Table22[#All],3,FALSE)</f>
        <v>0.44453422999999997</v>
      </c>
      <c r="C67">
        <f t="shared" si="0"/>
        <v>0.55546577000000008</v>
      </c>
      <c r="D67">
        <f t="shared" si="1"/>
        <v>0.88501334212962868</v>
      </c>
      <c r="E67">
        <f t="shared" si="2"/>
        <v>0.88501334212962868</v>
      </c>
      <c r="G67">
        <f t="shared" si="20"/>
        <v>103</v>
      </c>
      <c r="H67">
        <f t="shared" si="3"/>
        <v>0.44453422999999997</v>
      </c>
      <c r="I67">
        <f>Lapses!B44</f>
        <v>0</v>
      </c>
      <c r="J67">
        <f t="shared" si="4"/>
        <v>0.55546577000000008</v>
      </c>
      <c r="K67">
        <f t="shared" si="21"/>
        <v>9.3803949978875437E-3</v>
      </c>
      <c r="M67">
        <v>43</v>
      </c>
      <c r="N67">
        <f t="shared" si="5"/>
        <v>0</v>
      </c>
      <c r="O67">
        <f t="shared" si="22"/>
        <v>300</v>
      </c>
      <c r="P67">
        <f>VLOOKUP(G67,'Death Benefits'!$A$1:$E$98,4,FALSE)</f>
        <v>594594.59459999995</v>
      </c>
      <c r="Q67">
        <f t="shared" si="6"/>
        <v>534960.91450281534</v>
      </c>
      <c r="S67">
        <v>43</v>
      </c>
      <c r="T67">
        <f t="shared" si="7"/>
        <v>534960.91450281534</v>
      </c>
      <c r="U67">
        <f t="shared" si="8"/>
        <v>3302.7694432732687</v>
      </c>
      <c r="W67">
        <v>43</v>
      </c>
      <c r="X67">
        <f t="shared" si="9"/>
        <v>0</v>
      </c>
      <c r="Y67">
        <f t="shared" si="10"/>
        <v>-300</v>
      </c>
      <c r="Z67">
        <f t="shared" si="11"/>
        <v>-264317.65027267311</v>
      </c>
      <c r="AA67">
        <v>0</v>
      </c>
      <c r="AB67">
        <f t="shared" si="12"/>
        <v>-18.179099999999998</v>
      </c>
      <c r="AC67">
        <f t="shared" si="13"/>
        <v>-3302.7694432732687</v>
      </c>
      <c r="AD67">
        <f t="shared" si="14"/>
        <v>-267938.59881594637</v>
      </c>
      <c r="AE67">
        <f t="shared" si="15"/>
        <v>-297152.47629421053</v>
      </c>
      <c r="AF67">
        <f t="shared" si="16"/>
        <v>-565091.0751101569</v>
      </c>
      <c r="AG67">
        <f t="shared" si="17"/>
        <v>7.9677012784741388E-2</v>
      </c>
      <c r="AH67">
        <f t="shared" si="18"/>
        <v>-422.35011618354275</v>
      </c>
      <c r="AI67">
        <f t="shared" si="23"/>
        <v>0</v>
      </c>
    </row>
    <row r="68" spans="1:35" x14ac:dyDescent="0.2">
      <c r="A68">
        <f t="shared" si="19"/>
        <v>104</v>
      </c>
      <c r="B68">
        <f>VLOOKUP(A68,Table22[#All],3,FALSE)</f>
        <v>0.4697913883</v>
      </c>
      <c r="C68">
        <f t="shared" si="0"/>
        <v>0.5302086117</v>
      </c>
      <c r="D68">
        <f t="shared" si="1"/>
        <v>0.88953864001855176</v>
      </c>
      <c r="E68">
        <f t="shared" si="2"/>
        <v>0.88953864001855176</v>
      </c>
      <c r="G68">
        <f t="shared" si="20"/>
        <v>104</v>
      </c>
      <c r="H68">
        <f t="shared" si="3"/>
        <v>0.4697913883</v>
      </c>
      <c r="I68">
        <f>Lapses!B45</f>
        <v>0</v>
      </c>
      <c r="J68">
        <f t="shared" si="4"/>
        <v>0.5302086117</v>
      </c>
      <c r="K68">
        <f t="shared" si="21"/>
        <v>5.2104883304057532E-3</v>
      </c>
      <c r="M68">
        <v>44</v>
      </c>
      <c r="N68">
        <f t="shared" si="5"/>
        <v>0</v>
      </c>
      <c r="O68">
        <f t="shared" si="22"/>
        <v>300</v>
      </c>
      <c r="P68">
        <f>VLOOKUP(G68,'Death Benefits'!$A$1:$E$98,4,FALSE)</f>
        <v>594594.59459999995</v>
      </c>
      <c r="Q68">
        <f t="shared" si="6"/>
        <v>536716.57502589899</v>
      </c>
      <c r="S68">
        <v>44</v>
      </c>
      <c r="T68">
        <f t="shared" si="7"/>
        <v>536716.57502589899</v>
      </c>
      <c r="U68">
        <f t="shared" si="8"/>
        <v>3152.5917452719032</v>
      </c>
      <c r="W68">
        <v>44</v>
      </c>
      <c r="X68">
        <f t="shared" si="9"/>
        <v>0</v>
      </c>
      <c r="Y68">
        <f t="shared" si="10"/>
        <v>-300</v>
      </c>
      <c r="Z68">
        <f t="shared" si="11"/>
        <v>-279335.42007280968</v>
      </c>
      <c r="AA68">
        <v>0</v>
      </c>
      <c r="AB68">
        <f t="shared" si="12"/>
        <v>-18.179099999999998</v>
      </c>
      <c r="AC68">
        <f t="shared" si="13"/>
        <v>-3152.5917452719032</v>
      </c>
      <c r="AD68">
        <f t="shared" si="14"/>
        <v>-282806.19091808161</v>
      </c>
      <c r="AE68">
        <f t="shared" si="15"/>
        <v>-284571.75012086082</v>
      </c>
      <c r="AF68">
        <f t="shared" si="16"/>
        <v>-567377.94103894243</v>
      </c>
      <c r="AG68">
        <f t="shared" si="17"/>
        <v>7.5124682405043011E-2</v>
      </c>
      <c r="AH68">
        <f t="shared" si="18"/>
        <v>-222.09231115997054</v>
      </c>
      <c r="AI68">
        <f t="shared" si="23"/>
        <v>0</v>
      </c>
    </row>
    <row r="69" spans="1:35" x14ac:dyDescent="0.2">
      <c r="A69">
        <f t="shared" si="19"/>
        <v>105</v>
      </c>
      <c r="B69">
        <f>VLOOKUP(A69,Table22[#All],3,FALSE)</f>
        <v>0.49530202029999998</v>
      </c>
      <c r="C69">
        <f t="shared" si="0"/>
        <v>0.50469797969999997</v>
      </c>
      <c r="D69">
        <f t="shared" si="1"/>
        <v>0.89332880348566368</v>
      </c>
      <c r="E69">
        <f t="shared" si="2"/>
        <v>0.89332880348566368</v>
      </c>
      <c r="G69">
        <f t="shared" si="20"/>
        <v>105</v>
      </c>
      <c r="H69">
        <f t="shared" si="3"/>
        <v>0.49530202029999998</v>
      </c>
      <c r="I69">
        <f>Lapses!B46</f>
        <v>0</v>
      </c>
      <c r="J69">
        <f t="shared" si="4"/>
        <v>0.50469797969999997</v>
      </c>
      <c r="K69">
        <f t="shared" si="21"/>
        <v>2.7626457839434854E-3</v>
      </c>
      <c r="M69">
        <v>45</v>
      </c>
      <c r="N69">
        <f t="shared" si="5"/>
        <v>0</v>
      </c>
      <c r="O69">
        <f t="shared" si="22"/>
        <v>300</v>
      </c>
      <c r="P69">
        <f>VLOOKUP(G69,'Death Benefits'!$A$1:$E$98,4,FALSE)</f>
        <v>594594.59459999995</v>
      </c>
      <c r="Q69">
        <f t="shared" si="6"/>
        <v>537781.02997932862</v>
      </c>
      <c r="S69">
        <v>45</v>
      </c>
      <c r="T69">
        <f t="shared" si="7"/>
        <v>537781.02997932862</v>
      </c>
      <c r="U69">
        <f t="shared" si="8"/>
        <v>3000.9069063516049</v>
      </c>
      <c r="W69">
        <v>45</v>
      </c>
      <c r="X69">
        <f t="shared" si="9"/>
        <v>0</v>
      </c>
      <c r="Y69">
        <f t="shared" si="10"/>
        <v>-300</v>
      </c>
      <c r="Z69">
        <f t="shared" si="11"/>
        <v>-294503.90396483941</v>
      </c>
      <c r="AA69">
        <v>0</v>
      </c>
      <c r="AB69">
        <f t="shared" si="12"/>
        <v>-18.179099999999998</v>
      </c>
      <c r="AC69">
        <f t="shared" si="13"/>
        <v>-3000.9069063516049</v>
      </c>
      <c r="AD69">
        <f t="shared" si="14"/>
        <v>-297822.98997119104</v>
      </c>
      <c r="AE69">
        <f t="shared" si="15"/>
        <v>-271416.99935155228</v>
      </c>
      <c r="AF69">
        <f t="shared" si="16"/>
        <v>-569239.98932274338</v>
      </c>
      <c r="AG69">
        <f t="shared" si="17"/>
        <v>7.0832448521957928E-2</v>
      </c>
      <c r="AH69">
        <f t="shared" si="18"/>
        <v>-111.39170754409317</v>
      </c>
      <c r="AI69">
        <f t="shared" si="23"/>
        <v>0</v>
      </c>
    </row>
    <row r="70" spans="1:35" x14ac:dyDescent="0.2">
      <c r="A70">
        <f t="shared" si="19"/>
        <v>106</v>
      </c>
      <c r="B70">
        <f>VLOOKUP(A70,Table22[#All],3,FALSE)</f>
        <v>0.5209142323</v>
      </c>
      <c r="C70">
        <f t="shared" si="0"/>
        <v>0.4790857677</v>
      </c>
      <c r="D70">
        <f t="shared" si="1"/>
        <v>0.89590180043766987</v>
      </c>
      <c r="E70">
        <f t="shared" si="2"/>
        <v>0.89590180043766987</v>
      </c>
      <c r="G70">
        <f t="shared" si="20"/>
        <v>106</v>
      </c>
      <c r="H70">
        <f t="shared" si="3"/>
        <v>0.5209142323</v>
      </c>
      <c r="I70">
        <f>Lapses!B47</f>
        <v>0</v>
      </c>
      <c r="J70">
        <f t="shared" si="4"/>
        <v>0.4790857677</v>
      </c>
      <c r="K70">
        <f t="shared" si="21"/>
        <v>1.3943017457829997E-3</v>
      </c>
      <c r="M70">
        <v>46</v>
      </c>
      <c r="N70">
        <f t="shared" si="5"/>
        <v>0</v>
      </c>
      <c r="O70">
        <f t="shared" si="22"/>
        <v>300</v>
      </c>
      <c r="P70">
        <f>VLOOKUP(G70,'Death Benefits'!$A$1:$E$98,4,FALSE)</f>
        <v>594594.59459999995</v>
      </c>
      <c r="Q70">
        <f t="shared" si="6"/>
        <v>537418.10017654428</v>
      </c>
      <c r="S70">
        <v>46</v>
      </c>
      <c r="T70">
        <f t="shared" si="7"/>
        <v>537418.10017654428</v>
      </c>
      <c r="U70">
        <f t="shared" si="8"/>
        <v>2848.6180782421125</v>
      </c>
      <c r="W70">
        <v>46</v>
      </c>
      <c r="X70">
        <f t="shared" si="9"/>
        <v>0</v>
      </c>
      <c r="Y70">
        <f t="shared" si="10"/>
        <v>-300</v>
      </c>
      <c r="Z70">
        <f t="shared" si="11"/>
        <v>-309732.7867757887</v>
      </c>
      <c r="AA70">
        <v>0</v>
      </c>
      <c r="AB70">
        <f t="shared" si="12"/>
        <v>-18.179099999999998</v>
      </c>
      <c r="AC70">
        <f t="shared" si="13"/>
        <v>-2848.6180782421125</v>
      </c>
      <c r="AD70">
        <f t="shared" si="14"/>
        <v>-312899.58395403082</v>
      </c>
      <c r="AE70">
        <f t="shared" si="15"/>
        <v>-257469.36309895522</v>
      </c>
      <c r="AF70">
        <f t="shared" si="16"/>
        <v>-570368.94705298601</v>
      </c>
      <c r="AG70">
        <f t="shared" si="17"/>
        <v>6.6785450573552382E-2</v>
      </c>
      <c r="AH70">
        <f t="shared" si="18"/>
        <v>-53.112226093310909</v>
      </c>
      <c r="AI70">
        <f t="shared" si="23"/>
        <v>0</v>
      </c>
    </row>
    <row r="71" spans="1:35" x14ac:dyDescent="0.2">
      <c r="A71">
        <f t="shared" si="19"/>
        <v>107</v>
      </c>
      <c r="B71">
        <f>VLOOKUP(A71,Table22[#All],3,FALSE)</f>
        <v>0.54665868200000001</v>
      </c>
      <c r="C71">
        <f t="shared" si="0"/>
        <v>0.45334131799999999</v>
      </c>
      <c r="D71">
        <f t="shared" si="1"/>
        <v>0.89603273250981064</v>
      </c>
      <c r="E71">
        <f t="shared" si="2"/>
        <v>0.89603273250981064</v>
      </c>
      <c r="G71">
        <f t="shared" si="20"/>
        <v>107</v>
      </c>
      <c r="H71">
        <f t="shared" si="3"/>
        <v>0.54665868200000001</v>
      </c>
      <c r="I71">
        <f>Lapses!B48</f>
        <v>0</v>
      </c>
      <c r="J71">
        <f t="shared" si="4"/>
        <v>0.45334131799999999</v>
      </c>
      <c r="K71">
        <f t="shared" si="21"/>
        <v>6.6799012228389864E-4</v>
      </c>
      <c r="M71">
        <v>47</v>
      </c>
      <c r="N71">
        <f t="shared" si="5"/>
        <v>0</v>
      </c>
      <c r="O71">
        <f t="shared" si="22"/>
        <v>300</v>
      </c>
      <c r="P71">
        <f>VLOOKUP(G71,'Death Benefits'!$A$1:$E$98,4,FALSE)</f>
        <v>594594.59459999995</v>
      </c>
      <c r="Q71">
        <f t="shared" si="6"/>
        <v>533659.72989178461</v>
      </c>
      <c r="S71">
        <v>47</v>
      </c>
      <c r="T71">
        <f t="shared" si="7"/>
        <v>533659.72989178461</v>
      </c>
      <c r="U71">
        <f t="shared" si="8"/>
        <v>2695.5429719163967</v>
      </c>
      <c r="W71">
        <v>47</v>
      </c>
      <c r="X71">
        <f t="shared" si="9"/>
        <v>0</v>
      </c>
      <c r="Y71">
        <f t="shared" si="10"/>
        <v>-300</v>
      </c>
      <c r="Z71">
        <f t="shared" si="11"/>
        <v>-325040.29740836029</v>
      </c>
      <c r="AA71">
        <v>0</v>
      </c>
      <c r="AB71">
        <f t="shared" si="12"/>
        <v>-18.179099999999998</v>
      </c>
      <c r="AC71">
        <f t="shared" si="13"/>
        <v>-2695.5429719163967</v>
      </c>
      <c r="AD71">
        <f t="shared" si="14"/>
        <v>-328054.01948027668</v>
      </c>
      <c r="AE71">
        <f t="shared" si="15"/>
        <v>-241930.00531266563</v>
      </c>
      <c r="AF71">
        <f t="shared" si="16"/>
        <v>-569984.02479294233</v>
      </c>
      <c r="AG71">
        <f t="shared" si="17"/>
        <v>6.2969677053161921E-2</v>
      </c>
      <c r="AH71">
        <f t="shared" si="18"/>
        <v>-23.97530772961613</v>
      </c>
      <c r="AI71">
        <f t="shared" si="23"/>
        <v>0</v>
      </c>
    </row>
    <row r="72" spans="1:35" x14ac:dyDescent="0.2">
      <c r="A72">
        <f t="shared" si="19"/>
        <v>108</v>
      </c>
      <c r="B72">
        <f>VLOOKUP(A72,Table22[#All],3,FALSE)</f>
        <v>0.57258457519999995</v>
      </c>
      <c r="C72">
        <f t="shared" si="0"/>
        <v>0.42741542480000005</v>
      </c>
      <c r="D72">
        <f t="shared" si="1"/>
        <v>0.89043493274025287</v>
      </c>
      <c r="E72">
        <f t="shared" si="2"/>
        <v>0.89043493274025287</v>
      </c>
      <c r="G72">
        <f t="shared" si="20"/>
        <v>108</v>
      </c>
      <c r="H72">
        <f t="shared" si="3"/>
        <v>0.57258457519999995</v>
      </c>
      <c r="I72">
        <f>Lapses!B49</f>
        <v>0</v>
      </c>
      <c r="J72">
        <f t="shared" si="4"/>
        <v>0.42741542480000005</v>
      </c>
      <c r="K72">
        <f t="shared" si="21"/>
        <v>3.028275224471638E-4</v>
      </c>
      <c r="M72">
        <v>48</v>
      </c>
      <c r="N72">
        <f t="shared" si="5"/>
        <v>0</v>
      </c>
      <c r="O72">
        <f t="shared" si="22"/>
        <v>300</v>
      </c>
      <c r="P72">
        <f>VLOOKUP(G72,'Death Benefits'!$A$1:$E$98,4,FALSE)</f>
        <v>594594.59459999995</v>
      </c>
      <c r="Q72">
        <f t="shared" si="6"/>
        <v>520998.15342563257</v>
      </c>
      <c r="S72">
        <v>48</v>
      </c>
      <c r="T72">
        <f t="shared" si="7"/>
        <v>520998.15342563257</v>
      </c>
      <c r="U72">
        <f t="shared" si="8"/>
        <v>2541.389012347428</v>
      </c>
      <c r="W72">
        <v>48</v>
      </c>
      <c r="X72">
        <f t="shared" si="9"/>
        <v>0</v>
      </c>
      <c r="Y72">
        <f t="shared" si="10"/>
        <v>-300</v>
      </c>
      <c r="Z72">
        <f t="shared" si="11"/>
        <v>-340455.69336525718</v>
      </c>
      <c r="AA72">
        <v>0</v>
      </c>
      <c r="AB72">
        <f t="shared" si="12"/>
        <v>-18.179099999999998</v>
      </c>
      <c r="AC72">
        <f t="shared" si="13"/>
        <v>-2541.389012347428</v>
      </c>
      <c r="AD72">
        <f t="shared" si="14"/>
        <v>-343315.26147760462</v>
      </c>
      <c r="AE72">
        <f t="shared" si="15"/>
        <v>-222682.64706643234</v>
      </c>
      <c r="AF72">
        <f t="shared" si="16"/>
        <v>-565997.90854403703</v>
      </c>
      <c r="AG72">
        <f t="shared" si="17"/>
        <v>5.9371916998786467E-2</v>
      </c>
      <c r="AH72">
        <f t="shared" si="18"/>
        <v>-10.176331395438515</v>
      </c>
      <c r="AI72">
        <f t="shared" si="23"/>
        <v>0</v>
      </c>
    </row>
    <row r="73" spans="1:35" x14ac:dyDescent="0.2">
      <c r="A73">
        <f t="shared" si="19"/>
        <v>109</v>
      </c>
      <c r="B73">
        <f>VLOOKUP(A73,Table22[#All],3,FALSE)</f>
        <v>0.59854587479999999</v>
      </c>
      <c r="C73">
        <f t="shared" si="0"/>
        <v>0.40145412520000001</v>
      </c>
      <c r="D73">
        <f t="shared" si="1"/>
        <v>0.8698985146207433</v>
      </c>
      <c r="E73">
        <f t="shared" si="2"/>
        <v>0.8698985146207433</v>
      </c>
      <c r="G73">
        <f t="shared" si="20"/>
        <v>109</v>
      </c>
      <c r="H73">
        <f t="shared" si="3"/>
        <v>0.59854587479999999</v>
      </c>
      <c r="I73">
        <f>Lapses!B50</f>
        <v>0</v>
      </c>
      <c r="J73">
        <f t="shared" si="4"/>
        <v>0.40145412520000001</v>
      </c>
      <c r="K73">
        <f t="shared" si="21"/>
        <v>1.2943315414788606E-4</v>
      </c>
      <c r="M73">
        <v>49</v>
      </c>
      <c r="N73">
        <f t="shared" si="5"/>
        <v>0</v>
      </c>
      <c r="O73">
        <f t="shared" si="22"/>
        <v>300</v>
      </c>
      <c r="P73">
        <f>VLOOKUP(G73,'Death Benefits'!$A$1:$E$98,4,FALSE)</f>
        <v>594594.59459999995</v>
      </c>
      <c r="Q73">
        <f t="shared" si="6"/>
        <v>483172.8482742199</v>
      </c>
      <c r="S73">
        <v>49</v>
      </c>
      <c r="T73">
        <f t="shared" si="7"/>
        <v>483172.8482742199</v>
      </c>
      <c r="U73">
        <f t="shared" si="8"/>
        <v>2387.0245282379165</v>
      </c>
      <c r="W73">
        <v>49</v>
      </c>
      <c r="X73">
        <f t="shared" si="9"/>
        <v>0</v>
      </c>
      <c r="Y73">
        <f t="shared" si="10"/>
        <v>-300</v>
      </c>
      <c r="Z73">
        <f t="shared" si="11"/>
        <v>-355892.1417762083</v>
      </c>
      <c r="AA73">
        <v>0</v>
      </c>
      <c r="AB73">
        <f t="shared" si="12"/>
        <v>-18.179099999999998</v>
      </c>
      <c r="AC73">
        <f t="shared" si="13"/>
        <v>-2387.0245282379165</v>
      </c>
      <c r="AD73">
        <f t="shared" si="14"/>
        <v>-358597.34540444624</v>
      </c>
      <c r="AE73">
        <f t="shared" si="15"/>
        <v>-193971.73312431929</v>
      </c>
      <c r="AF73">
        <f t="shared" si="16"/>
        <v>-552569.07852876559</v>
      </c>
      <c r="AG73">
        <f t="shared" si="17"/>
        <v>5.5979714254129009E-2</v>
      </c>
      <c r="AH73">
        <f t="shared" si="18"/>
        <v>-4.0037116363040024</v>
      </c>
      <c r="AI73">
        <f t="shared" si="23"/>
        <v>0</v>
      </c>
    </row>
    <row r="74" spans="1:35" x14ac:dyDescent="0.2">
      <c r="A74">
        <f t="shared" si="19"/>
        <v>110</v>
      </c>
      <c r="B74">
        <f>VLOOKUP(A74,Table22[#All],3,FALSE)</f>
        <v>0.62439196649999995</v>
      </c>
      <c r="C74">
        <f t="shared" si="0"/>
        <v>0.37560803350000005</v>
      </c>
      <c r="D74">
        <f t="shared" si="1"/>
        <v>0.80723016596172825</v>
      </c>
      <c r="E74">
        <f t="shared" si="2"/>
        <v>0.80723016596172825</v>
      </c>
      <c r="G74">
        <f t="shared" si="20"/>
        <v>110</v>
      </c>
      <c r="H74">
        <f t="shared" si="3"/>
        <v>0.62439196649999995</v>
      </c>
      <c r="I74">
        <f>Lapses!B51</f>
        <v>0</v>
      </c>
      <c r="J74">
        <f t="shared" si="4"/>
        <v>0.37560803350000005</v>
      </c>
      <c r="K74">
        <f t="shared" si="21"/>
        <v>5.1961473670316348E-5</v>
      </c>
      <c r="M74">
        <v>50</v>
      </c>
      <c r="N74">
        <f t="shared" si="5"/>
        <v>0</v>
      </c>
      <c r="O74">
        <f t="shared" si="22"/>
        <v>300</v>
      </c>
      <c r="P74">
        <f>VLOOKUP(G74,'Death Benefits'!$A$1:$E$98,4,FALSE)</f>
        <v>594594.59459999995</v>
      </c>
      <c r="Q74">
        <f t="shared" si="6"/>
        <v>369108.34870216949</v>
      </c>
      <c r="S74">
        <v>50</v>
      </c>
      <c r="T74">
        <f t="shared" si="7"/>
        <v>369108.34870216949</v>
      </c>
      <c r="U74">
        <f t="shared" si="8"/>
        <v>2233.3450640743572</v>
      </c>
      <c r="W74">
        <v>50</v>
      </c>
      <c r="X74">
        <f t="shared" si="9"/>
        <v>0</v>
      </c>
      <c r="Y74">
        <f t="shared" si="10"/>
        <v>-300</v>
      </c>
      <c r="Z74">
        <f t="shared" si="11"/>
        <v>-371260.0881925642</v>
      </c>
      <c r="AA74">
        <v>0</v>
      </c>
      <c r="AB74">
        <f t="shared" si="12"/>
        <v>-18.179099999999998</v>
      </c>
      <c r="AC74">
        <f t="shared" si="13"/>
        <v>-2233.3450640743572</v>
      </c>
      <c r="AD74">
        <f t="shared" si="14"/>
        <v>-373811.61235663859</v>
      </c>
      <c r="AE74">
        <f t="shared" si="15"/>
        <v>-138640.06100445418</v>
      </c>
      <c r="AF74">
        <f t="shared" si="16"/>
        <v>-512451.67336109281</v>
      </c>
      <c r="AG74">
        <f t="shared" si="17"/>
        <v>5.2781324342921029E-2</v>
      </c>
      <c r="AH74">
        <f t="shared" si="18"/>
        <v>-1.4054475995863442</v>
      </c>
      <c r="AI74">
        <f t="shared" si="23"/>
        <v>0</v>
      </c>
    </row>
    <row r="75" spans="1:35" x14ac:dyDescent="0.2">
      <c r="A75">
        <f t="shared" si="19"/>
        <v>111</v>
      </c>
      <c r="B75">
        <f>VLOOKUP(A75,Table22[#All],3,FALSE)</f>
        <v>0.65439899189999995</v>
      </c>
      <c r="C75">
        <f t="shared" si="0"/>
        <v>0.34560100810000005</v>
      </c>
      <c r="D75">
        <f t="shared" si="1"/>
        <v>0.61701003482001171</v>
      </c>
      <c r="E75">
        <f t="shared" si="2"/>
        <v>0.61701003482001171</v>
      </c>
      <c r="G75">
        <f t="shared" si="20"/>
        <v>111</v>
      </c>
      <c r="H75">
        <f t="shared" si="3"/>
        <v>0.65439899189999995</v>
      </c>
      <c r="I75">
        <f>Lapses!B52</f>
        <v>0</v>
      </c>
      <c r="J75">
        <f t="shared" si="4"/>
        <v>0.34560100810000005</v>
      </c>
      <c r="K75">
        <f t="shared" si="21"/>
        <v>1.9517146943069552E-5</v>
      </c>
      <c r="M75">
        <v>51</v>
      </c>
      <c r="N75">
        <f t="shared" si="5"/>
        <v>0</v>
      </c>
      <c r="O75">
        <f t="shared" si="22"/>
        <v>300</v>
      </c>
      <c r="P75">
        <f>VLOOKUP(G75,'Death Benefits'!$A$1:$E$98,4,FALSE)</f>
        <v>594594.59459999995</v>
      </c>
      <c r="Q75">
        <v>0</v>
      </c>
      <c r="S75">
        <v>51</v>
      </c>
      <c r="T75">
        <f t="shared" si="7"/>
        <v>0</v>
      </c>
      <c r="U75">
        <f t="shared" si="8"/>
        <v>2054.9249130457083</v>
      </c>
      <c r="W75">
        <v>51</v>
      </c>
      <c r="X75">
        <f t="shared" si="9"/>
        <v>0</v>
      </c>
      <c r="Y75">
        <f t="shared" si="10"/>
        <v>-300</v>
      </c>
      <c r="Z75">
        <f t="shared" si="11"/>
        <v>-389102.10329542914</v>
      </c>
      <c r="AA75">
        <v>0</v>
      </c>
      <c r="AB75">
        <f t="shared" si="12"/>
        <v>-18.179099999999998</v>
      </c>
      <c r="AC75">
        <f t="shared" si="13"/>
        <v>-2054.9249130457083</v>
      </c>
      <c r="AD75">
        <f t="shared" si="14"/>
        <v>-391475.20730847487</v>
      </c>
      <c r="AE75">
        <f t="shared" si="15"/>
        <v>0</v>
      </c>
      <c r="AF75">
        <f t="shared" si="16"/>
        <v>-391475.20730847487</v>
      </c>
      <c r="AG75">
        <f t="shared" si="17"/>
        <v>4.9765673807224638E-2</v>
      </c>
      <c r="AH75">
        <f t="shared" si="18"/>
        <v>-0.38023359289123609</v>
      </c>
      <c r="AI75">
        <f t="shared" si="23"/>
        <v>0</v>
      </c>
    </row>
  </sheetData>
  <mergeCells count="6">
    <mergeCell ref="AF23:AI23"/>
    <mergeCell ref="A23:E23"/>
    <mergeCell ref="G23:K23"/>
    <mergeCell ref="M23:Q23"/>
    <mergeCell ref="S23:U23"/>
    <mergeCell ref="W23:AE23"/>
  </mergeCells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8E10E01-FE1D-234F-B9B8-B7F492B96D3B}">
          <x14:formula1>
            <xm:f>'Female Lifetable'!$A$2:$A$66</xm:f>
          </x14:formula1>
          <xm:sqref>B2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34785-EF33-014C-B8ED-DF921F79D1E7}">
  <dimension ref="A1:AL104"/>
  <sheetViews>
    <sheetView workbookViewId="0">
      <selection activeCell="B92" sqref="B92:N103"/>
    </sheetView>
  </sheetViews>
  <sheetFormatPr baseColWidth="10" defaultRowHeight="16" x14ac:dyDescent="0.2"/>
  <cols>
    <col min="1" max="4" width="19" customWidth="1"/>
    <col min="5" max="5" width="23.33203125" customWidth="1"/>
  </cols>
  <sheetData>
    <row r="1" spans="1:38" ht="19" x14ac:dyDescent="0.25">
      <c r="A1" s="45" t="s">
        <v>18</v>
      </c>
      <c r="B1" s="45"/>
      <c r="C1" s="45"/>
      <c r="D1" s="45"/>
      <c r="E1" s="46">
        <f>ROUND(VLOOKUP(E2,Table2[#All],15,FALSE),0)</f>
        <v>269</v>
      </c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ht="19" x14ac:dyDescent="0.25">
      <c r="A2" s="45" t="s">
        <v>0</v>
      </c>
      <c r="B2" s="45"/>
      <c r="C2" s="45"/>
      <c r="D2" s="45"/>
      <c r="E2" s="46">
        <v>36</v>
      </c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7"/>
      <c r="AK2" s="47"/>
      <c r="AL2" s="47"/>
    </row>
    <row r="3" spans="1:38" ht="19" x14ac:dyDescent="0.25">
      <c r="A3" s="45" t="s">
        <v>13</v>
      </c>
      <c r="B3" s="45"/>
      <c r="C3" s="45"/>
      <c r="D3" s="45"/>
      <c r="E3" s="46">
        <f>VLOOKUP(E2,Table2[#All],10,FALSE)</f>
        <v>3470</v>
      </c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  <c r="AK3" s="47"/>
      <c r="AL3" s="47"/>
    </row>
    <row r="4" spans="1:38" ht="19" x14ac:dyDescent="0.25">
      <c r="A4" s="45" t="s">
        <v>6</v>
      </c>
      <c r="B4" s="45"/>
      <c r="C4" s="45"/>
      <c r="D4" s="45"/>
      <c r="E4" s="13">
        <v>6.0596999999999998E-2</v>
      </c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</row>
    <row r="5" spans="1:38" ht="19" x14ac:dyDescent="0.25">
      <c r="A5" s="45" t="s">
        <v>4</v>
      </c>
      <c r="B5" s="45"/>
      <c r="C5" s="45"/>
      <c r="D5" s="45"/>
      <c r="E5" s="13">
        <f>(1+E4)^(-1)</f>
        <v>0.94286519761983112</v>
      </c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  <c r="AK5" s="47"/>
      <c r="AL5" s="47"/>
    </row>
    <row r="6" spans="1:38" ht="19" x14ac:dyDescent="0.25">
      <c r="A6" s="45" t="s">
        <v>52</v>
      </c>
      <c r="B6" s="45"/>
      <c r="C6" s="45"/>
      <c r="D6" s="45"/>
      <c r="E6" s="13">
        <v>0.01</v>
      </c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</row>
    <row r="7" spans="1:38" ht="19" x14ac:dyDescent="0.25">
      <c r="A7" s="45" t="s">
        <v>8</v>
      </c>
      <c r="B7" s="45"/>
      <c r="C7" s="45"/>
      <c r="D7" s="45"/>
      <c r="E7" s="46" t="s">
        <v>9</v>
      </c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</row>
    <row r="8" spans="1:38" ht="19" x14ac:dyDescent="0.25">
      <c r="A8" s="45" t="s">
        <v>10</v>
      </c>
      <c r="B8" s="45"/>
      <c r="C8" s="45"/>
      <c r="D8" s="45"/>
      <c r="E8" s="46" t="s">
        <v>49</v>
      </c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</row>
    <row r="9" spans="1:38" ht="19" x14ac:dyDescent="0.25">
      <c r="A9" s="45" t="s">
        <v>42</v>
      </c>
      <c r="B9" s="45"/>
      <c r="C9" s="45"/>
      <c r="D9" s="45"/>
      <c r="E9" s="45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</row>
    <row r="10" spans="1:38" ht="19" x14ac:dyDescent="0.25">
      <c r="A10" s="45" t="s">
        <v>36</v>
      </c>
      <c r="B10" s="45"/>
      <c r="C10" s="45"/>
      <c r="D10" s="45"/>
      <c r="E10" s="46">
        <v>0</v>
      </c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  <c r="AL10" s="47"/>
    </row>
    <row r="11" spans="1:38" ht="19" x14ac:dyDescent="0.25">
      <c r="A11" s="45" t="s">
        <v>91</v>
      </c>
      <c r="B11" s="45"/>
      <c r="C11" s="45"/>
      <c r="D11" s="45"/>
      <c r="E11" s="46">
        <v>300</v>
      </c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  <c r="AJ11" s="47"/>
      <c r="AK11" s="47"/>
      <c r="AL11" s="47"/>
    </row>
    <row r="12" spans="1:38" ht="19" x14ac:dyDescent="0.25">
      <c r="A12" s="45" t="s">
        <v>88</v>
      </c>
      <c r="B12" s="45"/>
      <c r="C12" s="45"/>
      <c r="D12" s="45"/>
      <c r="E12" s="48">
        <f>NPV(E4,AB25:AB75)</f>
        <v>-7693.2458934100332</v>
      </c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  <c r="AL12" s="47"/>
    </row>
    <row r="13" spans="1:38" ht="19" x14ac:dyDescent="0.25">
      <c r="A13" s="45" t="s">
        <v>103</v>
      </c>
      <c r="B13" s="45"/>
      <c r="C13" s="45"/>
      <c r="D13" s="45"/>
      <c r="E13" s="48">
        <f>E12*E1</f>
        <v>-2069483.1453272989</v>
      </c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47"/>
      <c r="AK13" s="47"/>
      <c r="AL13" s="47"/>
    </row>
    <row r="14" spans="1:38" ht="19" x14ac:dyDescent="0.25">
      <c r="A14" s="45" t="s">
        <v>89</v>
      </c>
      <c r="B14" s="45"/>
      <c r="C14" s="45"/>
      <c r="D14" s="45"/>
      <c r="E14" s="48">
        <v>-2037753.28</v>
      </c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47"/>
      <c r="AJ14" s="47"/>
      <c r="AK14" s="47"/>
      <c r="AL14" s="47"/>
    </row>
    <row r="15" spans="1:38" ht="19" x14ac:dyDescent="0.25">
      <c r="A15" s="45" t="s">
        <v>90</v>
      </c>
      <c r="B15" s="45"/>
      <c r="C15" s="45"/>
      <c r="D15" s="45"/>
      <c r="E15" s="48">
        <v>-94192.65</v>
      </c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</row>
    <row r="16" spans="1:38" ht="19" x14ac:dyDescent="0.25">
      <c r="A16" s="45" t="s">
        <v>94</v>
      </c>
      <c r="B16" s="45"/>
      <c r="C16" s="45"/>
      <c r="D16" s="45"/>
      <c r="E16" s="48">
        <f>SUM(AK25:AK75)</f>
        <v>-2257646.9182791887</v>
      </c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</row>
    <row r="17" spans="1:38" ht="19" x14ac:dyDescent="0.25">
      <c r="A17" s="45" t="s">
        <v>107</v>
      </c>
      <c r="B17" s="45"/>
      <c r="C17" s="45"/>
      <c r="D17" s="45"/>
      <c r="E17" s="48">
        <f>E16*E1</f>
        <v>-607307021.01710176</v>
      </c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</row>
    <row r="18" spans="1:38" ht="19" x14ac:dyDescent="0.25">
      <c r="A18" s="45" t="s">
        <v>95</v>
      </c>
      <c r="B18" s="45"/>
      <c r="C18" s="45"/>
      <c r="D18" s="45"/>
      <c r="E18" s="48">
        <v>245.63</v>
      </c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</row>
    <row r="19" spans="1:38" ht="19" x14ac:dyDescent="0.25">
      <c r="A19" s="45" t="s">
        <v>125</v>
      </c>
      <c r="B19" s="45"/>
      <c r="C19" s="45"/>
      <c r="D19" s="45"/>
      <c r="E19" s="48">
        <f>E17-'Female SPWL (before)'!B16</f>
        <v>15440282328.982899</v>
      </c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</row>
    <row r="20" spans="1:38" ht="19" x14ac:dyDescent="0.25">
      <c r="A20" s="45" t="s">
        <v>126</v>
      </c>
      <c r="B20" s="45"/>
      <c r="C20" s="45"/>
      <c r="D20" s="45"/>
      <c r="E20" s="48">
        <v>42775.94</v>
      </c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</row>
    <row r="21" spans="1:38" ht="19" x14ac:dyDescent="0.25">
      <c r="A21" s="45" t="s">
        <v>124</v>
      </c>
      <c r="B21" s="45"/>
      <c r="C21" s="45"/>
      <c r="D21" s="45"/>
      <c r="E21" s="46">
        <f>E19/ABS('Female SPWL (before)'!B16)</f>
        <v>0.96215587227641131</v>
      </c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</row>
    <row r="22" spans="1:38" x14ac:dyDescent="0.2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</row>
    <row r="23" spans="1:38" ht="19" x14ac:dyDescent="0.25">
      <c r="A23" s="63" t="s">
        <v>66</v>
      </c>
      <c r="B23" s="63"/>
      <c r="C23" s="63"/>
      <c r="D23" s="63"/>
      <c r="E23" s="63"/>
      <c r="F23" s="63"/>
      <c r="G23" s="63"/>
      <c r="H23" s="63"/>
      <c r="I23" s="47"/>
      <c r="J23" s="63" t="s">
        <v>65</v>
      </c>
      <c r="K23" s="63"/>
      <c r="L23" s="63"/>
      <c r="M23" s="63"/>
      <c r="N23" s="63"/>
      <c r="O23" s="47"/>
      <c r="P23" s="63" t="s">
        <v>67</v>
      </c>
      <c r="Q23" s="63"/>
      <c r="R23" s="63"/>
      <c r="S23" s="63"/>
      <c r="T23" s="63"/>
      <c r="U23" s="47"/>
      <c r="V23" s="63" t="s">
        <v>46</v>
      </c>
      <c r="W23" s="63"/>
      <c r="X23" s="63"/>
      <c r="Y23" s="47"/>
      <c r="Z23" s="63" t="s">
        <v>68</v>
      </c>
      <c r="AA23" s="63"/>
      <c r="AB23" s="63"/>
      <c r="AC23" s="63"/>
      <c r="AD23" s="63"/>
      <c r="AE23" s="63"/>
      <c r="AF23" s="63"/>
      <c r="AG23" s="63"/>
      <c r="AH23" s="63"/>
      <c r="AI23" s="63" t="s">
        <v>69</v>
      </c>
      <c r="AJ23" s="63"/>
      <c r="AK23" s="63"/>
      <c r="AL23" s="63"/>
    </row>
    <row r="24" spans="1:38" ht="19" x14ac:dyDescent="0.25">
      <c r="A24" s="49" t="s">
        <v>5</v>
      </c>
      <c r="B24" s="49" t="s">
        <v>131</v>
      </c>
      <c r="C24" s="49" t="s">
        <v>132</v>
      </c>
      <c r="D24" s="49" t="s">
        <v>133</v>
      </c>
      <c r="E24" s="49" t="s">
        <v>1</v>
      </c>
      <c r="F24" s="49" t="s">
        <v>2</v>
      </c>
      <c r="G24" s="49" t="s">
        <v>3</v>
      </c>
      <c r="H24" s="50" t="s">
        <v>7</v>
      </c>
      <c r="I24" s="47"/>
      <c r="J24" s="49" t="s">
        <v>5</v>
      </c>
      <c r="K24" s="51" t="s">
        <v>26</v>
      </c>
      <c r="L24" s="51" t="s">
        <v>47</v>
      </c>
      <c r="M24" s="51" t="s">
        <v>27</v>
      </c>
      <c r="N24" s="52" t="s">
        <v>28</v>
      </c>
      <c r="O24" s="47"/>
      <c r="P24" s="49" t="s">
        <v>34</v>
      </c>
      <c r="Q24" s="49" t="s">
        <v>12</v>
      </c>
      <c r="R24" s="49" t="s">
        <v>13</v>
      </c>
      <c r="S24" s="49" t="s">
        <v>14</v>
      </c>
      <c r="T24" s="50" t="s">
        <v>35</v>
      </c>
      <c r="U24" s="47"/>
      <c r="V24" s="51" t="s">
        <v>34</v>
      </c>
      <c r="W24" s="49" t="s">
        <v>16</v>
      </c>
      <c r="X24" s="50" t="s">
        <v>17</v>
      </c>
      <c r="Y24" s="47"/>
      <c r="Z24" s="51" t="s">
        <v>34</v>
      </c>
      <c r="AA24" s="49" t="s">
        <v>29</v>
      </c>
      <c r="AB24" s="49" t="s">
        <v>30</v>
      </c>
      <c r="AC24" s="49" t="s">
        <v>31</v>
      </c>
      <c r="AD24" s="49" t="s">
        <v>32</v>
      </c>
      <c r="AE24" s="49" t="s">
        <v>33</v>
      </c>
      <c r="AF24" s="49" t="s">
        <v>51</v>
      </c>
      <c r="AG24" s="49" t="s">
        <v>43</v>
      </c>
      <c r="AH24" s="49" t="s">
        <v>44</v>
      </c>
      <c r="AI24" s="49" t="s">
        <v>45</v>
      </c>
      <c r="AJ24" s="49" t="s">
        <v>41</v>
      </c>
      <c r="AK24" s="49" t="s">
        <v>38</v>
      </c>
      <c r="AL24" s="50" t="s">
        <v>39</v>
      </c>
    </row>
    <row r="25" spans="1:38" x14ac:dyDescent="0.2">
      <c r="A25" s="47">
        <v>36</v>
      </c>
      <c r="B25" s="47">
        <f>VLOOKUP(A25,Table22[#All],2,FALSE)</f>
        <v>7.790214363E-4</v>
      </c>
      <c r="C25" s="47">
        <v>0.1</v>
      </c>
      <c r="D25" s="47">
        <v>0.15</v>
      </c>
      <c r="E25" s="47">
        <f>B25*(1-C25)*(1-D25)</f>
        <v>5.9595139876950001E-4</v>
      </c>
      <c r="F25" s="47">
        <f>1-E25</f>
        <v>0.99940404860123055</v>
      </c>
      <c r="G25" s="47">
        <v>4.3821810000000003E-2</v>
      </c>
      <c r="H25" s="47">
        <v>2.813152E-2</v>
      </c>
      <c r="I25" s="47"/>
      <c r="J25" s="47">
        <v>36</v>
      </c>
      <c r="K25" s="47">
        <f>E25</f>
        <v>5.9595139876950001E-4</v>
      </c>
      <c r="L25" s="47">
        <f>Lapses!B2</f>
        <v>9.8600000000000007E-3</v>
      </c>
      <c r="M25" s="47">
        <f>1-K25-L25</f>
        <v>0.98954404860123057</v>
      </c>
      <c r="N25" s="47">
        <v>1</v>
      </c>
      <c r="O25" s="47"/>
      <c r="P25" s="47">
        <v>1</v>
      </c>
      <c r="Q25" s="47">
        <v>0</v>
      </c>
      <c r="R25" s="47">
        <f>E3</f>
        <v>3470</v>
      </c>
      <c r="S25" s="47">
        <f>VLOOKUP(J25,Table1[#All],5,FALSE)</f>
        <v>726057.90650000004</v>
      </c>
      <c r="T25" s="47">
        <f>ABS(MIN(AG26-T26*M26,0))*$E$5</f>
        <v>135488.74380007392</v>
      </c>
      <c r="U25" s="47"/>
      <c r="V25" s="47">
        <v>1</v>
      </c>
      <c r="W25" s="47">
        <f>T25</f>
        <v>135488.74380007392</v>
      </c>
      <c r="X25" s="47">
        <f>S25*M25*$E$6</f>
        <v>7184.6628031694381</v>
      </c>
      <c r="Y25" s="47"/>
      <c r="Z25" s="47">
        <v>1</v>
      </c>
      <c r="AA25" s="47">
        <v>0</v>
      </c>
      <c r="AB25" s="47">
        <f>-R25</f>
        <v>-3470</v>
      </c>
      <c r="AC25" s="47">
        <f>-S25*K25</f>
        <v>-432.69522496632987</v>
      </c>
      <c r="AD25" s="47">
        <v>0</v>
      </c>
      <c r="AE25" s="47">
        <f>SUM(AA25:AB25)*$E$4</f>
        <v>-210.27159</v>
      </c>
      <c r="AF25" s="47">
        <f>-X25</f>
        <v>-7184.6628031694381</v>
      </c>
      <c r="AG25" s="47">
        <f>SUM(AA25:AF25)</f>
        <v>-11297.629618135768</v>
      </c>
      <c r="AH25" s="47">
        <f>-W25*M25</f>
        <v>-134072.08007982004</v>
      </c>
      <c r="AI25" s="47">
        <f>SUM(AG25:AH25)</f>
        <v>-145369.70969795581</v>
      </c>
      <c r="AJ25" s="47">
        <f>$E$5^Z25</f>
        <v>0.94286519761983112</v>
      </c>
      <c r="AK25" s="47">
        <f>AI25*AJ25*N25</f>
        <v>-137064.0400623006</v>
      </c>
      <c r="AL25" s="47">
        <v>0</v>
      </c>
    </row>
    <row r="26" spans="1:38" x14ac:dyDescent="0.2">
      <c r="A26" s="47">
        <v>37</v>
      </c>
      <c r="B26" s="47">
        <f>VLOOKUP(A26,Table22[#All],2,FALSE)</f>
        <v>8.0064680800000004E-4</v>
      </c>
      <c r="C26" s="47">
        <f>C25</f>
        <v>0.1</v>
      </c>
      <c r="D26" s="47">
        <f>D25</f>
        <v>0.15</v>
      </c>
      <c r="E26" s="47">
        <f t="shared" ref="E26:E75" si="0">B26*(1-C26)*(1-D26)</f>
        <v>6.1249480812000006E-4</v>
      </c>
      <c r="F26" s="47">
        <f t="shared" ref="F26:F75" si="1">1-E26</f>
        <v>0.99938750519188002</v>
      </c>
      <c r="G26" s="47">
        <v>4.6007230000000003E-2</v>
      </c>
      <c r="H26" s="47">
        <v>2.9055020000000001E-2</v>
      </c>
      <c r="I26" s="47"/>
      <c r="J26" s="47">
        <v>37</v>
      </c>
      <c r="K26" s="47">
        <f t="shared" ref="K26:K75" si="2">E26</f>
        <v>6.1249480812000006E-4</v>
      </c>
      <c r="L26" s="47">
        <f>Lapses!B3</f>
        <v>9.92E-3</v>
      </c>
      <c r="M26" s="47">
        <f t="shared" ref="M26:M75" si="3">1-K26-L26</f>
        <v>0.98946750519187998</v>
      </c>
      <c r="N26" s="47">
        <f>M25*N25</f>
        <v>0.98954404860123057</v>
      </c>
      <c r="O26" s="47"/>
      <c r="P26" s="47">
        <v>2</v>
      </c>
      <c r="Q26" s="47">
        <v>0</v>
      </c>
      <c r="R26" s="47">
        <f>$E$11</f>
        <v>300</v>
      </c>
      <c r="S26" s="47">
        <f>VLOOKUP(J26,Table1[#All],5,FALSE)</f>
        <v>742290.74890000001</v>
      </c>
      <c r="T26" s="47">
        <f t="shared" ref="T26:T75" si="4">ABS(MIN(AG27-T27*M27,0))*$E$5</f>
        <v>137024.6121398469</v>
      </c>
      <c r="U26" s="47"/>
      <c r="V26" s="47">
        <v>2</v>
      </c>
      <c r="W26" s="47">
        <f t="shared" ref="W26:W75" si="5">T26</f>
        <v>137024.6121398469</v>
      </c>
      <c r="X26" s="47">
        <f t="shared" ref="X26:X75" si="6">S26*M26*$E$6</f>
        <v>7344.7257544109525</v>
      </c>
      <c r="Y26" s="47"/>
      <c r="Z26" s="47">
        <v>2</v>
      </c>
      <c r="AA26" s="47">
        <v>0</v>
      </c>
      <c r="AB26" s="47">
        <f>-R26</f>
        <v>-300</v>
      </c>
      <c r="AC26" s="47">
        <f t="shared" ref="AC26:AC75" si="7">-S26*K26</f>
        <v>-454.64922981675664</v>
      </c>
      <c r="AD26" s="47">
        <v>0</v>
      </c>
      <c r="AE26" s="47">
        <f t="shared" ref="AE26:AE75" si="8">SUM(AA26:AB26)*$E$4</f>
        <v>-18.179099999999998</v>
      </c>
      <c r="AF26" s="47">
        <f t="shared" ref="AF26:AF75" si="9">-X26</f>
        <v>-7344.7257544109525</v>
      </c>
      <c r="AG26" s="47">
        <f t="shared" ref="AG26:AG75" si="10">SUM(AA26:AF26)</f>
        <v>-8117.5540842277087</v>
      </c>
      <c r="AH26" s="47">
        <f t="shared" ref="AH26:AH75" si="11">-W26*M26</f>
        <v>-135581.4011238993</v>
      </c>
      <c r="AI26" s="47">
        <f t="shared" ref="AI26:AI75" si="12">SUM(AG26:AH26)</f>
        <v>-143698.95520812701</v>
      </c>
      <c r="AJ26" s="47">
        <f t="shared" ref="AJ26:AJ75" si="13">$E$5^Z26</f>
        <v>0.88899478088268324</v>
      </c>
      <c r="AK26" s="47">
        <f t="shared" ref="AK26:AK75" si="14">AI26*AJ26*N26</f>
        <v>-126411.89827976134</v>
      </c>
      <c r="AL26" s="47">
        <v>0</v>
      </c>
    </row>
    <row r="27" spans="1:38" x14ac:dyDescent="0.2">
      <c r="A27" s="47">
        <v>38</v>
      </c>
      <c r="B27" s="47">
        <f>VLOOKUP(A27,Table22[#All],2,FALSE)</f>
        <v>8.2948714519999998E-4</v>
      </c>
      <c r="C27" s="47">
        <f t="shared" ref="C27:C75" si="15">C26</f>
        <v>0.1</v>
      </c>
      <c r="D27" s="47">
        <f t="shared" ref="D27:D75" si="16">D26</f>
        <v>0.15</v>
      </c>
      <c r="E27" s="47">
        <f t="shared" si="0"/>
        <v>6.3455766607799994E-4</v>
      </c>
      <c r="F27" s="47">
        <f t="shared" si="1"/>
        <v>0.99936544233392199</v>
      </c>
      <c r="G27" s="47">
        <v>4.8313200000000001E-2</v>
      </c>
      <c r="H27" s="47">
        <v>2.9973880000000001E-2</v>
      </c>
      <c r="I27" s="47"/>
      <c r="J27" s="47">
        <v>38</v>
      </c>
      <c r="K27" s="47">
        <f t="shared" si="2"/>
        <v>6.3455766607799994E-4</v>
      </c>
      <c r="L27" s="47">
        <f>Lapses!B4</f>
        <v>9.9399999999999992E-3</v>
      </c>
      <c r="M27" s="47">
        <f t="shared" si="3"/>
        <v>0.98942544233392205</v>
      </c>
      <c r="N27" s="47">
        <f t="shared" ref="N27:N75" si="17">M26*N26</f>
        <v>0.97912168104693209</v>
      </c>
      <c r="O27" s="47"/>
      <c r="P27" s="47">
        <v>3</v>
      </c>
      <c r="Q27" s="47">
        <v>0</v>
      </c>
      <c r="R27" s="47">
        <f t="shared" ref="R27:R75" si="18">$E$11</f>
        <v>300</v>
      </c>
      <c r="S27" s="47">
        <f>VLOOKUP(J27,Table1[#All],5,FALSE)</f>
        <v>724373.57629999996</v>
      </c>
      <c r="T27" s="47">
        <f t="shared" si="4"/>
        <v>138851.21032486844</v>
      </c>
      <c r="U27" s="47"/>
      <c r="V27" s="47">
        <v>3</v>
      </c>
      <c r="W27" s="47">
        <f t="shared" si="5"/>
        <v>138851.21032486844</v>
      </c>
      <c r="X27" s="47">
        <f t="shared" si="6"/>
        <v>7167.1364614563254</v>
      </c>
      <c r="Y27" s="47"/>
      <c r="Z27" s="47">
        <v>3</v>
      </c>
      <c r="AA27" s="47">
        <v>0</v>
      </c>
      <c r="AB27" s="47">
        <f t="shared" ref="AB27:AB75" si="19">-R27</f>
        <v>-300</v>
      </c>
      <c r="AC27" s="47">
        <f t="shared" si="7"/>
        <v>-459.65680594550196</v>
      </c>
      <c r="AD27" s="47">
        <v>0</v>
      </c>
      <c r="AE27" s="47">
        <f t="shared" si="8"/>
        <v>-18.179099999999998</v>
      </c>
      <c r="AF27" s="47">
        <f t="shared" si="9"/>
        <v>-7167.1364614563254</v>
      </c>
      <c r="AG27" s="47">
        <f t="shared" si="10"/>
        <v>-7944.9723674018269</v>
      </c>
      <c r="AH27" s="47">
        <f t="shared" si="11"/>
        <v>-137382.92019428339</v>
      </c>
      <c r="AI27" s="47">
        <f t="shared" si="12"/>
        <v>-145327.89256168521</v>
      </c>
      <c r="AJ27" s="47">
        <f t="shared" si="13"/>
        <v>0.83820223975994956</v>
      </c>
      <c r="AK27" s="47">
        <f t="shared" si="14"/>
        <v>-119270.89005399091</v>
      </c>
      <c r="AL27" s="47">
        <v>0</v>
      </c>
    </row>
    <row r="28" spans="1:38" x14ac:dyDescent="0.2">
      <c r="A28" s="47">
        <v>39</v>
      </c>
      <c r="B28" s="47">
        <f>VLOOKUP(A28,Table22[#All],2,FALSE)</f>
        <v>8.6837994030000004E-4</v>
      </c>
      <c r="C28" s="47">
        <f t="shared" si="15"/>
        <v>0.1</v>
      </c>
      <c r="D28" s="47">
        <f t="shared" si="16"/>
        <v>0.15</v>
      </c>
      <c r="E28" s="47">
        <f t="shared" si="0"/>
        <v>6.6431065432949997E-4</v>
      </c>
      <c r="F28" s="47">
        <f t="shared" si="1"/>
        <v>0.99933568934567052</v>
      </c>
      <c r="G28" s="47">
        <v>5.0742830000000003E-2</v>
      </c>
      <c r="H28" s="47">
        <v>3.0877060000000001E-2</v>
      </c>
      <c r="I28" s="47"/>
      <c r="J28" s="47">
        <v>39</v>
      </c>
      <c r="K28" s="47">
        <f t="shared" si="2"/>
        <v>6.6431065432949997E-4</v>
      </c>
      <c r="L28" s="47">
        <f>Lapses!B5</f>
        <v>1.0019999999999999E-2</v>
      </c>
      <c r="M28" s="47">
        <f t="shared" si="3"/>
        <v>0.98931568934567049</v>
      </c>
      <c r="N28" s="47">
        <f t="shared" si="17"/>
        <v>0.96876790236859411</v>
      </c>
      <c r="O28" s="47"/>
      <c r="P28" s="47">
        <v>4</v>
      </c>
      <c r="Q28" s="47">
        <v>0</v>
      </c>
      <c r="R28" s="47">
        <f t="shared" si="18"/>
        <v>300</v>
      </c>
      <c r="S28" s="47">
        <f>VLOOKUP(J28,Table1[#All],5,FALSE)</f>
        <v>786447.63859999995</v>
      </c>
      <c r="T28" s="47">
        <f t="shared" si="4"/>
        <v>140141.41702945251</v>
      </c>
      <c r="U28" s="47"/>
      <c r="V28" s="47">
        <v>4</v>
      </c>
      <c r="W28" s="47">
        <f t="shared" si="5"/>
        <v>140141.41702945251</v>
      </c>
      <c r="X28" s="47">
        <f t="shared" si="6"/>
        <v>7780.4498771583376</v>
      </c>
      <c r="Y28" s="47"/>
      <c r="Z28" s="47">
        <v>4</v>
      </c>
      <c r="AA28" s="47">
        <v>0</v>
      </c>
      <c r="AB28" s="47">
        <f t="shared" si="19"/>
        <v>-300</v>
      </c>
      <c r="AC28" s="47">
        <f t="shared" si="7"/>
        <v>-522.4455453942561</v>
      </c>
      <c r="AD28" s="47">
        <v>0</v>
      </c>
      <c r="AE28" s="47">
        <f t="shared" si="8"/>
        <v>-18.179099999999998</v>
      </c>
      <c r="AF28" s="47">
        <f t="shared" si="9"/>
        <v>-7780.4498771583376</v>
      </c>
      <c r="AG28" s="47">
        <f t="shared" si="10"/>
        <v>-8621.0745225525934</v>
      </c>
      <c r="AH28" s="47">
        <f t="shared" si="11"/>
        <v>-138644.10259437189</v>
      </c>
      <c r="AI28" s="47">
        <f t="shared" si="12"/>
        <v>-147265.17711692449</v>
      </c>
      <c r="AJ28" s="47">
        <f t="shared" si="13"/>
        <v>0.79031172043664999</v>
      </c>
      <c r="AK28" s="47">
        <f t="shared" si="14"/>
        <v>-112750.43545294342</v>
      </c>
      <c r="AL28" s="47">
        <v>0</v>
      </c>
    </row>
    <row r="29" spans="1:38" x14ac:dyDescent="0.2">
      <c r="A29" s="47">
        <v>40</v>
      </c>
      <c r="B29" s="47">
        <f>VLOOKUP(A29,Table22[#All],2,FALSE)</f>
        <v>9.2016268579999999E-4</v>
      </c>
      <c r="C29" s="47">
        <f t="shared" si="15"/>
        <v>0.1</v>
      </c>
      <c r="D29" s="47">
        <f t="shared" si="16"/>
        <v>0.15</v>
      </c>
      <c r="E29" s="47">
        <f t="shared" si="0"/>
        <v>7.039244546369999E-4</v>
      </c>
      <c r="F29" s="47">
        <f t="shared" si="1"/>
        <v>0.99929607554536304</v>
      </c>
      <c r="G29" s="47">
        <v>5.3297730000000001E-2</v>
      </c>
      <c r="H29" s="47">
        <v>3.175149E-2</v>
      </c>
      <c r="I29" s="47"/>
      <c r="J29" s="47">
        <v>40</v>
      </c>
      <c r="K29" s="47">
        <f t="shared" si="2"/>
        <v>7.039244546369999E-4</v>
      </c>
      <c r="L29" s="47">
        <f>Lapses!B6</f>
        <v>9.8499999999999994E-3</v>
      </c>
      <c r="M29" s="47">
        <f t="shared" si="3"/>
        <v>0.98944607554536301</v>
      </c>
      <c r="N29" s="47">
        <f t="shared" si="17"/>
        <v>0.95841728514774494</v>
      </c>
      <c r="O29" s="47"/>
      <c r="P29" s="47">
        <v>5</v>
      </c>
      <c r="Q29" s="47">
        <v>0</v>
      </c>
      <c r="R29" s="47">
        <f t="shared" si="18"/>
        <v>300</v>
      </c>
      <c r="S29" s="47">
        <f>VLOOKUP(J29,Table1[#All],5,FALSE)</f>
        <v>773218.14249999996</v>
      </c>
      <c r="T29" s="47">
        <f t="shared" si="4"/>
        <v>141615.11891823803</v>
      </c>
      <c r="U29" s="47"/>
      <c r="V29" s="47">
        <v>5</v>
      </c>
      <c r="W29" s="47">
        <f t="shared" si="5"/>
        <v>141615.11891823803</v>
      </c>
      <c r="X29" s="47">
        <f t="shared" si="6"/>
        <v>7650.5765663710026</v>
      </c>
      <c r="Y29" s="47"/>
      <c r="Z29" s="47">
        <v>5</v>
      </c>
      <c r="AA29" s="47">
        <v>0</v>
      </c>
      <c r="AB29" s="47">
        <f t="shared" si="19"/>
        <v>-300</v>
      </c>
      <c r="AC29" s="47">
        <f t="shared" si="7"/>
        <v>-544.2871592747465</v>
      </c>
      <c r="AD29" s="47">
        <v>0</v>
      </c>
      <c r="AE29" s="47">
        <f t="shared" si="8"/>
        <v>-18.179099999999998</v>
      </c>
      <c r="AF29" s="47">
        <f t="shared" si="9"/>
        <v>-7650.5765663710026</v>
      </c>
      <c r="AG29" s="47">
        <f t="shared" si="10"/>
        <v>-8513.042825645749</v>
      </c>
      <c r="AH29" s="47">
        <f t="shared" si="11"/>
        <v>-140120.52365154051</v>
      </c>
      <c r="AI29" s="47">
        <f t="shared" si="12"/>
        <v>-148633.56647718625</v>
      </c>
      <c r="AJ29" s="47">
        <f t="shared" si="13"/>
        <v>0.74515741647077072</v>
      </c>
      <c r="AK29" s="47">
        <f t="shared" si="14"/>
        <v>-106149.89399759099</v>
      </c>
      <c r="AL29" s="47">
        <v>0</v>
      </c>
    </row>
    <row r="30" spans="1:38" x14ac:dyDescent="0.2">
      <c r="A30" s="47">
        <v>41</v>
      </c>
      <c r="B30" s="47">
        <f>VLOOKUP(A30,Table22[#All],2,FALSE)</f>
        <v>9.8712468829999993E-4</v>
      </c>
      <c r="C30" s="47">
        <f t="shared" si="15"/>
        <v>0.1</v>
      </c>
      <c r="D30" s="47">
        <f t="shared" si="16"/>
        <v>0.15</v>
      </c>
      <c r="E30" s="47">
        <f t="shared" si="0"/>
        <v>7.5515038654949999E-4</v>
      </c>
      <c r="F30" s="47">
        <f t="shared" si="1"/>
        <v>0.9992448496134505</v>
      </c>
      <c r="G30" s="47">
        <v>5.5978E-2</v>
      </c>
      <c r="H30" s="47">
        <v>3.2582170000000001E-2</v>
      </c>
      <c r="I30" s="47"/>
      <c r="J30" s="47">
        <v>41</v>
      </c>
      <c r="K30" s="47">
        <f t="shared" si="2"/>
        <v>7.5515038654949999E-4</v>
      </c>
      <c r="L30" s="47">
        <f>Lapses!B7</f>
        <v>9.7599999999999996E-3</v>
      </c>
      <c r="M30" s="47">
        <f t="shared" si="3"/>
        <v>0.98948484961345051</v>
      </c>
      <c r="N30" s="47">
        <f t="shared" si="17"/>
        <v>0.94830222152427734</v>
      </c>
      <c r="O30" s="47"/>
      <c r="P30" s="47">
        <v>6</v>
      </c>
      <c r="Q30" s="47">
        <v>0</v>
      </c>
      <c r="R30" s="47">
        <f t="shared" si="18"/>
        <v>300</v>
      </c>
      <c r="S30" s="47">
        <f>VLOOKUP(J30,Table1[#All],5,FALSE)</f>
        <v>749473.68420000002</v>
      </c>
      <c r="T30" s="47">
        <f t="shared" si="4"/>
        <v>143404.41628330978</v>
      </c>
      <c r="U30" s="47"/>
      <c r="V30" s="47">
        <v>6</v>
      </c>
      <c r="W30" s="47">
        <f t="shared" si="5"/>
        <v>143404.41628330978</v>
      </c>
      <c r="X30" s="47">
        <f t="shared" si="6"/>
        <v>7415.9285569987578</v>
      </c>
      <c r="Y30" s="47"/>
      <c r="Z30" s="47">
        <v>6</v>
      </c>
      <c r="AA30" s="47">
        <v>0</v>
      </c>
      <c r="AB30" s="47">
        <f t="shared" si="19"/>
        <v>-300</v>
      </c>
      <c r="AC30" s="47">
        <f t="shared" si="7"/>
        <v>-565.96534233230784</v>
      </c>
      <c r="AD30" s="47">
        <v>0</v>
      </c>
      <c r="AE30" s="47">
        <f t="shared" si="8"/>
        <v>-18.179099999999998</v>
      </c>
      <c r="AF30" s="47">
        <f t="shared" si="9"/>
        <v>-7415.9285569987578</v>
      </c>
      <c r="AG30" s="47">
        <f t="shared" si="10"/>
        <v>-8300.0729993310651</v>
      </c>
      <c r="AH30" s="47">
        <f t="shared" si="11"/>
        <v>-141896.49727999544</v>
      </c>
      <c r="AI30" s="47">
        <f t="shared" si="12"/>
        <v>-150196.57027932649</v>
      </c>
      <c r="AJ30" s="47">
        <f t="shared" si="13"/>
        <v>0.70258299473859609</v>
      </c>
      <c r="AK30" s="47">
        <f t="shared" si="14"/>
        <v>-100070.11932113559</v>
      </c>
      <c r="AL30" s="47">
        <v>0</v>
      </c>
    </row>
    <row r="31" spans="1:38" x14ac:dyDescent="0.2">
      <c r="A31" s="47">
        <v>42</v>
      </c>
      <c r="B31" s="47">
        <f>VLOOKUP(A31,Table22[#All],2,FALSE)</f>
        <v>1.069362512E-3</v>
      </c>
      <c r="C31" s="47">
        <f t="shared" si="15"/>
        <v>0.1</v>
      </c>
      <c r="D31" s="47">
        <f t="shared" si="16"/>
        <v>0.15</v>
      </c>
      <c r="E31" s="47">
        <f t="shared" si="0"/>
        <v>8.1806232168000006E-4</v>
      </c>
      <c r="F31" s="47">
        <f t="shared" si="1"/>
        <v>0.99918193767831998</v>
      </c>
      <c r="G31" s="47">
        <v>5.8782470000000003E-2</v>
      </c>
      <c r="H31" s="47">
        <v>3.3352680000000003E-2</v>
      </c>
      <c r="I31" s="47"/>
      <c r="J31" s="47">
        <v>42</v>
      </c>
      <c r="K31" s="47">
        <f t="shared" si="2"/>
        <v>8.1806232168000006E-4</v>
      </c>
      <c r="L31" s="47">
        <f>Lapses!B8</f>
        <v>1.026E-2</v>
      </c>
      <c r="M31" s="47">
        <f t="shared" si="3"/>
        <v>0.98892193767831993</v>
      </c>
      <c r="N31" s="47">
        <f t="shared" si="17"/>
        <v>0.93833068105305062</v>
      </c>
      <c r="O31" s="47"/>
      <c r="P31" s="47">
        <v>7</v>
      </c>
      <c r="Q31" s="47">
        <v>0</v>
      </c>
      <c r="R31" s="47">
        <f t="shared" si="18"/>
        <v>300</v>
      </c>
      <c r="S31" s="47">
        <f>VLOOKUP(J31,Table1[#All],5,FALSE)</f>
        <v>651658.76780000003</v>
      </c>
      <c r="T31" s="47">
        <f t="shared" si="4"/>
        <v>146420.67799472972</v>
      </c>
      <c r="U31" s="47"/>
      <c r="V31" s="47">
        <v>7</v>
      </c>
      <c r="W31" s="47">
        <f t="shared" si="5"/>
        <v>146420.67799472972</v>
      </c>
      <c r="X31" s="47">
        <f t="shared" si="6"/>
        <v>6444.3965135784238</v>
      </c>
      <c r="Y31" s="47"/>
      <c r="Z31" s="47">
        <v>7</v>
      </c>
      <c r="AA31" s="47">
        <v>0</v>
      </c>
      <c r="AB31" s="47">
        <f t="shared" si="19"/>
        <v>-300</v>
      </c>
      <c r="AC31" s="47">
        <f t="shared" si="7"/>
        <v>-533.09748452959604</v>
      </c>
      <c r="AD31" s="47">
        <v>0</v>
      </c>
      <c r="AE31" s="47">
        <f t="shared" si="8"/>
        <v>-18.179099999999998</v>
      </c>
      <c r="AF31" s="47">
        <f t="shared" si="9"/>
        <v>-6444.3965135784238</v>
      </c>
      <c r="AG31" s="47">
        <f t="shared" si="10"/>
        <v>-7295.67309810802</v>
      </c>
      <c r="AH31" s="47">
        <f t="shared" si="11"/>
        <v>-144798.62059872146</v>
      </c>
      <c r="AI31" s="47">
        <f t="shared" si="12"/>
        <v>-152094.2936968295</v>
      </c>
      <c r="AJ31" s="47">
        <f t="shared" si="13"/>
        <v>0.66244105417853916</v>
      </c>
      <c r="AK31" s="47">
        <f t="shared" si="14"/>
        <v>-94540.104262386143</v>
      </c>
      <c r="AL31" s="47">
        <v>0</v>
      </c>
    </row>
    <row r="32" spans="1:38" x14ac:dyDescent="0.2">
      <c r="A32" s="47">
        <v>43</v>
      </c>
      <c r="B32" s="47">
        <f>VLOOKUP(A32,Table22[#All],2,FALSE)</f>
        <v>1.1664245369999999E-3</v>
      </c>
      <c r="C32" s="47">
        <f t="shared" si="15"/>
        <v>0.1</v>
      </c>
      <c r="D32" s="47">
        <f t="shared" si="16"/>
        <v>0.15</v>
      </c>
      <c r="E32" s="47">
        <f t="shared" si="0"/>
        <v>8.9231477080499986E-4</v>
      </c>
      <c r="F32" s="47">
        <f t="shared" si="1"/>
        <v>0.99910768522919502</v>
      </c>
      <c r="G32" s="47">
        <v>6.1709890000000003E-2</v>
      </c>
      <c r="H32" s="47">
        <v>3.404343E-2</v>
      </c>
      <c r="I32" s="47"/>
      <c r="J32" s="47">
        <v>43</v>
      </c>
      <c r="K32" s="47">
        <f t="shared" si="2"/>
        <v>8.9231477080499986E-4</v>
      </c>
      <c r="L32" s="47">
        <f>Lapses!B9</f>
        <v>9.9500000000000005E-3</v>
      </c>
      <c r="M32" s="47">
        <f t="shared" si="3"/>
        <v>0.98915768522919501</v>
      </c>
      <c r="N32" s="47">
        <f t="shared" si="17"/>
        <v>0.92793579529000036</v>
      </c>
      <c r="O32" s="47"/>
      <c r="P32" s="47">
        <v>8</v>
      </c>
      <c r="Q32" s="47">
        <v>0</v>
      </c>
      <c r="R32" s="47">
        <f t="shared" si="18"/>
        <v>300</v>
      </c>
      <c r="S32" s="47">
        <f>VLOOKUP(J32,Table1[#All],5,FALSE)</f>
        <v>730360.93420000002</v>
      </c>
      <c r="T32" s="47">
        <f t="shared" si="4"/>
        <v>148711.39531705281</v>
      </c>
      <c r="U32" s="47"/>
      <c r="V32" s="47">
        <v>8</v>
      </c>
      <c r="W32" s="47">
        <f t="shared" si="5"/>
        <v>148711.39531705281</v>
      </c>
      <c r="X32" s="47">
        <f t="shared" si="6"/>
        <v>7224.4213105510444</v>
      </c>
      <c r="Y32" s="47"/>
      <c r="Z32" s="47">
        <v>8</v>
      </c>
      <c r="AA32" s="47">
        <v>0</v>
      </c>
      <c r="AB32" s="47">
        <f t="shared" si="19"/>
        <v>-300</v>
      </c>
      <c r="AC32" s="47">
        <f t="shared" si="7"/>
        <v>-651.71184960559856</v>
      </c>
      <c r="AD32" s="47">
        <v>0</v>
      </c>
      <c r="AE32" s="47">
        <f t="shared" si="8"/>
        <v>-18.179099999999998</v>
      </c>
      <c r="AF32" s="47">
        <f t="shared" si="9"/>
        <v>-7224.4213105510444</v>
      </c>
      <c r="AG32" s="47">
        <f t="shared" si="10"/>
        <v>-8194.3122601566429</v>
      </c>
      <c r="AH32" s="47">
        <f t="shared" si="11"/>
        <v>-147099.01955901971</v>
      </c>
      <c r="AI32" s="47">
        <f t="shared" si="12"/>
        <v>-155293.33181917635</v>
      </c>
      <c r="AJ32" s="47">
        <f t="shared" si="13"/>
        <v>0.62459261545953759</v>
      </c>
      <c r="AK32" s="47">
        <f t="shared" si="14"/>
        <v>-90005.195827660296</v>
      </c>
      <c r="AL32" s="47">
        <v>0</v>
      </c>
    </row>
    <row r="33" spans="1:38" x14ac:dyDescent="0.2">
      <c r="A33" s="47">
        <v>44</v>
      </c>
      <c r="B33" s="47">
        <f>VLOOKUP(A33,Table22[#All],2,FALSE)</f>
        <v>1.27785914E-3</v>
      </c>
      <c r="C33" s="47">
        <f t="shared" si="15"/>
        <v>0.1</v>
      </c>
      <c r="D33" s="47">
        <f t="shared" si="16"/>
        <v>0.15</v>
      </c>
      <c r="E33" s="47">
        <f t="shared" si="0"/>
        <v>9.7756224210000017E-4</v>
      </c>
      <c r="F33" s="47">
        <f t="shared" si="1"/>
        <v>0.99902243775790001</v>
      </c>
      <c r="G33" s="47">
        <v>6.4759360000000002E-2</v>
      </c>
      <c r="H33" s="47">
        <v>3.4613930000000001E-2</v>
      </c>
      <c r="I33" s="47"/>
      <c r="J33" s="47">
        <v>44</v>
      </c>
      <c r="K33" s="47">
        <f t="shared" si="2"/>
        <v>9.7756224210000017E-4</v>
      </c>
      <c r="L33" s="47">
        <f>Lapses!B10</f>
        <v>0.01</v>
      </c>
      <c r="M33" s="47">
        <f t="shared" si="3"/>
        <v>0.9890224377579</v>
      </c>
      <c r="N33" s="47">
        <f t="shared" si="17"/>
        <v>0.91787482331036896</v>
      </c>
      <c r="O33" s="47"/>
      <c r="P33" s="47">
        <v>9</v>
      </c>
      <c r="Q33" s="47">
        <v>0</v>
      </c>
      <c r="R33" s="47">
        <f t="shared" si="18"/>
        <v>300</v>
      </c>
      <c r="S33" s="47">
        <f>VLOOKUP(J33,Table1[#All],5,FALSE)</f>
        <v>775303.64370000002</v>
      </c>
      <c r="T33" s="47">
        <f t="shared" si="4"/>
        <v>150632.42287164077</v>
      </c>
      <c r="U33" s="47"/>
      <c r="V33" s="47">
        <v>9</v>
      </c>
      <c r="W33" s="47">
        <f t="shared" si="5"/>
        <v>150632.42287164077</v>
      </c>
      <c r="X33" s="47">
        <f t="shared" si="6"/>
        <v>7667.9269969475636</v>
      </c>
      <c r="Y33" s="47"/>
      <c r="Z33" s="47">
        <v>9</v>
      </c>
      <c r="AA33" s="47">
        <v>0</v>
      </c>
      <c r="AB33" s="47">
        <f t="shared" si="19"/>
        <v>-300</v>
      </c>
      <c r="AC33" s="47">
        <f t="shared" si="7"/>
        <v>-757.90756824367168</v>
      </c>
      <c r="AD33" s="47">
        <v>0</v>
      </c>
      <c r="AE33" s="47">
        <f t="shared" si="8"/>
        <v>-18.179099999999998</v>
      </c>
      <c r="AF33" s="47">
        <f t="shared" si="9"/>
        <v>-7667.9269969475636</v>
      </c>
      <c r="AG33" s="47">
        <f t="shared" si="10"/>
        <v>-8744.0136651912362</v>
      </c>
      <c r="AH33" s="47">
        <f t="shared" si="11"/>
        <v>-148978.846073889</v>
      </c>
      <c r="AI33" s="47">
        <f t="shared" si="12"/>
        <v>-157722.85973908025</v>
      </c>
      <c r="AJ33" s="47">
        <f t="shared" si="13"/>
        <v>0.58890663980714408</v>
      </c>
      <c r="AK33" s="47">
        <f t="shared" si="14"/>
        <v>-85255.921206473227</v>
      </c>
      <c r="AL33" s="47">
        <v>0</v>
      </c>
    </row>
    <row r="34" spans="1:38" x14ac:dyDescent="0.2">
      <c r="A34" s="47">
        <v>45</v>
      </c>
      <c r="B34" s="47">
        <f>VLOOKUP(A34,Table22[#All],2,FALSE)</f>
        <v>1.4032147020000001E-3</v>
      </c>
      <c r="C34" s="47">
        <f t="shared" si="15"/>
        <v>0.1</v>
      </c>
      <c r="D34" s="47">
        <f t="shared" si="16"/>
        <v>0.15</v>
      </c>
      <c r="E34" s="47">
        <f t="shared" si="0"/>
        <v>1.0734592470300001E-3</v>
      </c>
      <c r="F34" s="47">
        <f t="shared" si="1"/>
        <v>0.99892654075297005</v>
      </c>
      <c r="G34" s="47">
        <v>6.7930270000000001E-2</v>
      </c>
      <c r="H34" s="47">
        <v>3.499294E-2</v>
      </c>
      <c r="I34" s="47"/>
      <c r="J34" s="47">
        <v>45</v>
      </c>
      <c r="K34" s="47">
        <f t="shared" si="2"/>
        <v>1.0734592470300001E-3</v>
      </c>
      <c r="L34" s="47">
        <f>Lapses!B11</f>
        <v>1.021E-2</v>
      </c>
      <c r="M34" s="47">
        <f t="shared" si="3"/>
        <v>0.98871654075297</v>
      </c>
      <c r="N34" s="47">
        <f t="shared" si="17"/>
        <v>0.90779879530702279</v>
      </c>
      <c r="O34" s="47"/>
      <c r="P34" s="47">
        <v>10</v>
      </c>
      <c r="Q34" s="47">
        <v>0</v>
      </c>
      <c r="R34" s="47">
        <f t="shared" si="18"/>
        <v>300</v>
      </c>
      <c r="S34" s="47">
        <f>VLOOKUP(J34,Table1[#All],5,FALSE)</f>
        <v>809815.95090000005</v>
      </c>
      <c r="T34" s="47">
        <f t="shared" si="4"/>
        <v>152284.32196414738</v>
      </c>
      <c r="U34" s="47"/>
      <c r="V34" s="47">
        <v>10</v>
      </c>
      <c r="W34" s="47">
        <f t="shared" si="5"/>
        <v>152284.32196414738</v>
      </c>
      <c r="X34" s="47">
        <f t="shared" si="6"/>
        <v>8006.7842562042506</v>
      </c>
      <c r="Y34" s="47"/>
      <c r="Z34" s="47">
        <v>10</v>
      </c>
      <c r="AA34" s="47">
        <v>0</v>
      </c>
      <c r="AB34" s="47">
        <f t="shared" si="19"/>
        <v>-300</v>
      </c>
      <c r="AC34" s="47">
        <f t="shared" si="7"/>
        <v>-869.30442088599762</v>
      </c>
      <c r="AD34" s="47">
        <v>0</v>
      </c>
      <c r="AE34" s="47">
        <f t="shared" si="8"/>
        <v>-18.179099999999998</v>
      </c>
      <c r="AF34" s="47">
        <f t="shared" si="9"/>
        <v>-8006.7842562042506</v>
      </c>
      <c r="AG34" s="47">
        <f t="shared" si="10"/>
        <v>-9194.2677770902483</v>
      </c>
      <c r="AH34" s="47">
        <f t="shared" si="11"/>
        <v>-150566.02802330334</v>
      </c>
      <c r="AI34" s="47">
        <f t="shared" si="12"/>
        <v>-159760.29580039359</v>
      </c>
      <c r="AJ34" s="47">
        <f t="shared" si="13"/>
        <v>0.55525957532139369</v>
      </c>
      <c r="AK34" s="47">
        <f t="shared" si="14"/>
        <v>-80529.409518179556</v>
      </c>
      <c r="AL34" s="47">
        <v>0</v>
      </c>
    </row>
    <row r="35" spans="1:38" x14ac:dyDescent="0.2">
      <c r="A35" s="47">
        <v>46</v>
      </c>
      <c r="B35" s="47">
        <f>VLOOKUP(A35,Table22[#All],2,FALSE)</f>
        <v>1.5420396E-3</v>
      </c>
      <c r="C35" s="47">
        <f t="shared" si="15"/>
        <v>0.1</v>
      </c>
      <c r="D35" s="47">
        <f t="shared" si="16"/>
        <v>0.15</v>
      </c>
      <c r="E35" s="47">
        <f t="shared" si="0"/>
        <v>1.179660294E-3</v>
      </c>
      <c r="F35" s="47">
        <f t="shared" si="1"/>
        <v>0.99882033970600004</v>
      </c>
      <c r="G35" s="47">
        <v>7.1222339999999995E-2</v>
      </c>
      <c r="H35" s="47">
        <v>3.5104400000000001E-2</v>
      </c>
      <c r="I35" s="47"/>
      <c r="J35" s="47">
        <v>46</v>
      </c>
      <c r="K35" s="47">
        <f t="shared" si="2"/>
        <v>1.179660294E-3</v>
      </c>
      <c r="L35" s="47">
        <f>Lapses!B12</f>
        <v>9.9500000000000005E-3</v>
      </c>
      <c r="M35" s="47">
        <f t="shared" si="3"/>
        <v>0.98887033970600002</v>
      </c>
      <c r="N35" s="47">
        <f t="shared" si="17"/>
        <v>0.89755568459567303</v>
      </c>
      <c r="O35" s="47"/>
      <c r="P35" s="47">
        <v>11</v>
      </c>
      <c r="Q35" s="47">
        <v>0</v>
      </c>
      <c r="R35" s="47">
        <f t="shared" si="18"/>
        <v>300</v>
      </c>
      <c r="S35" s="47">
        <f>VLOOKUP(J35,Table1[#All],5,FALSE)</f>
        <v>728888.88890000002</v>
      </c>
      <c r="T35" s="47">
        <f t="shared" si="4"/>
        <v>154849.93579139694</v>
      </c>
      <c r="U35" s="47"/>
      <c r="V35" s="47">
        <v>11</v>
      </c>
      <c r="W35" s="47">
        <f t="shared" si="5"/>
        <v>154849.93579139694</v>
      </c>
      <c r="X35" s="47">
        <f t="shared" si="6"/>
        <v>7207.7660317447189</v>
      </c>
      <c r="Y35" s="47"/>
      <c r="Z35" s="47">
        <v>11</v>
      </c>
      <c r="AA35" s="47">
        <v>0</v>
      </c>
      <c r="AB35" s="47">
        <f t="shared" si="19"/>
        <v>-300</v>
      </c>
      <c r="AC35" s="47">
        <f t="shared" si="7"/>
        <v>-859.84128097310736</v>
      </c>
      <c r="AD35" s="47">
        <v>0</v>
      </c>
      <c r="AE35" s="47">
        <f t="shared" si="8"/>
        <v>-18.179099999999998</v>
      </c>
      <c r="AF35" s="47">
        <f t="shared" si="9"/>
        <v>-7207.7660317447189</v>
      </c>
      <c r="AG35" s="47">
        <f t="shared" si="10"/>
        <v>-8385.7864127178254</v>
      </c>
      <c r="AH35" s="47">
        <f t="shared" si="11"/>
        <v>-153126.50860949099</v>
      </c>
      <c r="AI35" s="47">
        <f t="shared" si="12"/>
        <v>-161512.29502220883</v>
      </c>
      <c r="AJ35" s="47">
        <f t="shared" si="13"/>
        <v>0.52353492921570932</v>
      </c>
      <c r="AK35" s="47">
        <f t="shared" si="14"/>
        <v>-75894.910368489815</v>
      </c>
      <c r="AL35" s="47">
        <v>0</v>
      </c>
    </row>
    <row r="36" spans="1:38" x14ac:dyDescent="0.2">
      <c r="A36" s="47">
        <v>47</v>
      </c>
      <c r="B36" s="47">
        <f>VLOOKUP(A36,Table22[#All],2,FALSE)</f>
        <v>1.6938822140000001E-3</v>
      </c>
      <c r="C36" s="47">
        <f t="shared" si="15"/>
        <v>0.1</v>
      </c>
      <c r="D36" s="47">
        <f t="shared" si="16"/>
        <v>0.15</v>
      </c>
      <c r="E36" s="47">
        <f t="shared" si="0"/>
        <v>1.29581989371E-3</v>
      </c>
      <c r="F36" s="47">
        <f t="shared" si="1"/>
        <v>0.99870418010629003</v>
      </c>
      <c r="G36" s="47">
        <v>7.4635690000000005E-2</v>
      </c>
      <c r="H36" s="47">
        <v>3.487697E-2</v>
      </c>
      <c r="I36" s="47"/>
      <c r="J36" s="47">
        <v>47</v>
      </c>
      <c r="K36" s="47">
        <f t="shared" si="2"/>
        <v>1.29581989371E-3</v>
      </c>
      <c r="L36" s="47">
        <f>Lapses!B13</f>
        <v>0.01</v>
      </c>
      <c r="M36" s="47">
        <f t="shared" si="3"/>
        <v>0.98870418010629002</v>
      </c>
      <c r="N36" s="47">
        <f t="shared" si="17"/>
        <v>0.8875661947311746</v>
      </c>
      <c r="O36" s="47"/>
      <c r="P36" s="47">
        <v>12</v>
      </c>
      <c r="Q36" s="47">
        <v>0</v>
      </c>
      <c r="R36" s="47">
        <f t="shared" si="18"/>
        <v>300</v>
      </c>
      <c r="S36" s="47">
        <f>VLOOKUP(J36,Table1[#All],5,FALSE)</f>
        <v>722792.6078</v>
      </c>
      <c r="T36" s="47">
        <f t="shared" si="4"/>
        <v>157612.67284898495</v>
      </c>
      <c r="U36" s="47"/>
      <c r="V36" s="47">
        <v>12</v>
      </c>
      <c r="W36" s="47">
        <f t="shared" si="5"/>
        <v>157612.67284898495</v>
      </c>
      <c r="X36" s="47">
        <f t="shared" si="6"/>
        <v>7146.2807268178631</v>
      </c>
      <c r="Y36" s="47"/>
      <c r="Z36" s="47">
        <v>12</v>
      </c>
      <c r="AA36" s="47">
        <v>0</v>
      </c>
      <c r="AB36" s="47">
        <f t="shared" si="19"/>
        <v>-300</v>
      </c>
      <c r="AC36" s="47">
        <f t="shared" si="7"/>
        <v>-936.60904021376973</v>
      </c>
      <c r="AD36" s="47">
        <v>0</v>
      </c>
      <c r="AE36" s="47">
        <f t="shared" si="8"/>
        <v>-18.179099999999998</v>
      </c>
      <c r="AF36" s="47">
        <f t="shared" si="9"/>
        <v>-7146.2807268178631</v>
      </c>
      <c r="AG36" s="47">
        <f t="shared" si="10"/>
        <v>-8401.0688670316322</v>
      </c>
      <c r="AH36" s="47">
        <f t="shared" si="11"/>
        <v>-155832.30848351659</v>
      </c>
      <c r="AI36" s="47">
        <f t="shared" si="12"/>
        <v>-164233.37735054822</v>
      </c>
      <c r="AJ36" s="47">
        <f t="shared" si="13"/>
        <v>0.49362286449585413</v>
      </c>
      <c r="AK36" s="47">
        <f t="shared" si="14"/>
        <v>-71954.414642916701</v>
      </c>
      <c r="AL36" s="47">
        <v>0</v>
      </c>
    </row>
    <row r="37" spans="1:38" x14ac:dyDescent="0.2">
      <c r="A37" s="47">
        <v>48</v>
      </c>
      <c r="B37" s="47">
        <f>VLOOKUP(A37,Table22[#All],2,FALSE)</f>
        <v>1.8582909230000001E-3</v>
      </c>
      <c r="C37" s="47">
        <f t="shared" si="15"/>
        <v>0.1</v>
      </c>
      <c r="D37" s="47">
        <f t="shared" si="16"/>
        <v>0.15</v>
      </c>
      <c r="E37" s="47">
        <f t="shared" si="0"/>
        <v>1.4215925560950001E-3</v>
      </c>
      <c r="F37" s="47">
        <f t="shared" si="1"/>
        <v>0.99857840744390503</v>
      </c>
      <c r="G37" s="47">
        <v>7.8170790000000004E-2</v>
      </c>
      <c r="H37" s="47">
        <v>3.4267010000000001E-2</v>
      </c>
      <c r="I37" s="47"/>
      <c r="J37" s="47">
        <v>48</v>
      </c>
      <c r="K37" s="47">
        <f t="shared" si="2"/>
        <v>1.4215925560950001E-3</v>
      </c>
      <c r="L37" s="47">
        <f>Lapses!B14</f>
        <v>9.8799999999999999E-3</v>
      </c>
      <c r="M37" s="47">
        <f t="shared" si="3"/>
        <v>0.98869840744390503</v>
      </c>
      <c r="N37" s="47">
        <f t="shared" si="17"/>
        <v>0.87754040685174572</v>
      </c>
      <c r="O37" s="47"/>
      <c r="P37" s="47">
        <v>13</v>
      </c>
      <c r="Q37" s="47">
        <v>0</v>
      </c>
      <c r="R37" s="47">
        <f t="shared" si="18"/>
        <v>300</v>
      </c>
      <c r="S37" s="47">
        <f>VLOOKUP(J37,Table1[#All],5,FALSE)</f>
        <v>782178.21779999998</v>
      </c>
      <c r="T37" s="47">
        <f t="shared" si="4"/>
        <v>159806.08988677204</v>
      </c>
      <c r="U37" s="47"/>
      <c r="V37" s="47">
        <v>13</v>
      </c>
      <c r="W37" s="47">
        <f t="shared" si="5"/>
        <v>159806.08988677204</v>
      </c>
      <c r="X37" s="47">
        <f t="shared" si="6"/>
        <v>7733.3835827617186</v>
      </c>
      <c r="Y37" s="47"/>
      <c r="Z37" s="47">
        <v>13</v>
      </c>
      <c r="AA37" s="47">
        <v>0</v>
      </c>
      <c r="AB37" s="47">
        <f t="shared" si="19"/>
        <v>-300</v>
      </c>
      <c r="AC37" s="47">
        <f t="shared" si="7"/>
        <v>-1111.9387319641337</v>
      </c>
      <c r="AD37" s="47">
        <v>0</v>
      </c>
      <c r="AE37" s="47">
        <f t="shared" si="8"/>
        <v>-18.179099999999998</v>
      </c>
      <c r="AF37" s="47">
        <f t="shared" si="9"/>
        <v>-7733.3835827617186</v>
      </c>
      <c r="AG37" s="47">
        <f t="shared" si="10"/>
        <v>-9163.5014147258516</v>
      </c>
      <c r="AH37" s="47">
        <f t="shared" si="11"/>
        <v>-158000.02657088905</v>
      </c>
      <c r="AI37" s="47">
        <f t="shared" si="12"/>
        <v>-167163.5279856149</v>
      </c>
      <c r="AJ37" s="47">
        <f t="shared" si="13"/>
        <v>0.46541981968255058</v>
      </c>
      <c r="AK37" s="47">
        <f t="shared" si="14"/>
        <v>-68273.713420948698</v>
      </c>
      <c r="AL37" s="47">
        <v>0</v>
      </c>
    </row>
    <row r="38" spans="1:38" x14ac:dyDescent="0.2">
      <c r="A38" s="47">
        <v>49</v>
      </c>
      <c r="B38" s="47">
        <f>VLOOKUP(A38,Table22[#All],2,FALSE)</f>
        <v>2.0348141049999998E-3</v>
      </c>
      <c r="C38" s="47">
        <f t="shared" si="15"/>
        <v>0.1</v>
      </c>
      <c r="D38" s="47">
        <f t="shared" si="16"/>
        <v>0.15</v>
      </c>
      <c r="E38" s="47">
        <f t="shared" si="0"/>
        <v>1.5566327903249997E-3</v>
      </c>
      <c r="F38" s="47">
        <f t="shared" si="1"/>
        <v>0.99844336720967497</v>
      </c>
      <c r="G38" s="47">
        <v>8.1828540000000005E-2</v>
      </c>
      <c r="H38" s="47">
        <v>3.3270460000000002E-2</v>
      </c>
      <c r="I38" s="47"/>
      <c r="J38" s="47">
        <v>49</v>
      </c>
      <c r="K38" s="47">
        <f t="shared" si="2"/>
        <v>1.5566327903249997E-3</v>
      </c>
      <c r="L38" s="47">
        <f>Lapses!B15</f>
        <v>9.9699999999999997E-3</v>
      </c>
      <c r="M38" s="47">
        <f t="shared" si="3"/>
        <v>0.98847336720967494</v>
      </c>
      <c r="N38" s="47">
        <f t="shared" si="17"/>
        <v>0.86762280272199743</v>
      </c>
      <c r="O38" s="47"/>
      <c r="P38" s="47">
        <v>14</v>
      </c>
      <c r="Q38" s="47">
        <v>0</v>
      </c>
      <c r="R38" s="47">
        <f t="shared" si="18"/>
        <v>300</v>
      </c>
      <c r="S38" s="47">
        <f>VLOOKUP(J38,Table1[#All],5,FALSE)</f>
        <v>758465.01130000001</v>
      </c>
      <c r="T38" s="47">
        <f t="shared" si="4"/>
        <v>162365.32980699791</v>
      </c>
      <c r="U38" s="47"/>
      <c r="V38" s="47">
        <v>14</v>
      </c>
      <c r="W38" s="47">
        <f t="shared" si="5"/>
        <v>162365.32980699791</v>
      </c>
      <c r="X38" s="47">
        <f t="shared" si="6"/>
        <v>7497.2246363043523</v>
      </c>
      <c r="Y38" s="47"/>
      <c r="Z38" s="47">
        <v>14</v>
      </c>
      <c r="AA38" s="47">
        <v>0</v>
      </c>
      <c r="AB38" s="47">
        <f t="shared" si="19"/>
        <v>-300</v>
      </c>
      <c r="AC38" s="47">
        <f t="shared" si="7"/>
        <v>-1180.6515069038014</v>
      </c>
      <c r="AD38" s="47">
        <v>0</v>
      </c>
      <c r="AE38" s="47">
        <f t="shared" si="8"/>
        <v>-18.179099999999998</v>
      </c>
      <c r="AF38" s="47">
        <f t="shared" si="9"/>
        <v>-7497.2246363043523</v>
      </c>
      <c r="AG38" s="47">
        <f t="shared" si="10"/>
        <v>-8996.0552432081531</v>
      </c>
      <c r="AH38" s="47">
        <f t="shared" si="11"/>
        <v>-160493.80427243261</v>
      </c>
      <c r="AI38" s="47">
        <f t="shared" si="12"/>
        <v>-169489.85951564077</v>
      </c>
      <c r="AJ38" s="47">
        <f t="shared" si="13"/>
        <v>0.43882815026117428</v>
      </c>
      <c r="AK38" s="47">
        <f t="shared" si="14"/>
        <v>-64531.113123739815</v>
      </c>
      <c r="AL38" s="47">
        <v>0</v>
      </c>
    </row>
    <row r="39" spans="1:38" x14ac:dyDescent="0.2">
      <c r="A39" s="47">
        <v>50</v>
      </c>
      <c r="B39" s="47">
        <f>VLOOKUP(A39,Table22[#All],2,FALSE)</f>
        <v>2.223000139E-3</v>
      </c>
      <c r="C39" s="47">
        <f t="shared" si="15"/>
        <v>0.1</v>
      </c>
      <c r="D39" s="47">
        <f t="shared" si="16"/>
        <v>0.15</v>
      </c>
      <c r="E39" s="47">
        <f t="shared" si="0"/>
        <v>1.7005951063349999E-3</v>
      </c>
      <c r="F39" s="47">
        <f t="shared" si="1"/>
        <v>0.99829940489366498</v>
      </c>
      <c r="G39" s="47">
        <v>8.5610309999999995E-2</v>
      </c>
      <c r="H39" s="47">
        <v>3.5799289999999998E-2</v>
      </c>
      <c r="I39" s="47"/>
      <c r="J39" s="47">
        <v>50</v>
      </c>
      <c r="K39" s="47">
        <f t="shared" si="2"/>
        <v>1.7005951063349999E-3</v>
      </c>
      <c r="L39" s="47">
        <f>Lapses!B16</f>
        <v>1.0149999999999999E-2</v>
      </c>
      <c r="M39" s="47">
        <f t="shared" si="3"/>
        <v>0.98814940489366498</v>
      </c>
      <c r="N39" s="47">
        <f t="shared" si="17"/>
        <v>0.85762203327450837</v>
      </c>
      <c r="O39" s="47"/>
      <c r="P39" s="47">
        <v>15</v>
      </c>
      <c r="Q39" s="47">
        <v>0</v>
      </c>
      <c r="R39" s="47">
        <f t="shared" si="18"/>
        <v>300</v>
      </c>
      <c r="S39" s="47">
        <f>VLOOKUP(J39,Table1[#All],5,FALSE)</f>
        <v>801801.80180000002</v>
      </c>
      <c r="T39" s="47">
        <f t="shared" si="4"/>
        <v>164549.47180938179</v>
      </c>
      <c r="U39" s="47"/>
      <c r="V39" s="47">
        <v>15</v>
      </c>
      <c r="W39" s="47">
        <f t="shared" si="5"/>
        <v>164549.47180938179</v>
      </c>
      <c r="X39" s="47">
        <f t="shared" si="6"/>
        <v>7922.999732913383</v>
      </c>
      <c r="Y39" s="47"/>
      <c r="Z39" s="47">
        <v>15</v>
      </c>
      <c r="AA39" s="47">
        <v>0</v>
      </c>
      <c r="AB39" s="47">
        <f t="shared" si="19"/>
        <v>-300</v>
      </c>
      <c r="AC39" s="47">
        <f t="shared" si="7"/>
        <v>-1363.5402203916656</v>
      </c>
      <c r="AD39" s="47">
        <v>0</v>
      </c>
      <c r="AE39" s="47">
        <f t="shared" si="8"/>
        <v>-18.179099999999998</v>
      </c>
      <c r="AF39" s="47">
        <f t="shared" si="9"/>
        <v>-7922.999732913383</v>
      </c>
      <c r="AG39" s="47">
        <f t="shared" si="10"/>
        <v>-9604.7190533050489</v>
      </c>
      <c r="AH39" s="47">
        <f t="shared" si="11"/>
        <v>-162599.46264400752</v>
      </c>
      <c r="AI39" s="47">
        <f t="shared" si="12"/>
        <v>-172204.18169731257</v>
      </c>
      <c r="AJ39" s="47">
        <f t="shared" si="13"/>
        <v>0.41375579061714701</v>
      </c>
      <c r="AK39" s="47">
        <f t="shared" si="14"/>
        <v>-61105.979253041762</v>
      </c>
      <c r="AL39" s="47">
        <v>0</v>
      </c>
    </row>
    <row r="40" spans="1:38" x14ac:dyDescent="0.2">
      <c r="A40" s="47">
        <v>51</v>
      </c>
      <c r="B40" s="47">
        <f>VLOOKUP(A40,Table22[#All],2,FALSE)</f>
        <v>2.4223974049999999E-3</v>
      </c>
      <c r="C40" s="47">
        <f t="shared" si="15"/>
        <v>0.1</v>
      </c>
      <c r="D40" s="47">
        <f t="shared" si="16"/>
        <v>0.15</v>
      </c>
      <c r="E40" s="47">
        <f t="shared" si="0"/>
        <v>1.8531340148249999E-3</v>
      </c>
      <c r="F40" s="47">
        <f t="shared" si="1"/>
        <v>0.99814686598517499</v>
      </c>
      <c r="G40" s="47">
        <v>8.931849E-2</v>
      </c>
      <c r="H40" s="47">
        <v>3.8366329999999997E-2</v>
      </c>
      <c r="I40" s="47"/>
      <c r="J40" s="47">
        <v>51</v>
      </c>
      <c r="K40" s="47">
        <f t="shared" si="2"/>
        <v>1.8531340148249999E-3</v>
      </c>
      <c r="L40" s="47">
        <f>Lapses!B17</f>
        <v>9.9600000000000001E-3</v>
      </c>
      <c r="M40" s="47">
        <f t="shared" si="3"/>
        <v>0.98818686598517502</v>
      </c>
      <c r="N40" s="47">
        <f t="shared" si="17"/>
        <v>0.84745870180390037</v>
      </c>
      <c r="O40" s="47"/>
      <c r="P40" s="47">
        <v>16</v>
      </c>
      <c r="Q40" s="47">
        <v>0</v>
      </c>
      <c r="R40" s="47">
        <f t="shared" si="18"/>
        <v>300</v>
      </c>
      <c r="S40" s="47">
        <f>VLOOKUP(J40,Table1[#All],5,FALSE)</f>
        <v>755741.12730000005</v>
      </c>
      <c r="T40" s="47">
        <f t="shared" si="4"/>
        <v>167310.33227967084</v>
      </c>
      <c r="U40" s="47"/>
      <c r="V40" s="47">
        <v>16</v>
      </c>
      <c r="W40" s="47">
        <f t="shared" si="5"/>
        <v>167310.33227967084</v>
      </c>
      <c r="X40" s="47">
        <f t="shared" si="6"/>
        <v>7468.134560826903</v>
      </c>
      <c r="Y40" s="47"/>
      <c r="Z40" s="47">
        <v>16</v>
      </c>
      <c r="AA40" s="47">
        <v>0</v>
      </c>
      <c r="AB40" s="47">
        <f t="shared" si="19"/>
        <v>-300</v>
      </c>
      <c r="AC40" s="47">
        <f t="shared" si="7"/>
        <v>-1400.4895894018205</v>
      </c>
      <c r="AD40" s="47">
        <v>0</v>
      </c>
      <c r="AE40" s="47">
        <f t="shared" si="8"/>
        <v>-18.179099999999998</v>
      </c>
      <c r="AF40" s="47">
        <f t="shared" si="9"/>
        <v>-7468.134560826903</v>
      </c>
      <c r="AG40" s="47">
        <f t="shared" si="10"/>
        <v>-9186.8032502287242</v>
      </c>
      <c r="AH40" s="47">
        <f t="shared" si="11"/>
        <v>-165333.87290238618</v>
      </c>
      <c r="AI40" s="47">
        <f t="shared" si="12"/>
        <v>-174520.67615261491</v>
      </c>
      <c r="AJ40" s="47">
        <f t="shared" si="13"/>
        <v>0.39011593528658578</v>
      </c>
      <c r="AK40" s="47">
        <f t="shared" si="14"/>
        <v>-57697.782324153166</v>
      </c>
      <c r="AL40" s="47">
        <v>0</v>
      </c>
    </row>
    <row r="41" spans="1:38" x14ac:dyDescent="0.2">
      <c r="A41" s="47">
        <v>52</v>
      </c>
      <c r="B41" s="47">
        <f>VLOOKUP(A41,Table22[#All],2,FALSE)</f>
        <v>2.6325542809999998E-3</v>
      </c>
      <c r="C41" s="47">
        <f t="shared" si="15"/>
        <v>0.1</v>
      </c>
      <c r="D41" s="47">
        <f t="shared" si="16"/>
        <v>0.15</v>
      </c>
      <c r="E41" s="47">
        <f t="shared" si="0"/>
        <v>2.0139040249650001E-3</v>
      </c>
      <c r="F41" s="47">
        <f t="shared" si="1"/>
        <v>0.99798609597503496</v>
      </c>
      <c r="G41" s="47">
        <v>9.3125399999999997E-2</v>
      </c>
      <c r="H41" s="47">
        <v>4.1349660000000003E-2</v>
      </c>
      <c r="I41" s="47"/>
      <c r="J41" s="47">
        <v>52</v>
      </c>
      <c r="K41" s="47">
        <f t="shared" si="2"/>
        <v>2.0139040249650001E-3</v>
      </c>
      <c r="L41" s="47">
        <f>Lapses!B18</f>
        <v>9.9399999999999992E-3</v>
      </c>
      <c r="M41" s="47">
        <f t="shared" si="3"/>
        <v>0.98804609597503501</v>
      </c>
      <c r="N41" s="47">
        <f t="shared" si="17"/>
        <v>0.83744755858746134</v>
      </c>
      <c r="O41" s="47"/>
      <c r="P41" s="47">
        <v>17</v>
      </c>
      <c r="Q41" s="47">
        <v>0</v>
      </c>
      <c r="R41" s="47">
        <f t="shared" si="18"/>
        <v>300</v>
      </c>
      <c r="S41" s="47">
        <f>VLOOKUP(J41,Table1[#All],5,FALSE)</f>
        <v>800947.86730000004</v>
      </c>
      <c r="T41" s="47">
        <f t="shared" si="4"/>
        <v>169631.6516002522</v>
      </c>
      <c r="U41" s="47"/>
      <c r="V41" s="47">
        <v>17</v>
      </c>
      <c r="W41" s="47">
        <f t="shared" si="5"/>
        <v>169631.6516002522</v>
      </c>
      <c r="X41" s="47">
        <f t="shared" si="6"/>
        <v>7913.7341336529544</v>
      </c>
      <c r="Y41" s="47"/>
      <c r="Z41" s="47">
        <v>17</v>
      </c>
      <c r="AA41" s="47">
        <v>0</v>
      </c>
      <c r="AB41" s="47">
        <f t="shared" si="19"/>
        <v>-300</v>
      </c>
      <c r="AC41" s="47">
        <f t="shared" si="7"/>
        <v>-1613.0321337426028</v>
      </c>
      <c r="AD41" s="47">
        <v>0</v>
      </c>
      <c r="AE41" s="47">
        <f t="shared" si="8"/>
        <v>-18.179099999999998</v>
      </c>
      <c r="AF41" s="47">
        <f t="shared" si="9"/>
        <v>-7913.7341336529544</v>
      </c>
      <c r="AG41" s="47">
        <f t="shared" si="10"/>
        <v>-9844.9453673955577</v>
      </c>
      <c r="AH41" s="47">
        <f t="shared" si="11"/>
        <v>-167603.89111742648</v>
      </c>
      <c r="AI41" s="47">
        <f t="shared" si="12"/>
        <v>-177448.83648482204</v>
      </c>
      <c r="AJ41" s="47">
        <f t="shared" si="13"/>
        <v>0.36782673841863195</v>
      </c>
      <c r="AK41" s="47">
        <f t="shared" si="14"/>
        <v>-54660.559538453017</v>
      </c>
      <c r="AL41" s="47">
        <v>0</v>
      </c>
    </row>
    <row r="42" spans="1:38" x14ac:dyDescent="0.2">
      <c r="A42" s="47">
        <v>53</v>
      </c>
      <c r="B42" s="47">
        <f>VLOOKUP(A42,Table22[#All],2,FALSE)</f>
        <v>2.8530191449999999E-3</v>
      </c>
      <c r="C42" s="47">
        <f t="shared" si="15"/>
        <v>0.1</v>
      </c>
      <c r="D42" s="47">
        <f t="shared" si="16"/>
        <v>0.15</v>
      </c>
      <c r="E42" s="47">
        <f t="shared" si="0"/>
        <v>2.1825596459249998E-3</v>
      </c>
      <c r="F42" s="47">
        <f t="shared" si="1"/>
        <v>0.99781744035407505</v>
      </c>
      <c r="G42" s="47">
        <v>9.7031229999999996E-2</v>
      </c>
      <c r="H42" s="47">
        <v>4.4602620000000003E-2</v>
      </c>
      <c r="I42" s="47"/>
      <c r="J42" s="47">
        <v>53</v>
      </c>
      <c r="K42" s="47">
        <f t="shared" si="2"/>
        <v>2.1825596459249998E-3</v>
      </c>
      <c r="L42" s="47">
        <f>Lapses!B19</f>
        <v>9.8499999999999994E-3</v>
      </c>
      <c r="M42" s="47">
        <f t="shared" si="3"/>
        <v>0.98796744035407502</v>
      </c>
      <c r="N42" s="47">
        <f t="shared" si="17"/>
        <v>0.82743679084616562</v>
      </c>
      <c r="O42" s="47"/>
      <c r="P42" s="47">
        <v>18</v>
      </c>
      <c r="Q42" s="47">
        <v>0</v>
      </c>
      <c r="R42" s="47">
        <f t="shared" si="18"/>
        <v>300</v>
      </c>
      <c r="S42" s="47">
        <f>VLOOKUP(J42,Table1[#All],5,FALSE)</f>
        <v>782700.42189999996</v>
      </c>
      <c r="T42" s="47">
        <f t="shared" si="4"/>
        <v>172223.81939198234</v>
      </c>
      <c r="U42" s="47"/>
      <c r="V42" s="47">
        <v>18</v>
      </c>
      <c r="W42" s="47">
        <f t="shared" si="5"/>
        <v>172223.81939198234</v>
      </c>
      <c r="X42" s="47">
        <f t="shared" si="6"/>
        <v>7732.8253238859761</v>
      </c>
      <c r="Y42" s="47"/>
      <c r="Z42" s="47">
        <v>18</v>
      </c>
      <c r="AA42" s="47">
        <v>0</v>
      </c>
      <c r="AB42" s="47">
        <f t="shared" si="19"/>
        <v>-300</v>
      </c>
      <c r="AC42" s="47">
        <f t="shared" si="7"/>
        <v>-1708.2903556874119</v>
      </c>
      <c r="AD42" s="47">
        <v>0</v>
      </c>
      <c r="AE42" s="47">
        <f t="shared" si="8"/>
        <v>-18.179099999999998</v>
      </c>
      <c r="AF42" s="47">
        <f t="shared" si="9"/>
        <v>-7732.8253238859761</v>
      </c>
      <c r="AG42" s="47">
        <f t="shared" si="10"/>
        <v>-9759.294779573389</v>
      </c>
      <c r="AH42" s="47">
        <f t="shared" si="11"/>
        <v>-170151.52601269929</v>
      </c>
      <c r="AI42" s="47">
        <f t="shared" si="12"/>
        <v>-179910.82079227269</v>
      </c>
      <c r="AJ42" s="47">
        <f t="shared" si="13"/>
        <v>0.34681103040894135</v>
      </c>
      <c r="AK42" s="47">
        <f t="shared" si="14"/>
        <v>-51627.96584515275</v>
      </c>
      <c r="AL42" s="47">
        <v>0</v>
      </c>
    </row>
    <row r="43" spans="1:38" x14ac:dyDescent="0.2">
      <c r="A43" s="47">
        <v>54</v>
      </c>
      <c r="B43" s="47">
        <f>VLOOKUP(A43,Table22[#All],2,FALSE)</f>
        <v>3.0833403770000002E-3</v>
      </c>
      <c r="C43" s="47">
        <f t="shared" si="15"/>
        <v>0.1</v>
      </c>
      <c r="D43" s="47">
        <f t="shared" si="16"/>
        <v>0.15</v>
      </c>
      <c r="E43" s="47">
        <f t="shared" si="0"/>
        <v>2.3587553884050001E-3</v>
      </c>
      <c r="F43" s="47">
        <f t="shared" si="1"/>
        <v>0.99764124461159498</v>
      </c>
      <c r="G43" s="47">
        <v>0.1010366</v>
      </c>
      <c r="H43" s="47">
        <v>4.8163589999999999E-2</v>
      </c>
      <c r="I43" s="47"/>
      <c r="J43" s="47">
        <v>54</v>
      </c>
      <c r="K43" s="47">
        <f t="shared" si="2"/>
        <v>2.3587553884050001E-3</v>
      </c>
      <c r="L43" s="47">
        <f>Lapses!B20</f>
        <v>9.8399999999999998E-3</v>
      </c>
      <c r="M43" s="47">
        <f t="shared" si="3"/>
        <v>0.98780124461159502</v>
      </c>
      <c r="N43" s="47">
        <f t="shared" si="17"/>
        <v>0.81748060830707636</v>
      </c>
      <c r="O43" s="47"/>
      <c r="P43" s="47">
        <v>19</v>
      </c>
      <c r="Q43" s="47">
        <v>0</v>
      </c>
      <c r="R43" s="47">
        <f t="shared" si="18"/>
        <v>300</v>
      </c>
      <c r="S43" s="47">
        <f>VLOOKUP(J43,Table1[#All],5,FALSE)</f>
        <v>800000</v>
      </c>
      <c r="T43" s="47">
        <f t="shared" si="4"/>
        <v>174683.39278708788</v>
      </c>
      <c r="U43" s="47"/>
      <c r="V43" s="47">
        <v>19</v>
      </c>
      <c r="W43" s="47">
        <f t="shared" si="5"/>
        <v>174683.39278708788</v>
      </c>
      <c r="X43" s="47">
        <f t="shared" si="6"/>
        <v>7902.4099568927604</v>
      </c>
      <c r="Y43" s="47"/>
      <c r="Z43" s="47">
        <v>19</v>
      </c>
      <c r="AA43" s="47">
        <v>0</v>
      </c>
      <c r="AB43" s="47">
        <f t="shared" si="19"/>
        <v>-300</v>
      </c>
      <c r="AC43" s="47">
        <f t="shared" si="7"/>
        <v>-1887.0043107240001</v>
      </c>
      <c r="AD43" s="47">
        <v>0</v>
      </c>
      <c r="AE43" s="47">
        <f t="shared" si="8"/>
        <v>-18.179099999999998</v>
      </c>
      <c r="AF43" s="47">
        <f t="shared" si="9"/>
        <v>-7902.4099568927604</v>
      </c>
      <c r="AG43" s="47">
        <f t="shared" si="10"/>
        <v>-10107.593367616761</v>
      </c>
      <c r="AH43" s="47">
        <f t="shared" si="11"/>
        <v>-172552.47280806152</v>
      </c>
      <c r="AI43" s="47">
        <f t="shared" si="12"/>
        <v>-182660.06617567828</v>
      </c>
      <c r="AJ43" s="47">
        <f t="shared" si="13"/>
        <v>0.32699605072326376</v>
      </c>
      <c r="AK43" s="47">
        <f t="shared" si="14"/>
        <v>-48827.39756730388</v>
      </c>
      <c r="AL43" s="47">
        <v>0</v>
      </c>
    </row>
    <row r="44" spans="1:38" x14ac:dyDescent="0.2">
      <c r="A44" s="47">
        <v>55</v>
      </c>
      <c r="B44" s="47">
        <f>VLOOKUP(A44,Table22[#All],2,FALSE)</f>
        <v>3.3230663549999998E-3</v>
      </c>
      <c r="C44" s="47">
        <f t="shared" si="15"/>
        <v>0.1</v>
      </c>
      <c r="D44" s="47">
        <f t="shared" si="16"/>
        <v>0.15</v>
      </c>
      <c r="E44" s="47">
        <f t="shared" si="0"/>
        <v>2.5421457615749997E-3</v>
      </c>
      <c r="F44" s="47">
        <f t="shared" si="1"/>
        <v>0.99745785423842503</v>
      </c>
      <c r="G44" s="47">
        <v>0.10514262000000001</v>
      </c>
      <c r="H44" s="47">
        <v>5.2074879999999997E-2</v>
      </c>
      <c r="I44" s="47"/>
      <c r="J44" s="47">
        <v>55</v>
      </c>
      <c r="K44" s="47">
        <f t="shared" si="2"/>
        <v>2.5421457615749997E-3</v>
      </c>
      <c r="L44" s="47">
        <f>Lapses!B21</f>
        <v>0</v>
      </c>
      <c r="M44" s="47">
        <f t="shared" si="3"/>
        <v>0.99745785423842503</v>
      </c>
      <c r="N44" s="47">
        <f t="shared" si="17"/>
        <v>0.80750836233157386</v>
      </c>
      <c r="O44" s="47"/>
      <c r="P44" s="47">
        <v>20</v>
      </c>
      <c r="Q44" s="47">
        <v>0</v>
      </c>
      <c r="R44" s="47">
        <f t="shared" si="18"/>
        <v>300</v>
      </c>
      <c r="S44" s="47">
        <f>VLOOKUP(J44,Table1[#All],5,FALSE)</f>
        <v>721088.43539999996</v>
      </c>
      <c r="T44" s="47">
        <f t="shared" si="4"/>
        <v>176373.20448937998</v>
      </c>
      <c r="U44" s="47"/>
      <c r="V44" s="47">
        <v>20</v>
      </c>
      <c r="W44" s="47">
        <f t="shared" si="5"/>
        <v>176373.20448937998</v>
      </c>
      <c r="X44" s="47">
        <f t="shared" si="6"/>
        <v>7192.5532349022715</v>
      </c>
      <c r="Y44" s="47"/>
      <c r="Z44" s="47">
        <v>20</v>
      </c>
      <c r="AA44" s="47">
        <v>0</v>
      </c>
      <c r="AB44" s="47">
        <f t="shared" si="19"/>
        <v>-300</v>
      </c>
      <c r="AC44" s="47">
        <f t="shared" si="7"/>
        <v>-1833.1119097728579</v>
      </c>
      <c r="AD44" s="47">
        <v>0</v>
      </c>
      <c r="AE44" s="47">
        <f t="shared" si="8"/>
        <v>-18.179099999999998</v>
      </c>
      <c r="AF44" s="47">
        <f t="shared" si="9"/>
        <v>-7192.5532349022715</v>
      </c>
      <c r="AG44" s="47">
        <f t="shared" si="10"/>
        <v>-9343.8442446751287</v>
      </c>
      <c r="AH44" s="47">
        <f t="shared" si="11"/>
        <v>-175924.83809513191</v>
      </c>
      <c r="AI44" s="47">
        <f t="shared" si="12"/>
        <v>-185268.68233980704</v>
      </c>
      <c r="AJ44" s="47">
        <f t="shared" si="13"/>
        <v>0.30831319598609441</v>
      </c>
      <c r="AK44" s="47">
        <f t="shared" si="14"/>
        <v>-46125.507164315612</v>
      </c>
      <c r="AL44" s="47">
        <v>0</v>
      </c>
    </row>
    <row r="45" spans="1:38" x14ac:dyDescent="0.2">
      <c r="A45" s="47">
        <v>56</v>
      </c>
      <c r="B45" s="47">
        <f>VLOOKUP(A45,Table22[#All],2,FALSE)</f>
        <v>3.5717454590000002E-3</v>
      </c>
      <c r="C45" s="47">
        <f t="shared" si="15"/>
        <v>0.1</v>
      </c>
      <c r="D45" s="47">
        <f t="shared" si="16"/>
        <v>0.15</v>
      </c>
      <c r="E45" s="47">
        <f t="shared" si="0"/>
        <v>2.7323852761349998E-3</v>
      </c>
      <c r="F45" s="47">
        <f t="shared" si="1"/>
        <v>0.99726761472386505</v>
      </c>
      <c r="G45" s="47">
        <v>0.10935089000000001</v>
      </c>
      <c r="H45" s="47">
        <v>5.638257E-2</v>
      </c>
      <c r="I45" s="47"/>
      <c r="J45" s="47">
        <v>56</v>
      </c>
      <c r="K45" s="47">
        <f t="shared" si="2"/>
        <v>2.7323852761349998E-3</v>
      </c>
      <c r="L45" s="47">
        <f>Lapses!B22</f>
        <v>0</v>
      </c>
      <c r="M45" s="47">
        <f t="shared" si="3"/>
        <v>0.99726761472386505</v>
      </c>
      <c r="N45" s="47">
        <f t="shared" si="17"/>
        <v>0.80545555837083627</v>
      </c>
      <c r="O45" s="47"/>
      <c r="P45" s="47">
        <v>21</v>
      </c>
      <c r="Q45" s="47">
        <v>0</v>
      </c>
      <c r="R45" s="47">
        <f t="shared" si="18"/>
        <v>300</v>
      </c>
      <c r="S45" s="47">
        <f>VLOOKUP(J45,Table1[#All],5,FALSE)</f>
        <v>740088.10569999996</v>
      </c>
      <c r="T45" s="47">
        <f t="shared" si="4"/>
        <v>177825.73604307816</v>
      </c>
      <c r="U45" s="47"/>
      <c r="V45" s="47">
        <v>21</v>
      </c>
      <c r="W45" s="47">
        <f t="shared" si="5"/>
        <v>177825.73604307816</v>
      </c>
      <c r="X45" s="47">
        <f t="shared" si="6"/>
        <v>7380.6589985694272</v>
      </c>
      <c r="Y45" s="47"/>
      <c r="Z45" s="47">
        <v>21</v>
      </c>
      <c r="AA45" s="47">
        <v>0</v>
      </c>
      <c r="AB45" s="47">
        <f t="shared" si="19"/>
        <v>-300</v>
      </c>
      <c r="AC45" s="47">
        <f t="shared" si="7"/>
        <v>-2022.2058430573234</v>
      </c>
      <c r="AD45" s="47">
        <v>0</v>
      </c>
      <c r="AE45" s="47">
        <f t="shared" si="8"/>
        <v>-18.179099999999998</v>
      </c>
      <c r="AF45" s="47">
        <f t="shared" si="9"/>
        <v>-7380.6589985694272</v>
      </c>
      <c r="AG45" s="47">
        <f t="shared" si="10"/>
        <v>-9721.0439416267509</v>
      </c>
      <c r="AH45" s="47">
        <f t="shared" si="11"/>
        <v>-177339.84762019617</v>
      </c>
      <c r="AI45" s="47">
        <f t="shared" si="12"/>
        <v>-187060.89156182294</v>
      </c>
      <c r="AJ45" s="47">
        <f t="shared" si="13"/>
        <v>0.29069778246223066</v>
      </c>
      <c r="AK45" s="47">
        <f t="shared" si="14"/>
        <v>-43799.212459744231</v>
      </c>
      <c r="AL45" s="47">
        <v>0</v>
      </c>
    </row>
    <row r="46" spans="1:38" x14ac:dyDescent="0.2">
      <c r="A46" s="47">
        <v>57</v>
      </c>
      <c r="B46" s="47">
        <f>VLOOKUP(A46,Table22[#All],2,FALSE)</f>
        <v>3.828926067E-3</v>
      </c>
      <c r="C46" s="47">
        <f t="shared" si="15"/>
        <v>0.1</v>
      </c>
      <c r="D46" s="47">
        <f t="shared" si="16"/>
        <v>0.15</v>
      </c>
      <c r="E46" s="47">
        <f t="shared" si="0"/>
        <v>2.929128441255E-3</v>
      </c>
      <c r="F46" s="47">
        <f t="shared" si="1"/>
        <v>0.99707087155874496</v>
      </c>
      <c r="G46" s="47">
        <v>0.11366355</v>
      </c>
      <c r="H46" s="47">
        <v>6.1136250000000003E-2</v>
      </c>
      <c r="I46" s="47"/>
      <c r="J46" s="47">
        <v>57</v>
      </c>
      <c r="K46" s="47">
        <f t="shared" si="2"/>
        <v>2.929128441255E-3</v>
      </c>
      <c r="L46" s="47">
        <f>Lapses!B23</f>
        <v>0</v>
      </c>
      <c r="M46" s="47">
        <f t="shared" si="3"/>
        <v>0.99707087155874496</v>
      </c>
      <c r="N46" s="47">
        <f t="shared" si="17"/>
        <v>0.80325474346256276</v>
      </c>
      <c r="O46" s="47"/>
      <c r="P46" s="47">
        <v>22</v>
      </c>
      <c r="Q46" s="47">
        <v>0</v>
      </c>
      <c r="R46" s="47">
        <f t="shared" si="18"/>
        <v>300</v>
      </c>
      <c r="S46" s="47">
        <f>VLOOKUP(J46,Table1[#All],5,FALSE)</f>
        <v>761099.36580000003</v>
      </c>
      <c r="T46" s="47">
        <f t="shared" si="4"/>
        <v>178989.48839221985</v>
      </c>
      <c r="U46" s="47"/>
      <c r="V46" s="47">
        <v>22</v>
      </c>
      <c r="W46" s="47">
        <f t="shared" si="5"/>
        <v>178989.48839221985</v>
      </c>
      <c r="X46" s="47">
        <f t="shared" si="6"/>
        <v>7588.7000800101414</v>
      </c>
      <c r="Y46" s="47"/>
      <c r="Z46" s="47">
        <v>22</v>
      </c>
      <c r="AA46" s="47">
        <v>0</v>
      </c>
      <c r="AB46" s="47">
        <f t="shared" si="19"/>
        <v>-300</v>
      </c>
      <c r="AC46" s="47">
        <f t="shared" si="7"/>
        <v>-2229.3577989859232</v>
      </c>
      <c r="AD46" s="47">
        <v>0</v>
      </c>
      <c r="AE46" s="47">
        <f t="shared" si="8"/>
        <v>-18.179099999999998</v>
      </c>
      <c r="AF46" s="47">
        <f t="shared" si="9"/>
        <v>-7588.7000800101414</v>
      </c>
      <c r="AG46" s="47">
        <f t="shared" si="10"/>
        <v>-10136.236978996065</v>
      </c>
      <c r="AH46" s="47">
        <f t="shared" si="11"/>
        <v>-178465.2051910845</v>
      </c>
      <c r="AI46" s="47">
        <f t="shared" si="12"/>
        <v>-188601.44217008055</v>
      </c>
      <c r="AJ46" s="47">
        <f t="shared" si="13"/>
        <v>0.27408882210889779</v>
      </c>
      <c r="AK46" s="47">
        <f t="shared" si="14"/>
        <v>-41523.086940535402</v>
      </c>
      <c r="AL46" s="47">
        <v>0</v>
      </c>
    </row>
    <row r="47" spans="1:38" x14ac:dyDescent="0.2">
      <c r="A47" s="47">
        <v>58</v>
      </c>
      <c r="B47" s="47">
        <f>VLOOKUP(A47,Table22[#All],2,FALSE)</f>
        <v>4.0941565580000002E-3</v>
      </c>
      <c r="C47" s="47">
        <f t="shared" si="15"/>
        <v>0.1</v>
      </c>
      <c r="D47" s="47">
        <f t="shared" si="16"/>
        <v>0.15</v>
      </c>
      <c r="E47" s="47">
        <f t="shared" si="0"/>
        <v>3.1320297668699999E-3</v>
      </c>
      <c r="F47" s="47">
        <f t="shared" si="1"/>
        <v>0.99686797023313001</v>
      </c>
      <c r="G47" s="47">
        <v>0.11808333</v>
      </c>
      <c r="H47" s="47">
        <v>6.6388719999999998E-2</v>
      </c>
      <c r="I47" s="47"/>
      <c r="J47" s="47">
        <v>58</v>
      </c>
      <c r="K47" s="47">
        <f t="shared" si="2"/>
        <v>3.1320297668699999E-3</v>
      </c>
      <c r="L47" s="47">
        <f>Lapses!B24</f>
        <v>0</v>
      </c>
      <c r="M47" s="47">
        <f t="shared" si="3"/>
        <v>0.99686797023313001</v>
      </c>
      <c r="N47" s="47">
        <f t="shared" si="17"/>
        <v>0.80090190714791354</v>
      </c>
      <c r="O47" s="47"/>
      <c r="P47" s="47">
        <v>23</v>
      </c>
      <c r="Q47" s="47">
        <v>0</v>
      </c>
      <c r="R47" s="47">
        <f t="shared" si="18"/>
        <v>300</v>
      </c>
      <c r="S47" s="47">
        <f>VLOOKUP(J47,Table1[#All],5,FALSE)</f>
        <v>725910.06420000002</v>
      </c>
      <c r="T47" s="47">
        <f t="shared" si="4"/>
        <v>180573.15897748497</v>
      </c>
      <c r="U47" s="47"/>
      <c r="V47" s="47">
        <v>23</v>
      </c>
      <c r="W47" s="47">
        <f t="shared" si="5"/>
        <v>180573.15897748497</v>
      </c>
      <c r="X47" s="47">
        <f t="shared" si="6"/>
        <v>7236.3649227085516</v>
      </c>
      <c r="Y47" s="47"/>
      <c r="Z47" s="47">
        <v>23</v>
      </c>
      <c r="AA47" s="47">
        <v>0</v>
      </c>
      <c r="AB47" s="47">
        <f t="shared" si="19"/>
        <v>-300</v>
      </c>
      <c r="AC47" s="47">
        <f t="shared" si="7"/>
        <v>-2273.5719291449127</v>
      </c>
      <c r="AD47" s="47">
        <v>0</v>
      </c>
      <c r="AE47" s="47">
        <f t="shared" si="8"/>
        <v>-18.179099999999998</v>
      </c>
      <c r="AF47" s="47">
        <f t="shared" si="9"/>
        <v>-7236.3649227085516</v>
      </c>
      <c r="AG47" s="47">
        <f t="shared" si="10"/>
        <v>-9828.1159518534641</v>
      </c>
      <c r="AH47" s="47">
        <f t="shared" si="11"/>
        <v>-180007.59846846975</v>
      </c>
      <c r="AI47" s="47">
        <f t="shared" si="12"/>
        <v>-189835.7144203232</v>
      </c>
      <c r="AJ47" s="47">
        <f t="shared" si="13"/>
        <v>0.25842881142309265</v>
      </c>
      <c r="AK47" s="47">
        <f t="shared" si="14"/>
        <v>-39291.461113681085</v>
      </c>
      <c r="AL47" s="47">
        <v>0</v>
      </c>
    </row>
    <row r="48" spans="1:38" x14ac:dyDescent="0.2">
      <c r="A48" s="47">
        <v>59</v>
      </c>
      <c r="B48" s="47">
        <f>VLOOKUP(A48,Table22[#All],2,FALSE)</f>
        <v>4.3669853110000004E-3</v>
      </c>
      <c r="C48" s="47">
        <f t="shared" si="15"/>
        <v>0.1</v>
      </c>
      <c r="D48" s="47">
        <f t="shared" si="16"/>
        <v>0.15</v>
      </c>
      <c r="E48" s="47">
        <f t="shared" si="0"/>
        <v>3.340743762915E-3</v>
      </c>
      <c r="F48" s="47">
        <f t="shared" si="1"/>
        <v>0.99665925623708496</v>
      </c>
      <c r="G48" s="47">
        <v>0.12261353</v>
      </c>
      <c r="H48" s="47">
        <v>7.2195499999999996E-2</v>
      </c>
      <c r="I48" s="47"/>
      <c r="J48" s="47">
        <v>59</v>
      </c>
      <c r="K48" s="47">
        <f t="shared" si="2"/>
        <v>3.340743762915E-3</v>
      </c>
      <c r="L48" s="47">
        <f>Lapses!B25</f>
        <v>0</v>
      </c>
      <c r="M48" s="47">
        <f t="shared" si="3"/>
        <v>0.99665925623708496</v>
      </c>
      <c r="N48" s="47">
        <f t="shared" si="17"/>
        <v>0.79839345853438337</v>
      </c>
      <c r="O48" s="47"/>
      <c r="P48" s="47">
        <v>24</v>
      </c>
      <c r="Q48" s="47">
        <v>0</v>
      </c>
      <c r="R48" s="47">
        <f t="shared" si="18"/>
        <v>300</v>
      </c>
      <c r="S48" s="47">
        <f>VLOOKUP(J48,Table1[#All],5,FALSE)</f>
        <v>827037.77339999995</v>
      </c>
      <c r="T48" s="47">
        <f t="shared" si="4"/>
        <v>180795.49320397864</v>
      </c>
      <c r="U48" s="47"/>
      <c r="V48" s="47">
        <v>24</v>
      </c>
      <c r="W48" s="47">
        <f t="shared" si="5"/>
        <v>180795.49320397864</v>
      </c>
      <c r="X48" s="47">
        <f t="shared" si="6"/>
        <v>8242.7485211681887</v>
      </c>
      <c r="Y48" s="47"/>
      <c r="Z48" s="47">
        <v>24</v>
      </c>
      <c r="AA48" s="47">
        <v>0</v>
      </c>
      <c r="AB48" s="47">
        <f t="shared" si="19"/>
        <v>-300</v>
      </c>
      <c r="AC48" s="47">
        <f t="shared" si="7"/>
        <v>-2762.9212831811587</v>
      </c>
      <c r="AD48" s="47">
        <v>0</v>
      </c>
      <c r="AE48" s="47">
        <f t="shared" si="8"/>
        <v>-18.179099999999998</v>
      </c>
      <c r="AF48" s="47">
        <f t="shared" si="9"/>
        <v>-8242.7485211681887</v>
      </c>
      <c r="AG48" s="47">
        <f t="shared" si="10"/>
        <v>-11323.848904349346</v>
      </c>
      <c r="AH48" s="47">
        <f t="shared" si="11"/>
        <v>-180191.50178769429</v>
      </c>
      <c r="AI48" s="47">
        <f t="shared" si="12"/>
        <v>-191515.35069204363</v>
      </c>
      <c r="AJ48" s="47">
        <f t="shared" si="13"/>
        <v>0.24366353235309232</v>
      </c>
      <c r="AK48" s="47">
        <f t="shared" si="14"/>
        <v>-37257.275729112291</v>
      </c>
      <c r="AL48" s="47">
        <v>0</v>
      </c>
    </row>
    <row r="49" spans="1:38" x14ac:dyDescent="0.2">
      <c r="A49" s="47">
        <v>60</v>
      </c>
      <c r="B49" s="47">
        <f>VLOOKUP(A49,Table22[#All],2,FALSE)</f>
        <v>4.6469607049999997E-3</v>
      </c>
      <c r="C49" s="47">
        <f t="shared" si="15"/>
        <v>0.1</v>
      </c>
      <c r="D49" s="47">
        <f t="shared" si="16"/>
        <v>0.15</v>
      </c>
      <c r="E49" s="47">
        <f t="shared" si="0"/>
        <v>3.5549249393249998E-3</v>
      </c>
      <c r="F49" s="47">
        <f t="shared" si="1"/>
        <v>0.99644507506067503</v>
      </c>
      <c r="G49" s="47">
        <v>0.12725812</v>
      </c>
      <c r="H49" s="47">
        <v>7.861435E-2</v>
      </c>
      <c r="I49" s="47"/>
      <c r="J49" s="47">
        <v>60</v>
      </c>
      <c r="K49" s="47">
        <f t="shared" si="2"/>
        <v>3.5549249393249998E-3</v>
      </c>
      <c r="L49" s="47">
        <f>Lapses!B26</f>
        <v>0</v>
      </c>
      <c r="M49" s="47">
        <f t="shared" si="3"/>
        <v>0.99644507506067503</v>
      </c>
      <c r="N49" s="47">
        <f t="shared" si="17"/>
        <v>0.79572623056743241</v>
      </c>
      <c r="O49" s="47"/>
      <c r="P49" s="47">
        <v>25</v>
      </c>
      <c r="Q49" s="47">
        <v>0</v>
      </c>
      <c r="R49" s="47">
        <f t="shared" si="18"/>
        <v>300</v>
      </c>
      <c r="S49" s="47">
        <f>VLOOKUP(J49,Table1[#All],5,FALSE)</f>
        <v>788418.70819999999</v>
      </c>
      <c r="T49" s="47">
        <f t="shared" si="4"/>
        <v>181418.98074766042</v>
      </c>
      <c r="U49" s="47"/>
      <c r="V49" s="47">
        <v>25</v>
      </c>
      <c r="W49" s="47">
        <f t="shared" si="5"/>
        <v>181418.98074766042</v>
      </c>
      <c r="X49" s="47">
        <f t="shared" si="6"/>
        <v>7856.1593887158951</v>
      </c>
      <c r="Y49" s="47"/>
      <c r="Z49" s="47">
        <v>25</v>
      </c>
      <c r="AA49" s="47">
        <v>0</v>
      </c>
      <c r="AB49" s="47">
        <f t="shared" si="19"/>
        <v>-300</v>
      </c>
      <c r="AC49" s="47">
        <f t="shared" si="7"/>
        <v>-2802.7693284105799</v>
      </c>
      <c r="AD49" s="47">
        <v>0</v>
      </c>
      <c r="AE49" s="47">
        <f t="shared" si="8"/>
        <v>-18.179099999999998</v>
      </c>
      <c r="AF49" s="47">
        <f t="shared" si="9"/>
        <v>-7856.1593887158951</v>
      </c>
      <c r="AG49" s="47">
        <f t="shared" si="10"/>
        <v>-10977.107817126474</v>
      </c>
      <c r="AH49" s="47">
        <f t="shared" si="11"/>
        <v>-180774.04988853366</v>
      </c>
      <c r="AI49" s="47">
        <f t="shared" si="12"/>
        <v>-191751.15770566012</v>
      </c>
      <c r="AJ49" s="47">
        <f t="shared" si="13"/>
        <v>0.2297418645848445</v>
      </c>
      <c r="AK49" s="47">
        <f t="shared" si="14"/>
        <v>-35054.341293728263</v>
      </c>
      <c r="AL49" s="47">
        <v>0</v>
      </c>
    </row>
    <row r="50" spans="1:38" x14ac:dyDescent="0.2">
      <c r="A50" s="47">
        <v>61</v>
      </c>
      <c r="B50" s="47">
        <f>VLOOKUP(A50,Table22[#All],2,FALSE)</f>
        <v>4.9357485690000001E-3</v>
      </c>
      <c r="C50" s="47">
        <f t="shared" si="15"/>
        <v>0.1</v>
      </c>
      <c r="D50" s="47">
        <f t="shared" si="16"/>
        <v>0.15</v>
      </c>
      <c r="E50" s="47">
        <f t="shared" si="0"/>
        <v>3.775847655285E-3</v>
      </c>
      <c r="F50" s="47">
        <f t="shared" si="1"/>
        <v>0.99622415234471495</v>
      </c>
      <c r="G50" s="47">
        <v>0.13202177000000001</v>
      </c>
      <c r="H50" s="47">
        <v>8.5704600000000006E-2</v>
      </c>
      <c r="I50" s="47"/>
      <c r="J50" s="47">
        <v>61</v>
      </c>
      <c r="K50" s="47">
        <f t="shared" si="2"/>
        <v>3.775847655285E-3</v>
      </c>
      <c r="L50" s="47">
        <f>Lapses!B27</f>
        <v>0</v>
      </c>
      <c r="M50" s="47">
        <f t="shared" si="3"/>
        <v>0.99622415234471495</v>
      </c>
      <c r="N50" s="47">
        <f t="shared" si="17"/>
        <v>0.79289748354551315</v>
      </c>
      <c r="O50" s="47"/>
      <c r="P50" s="47">
        <v>26</v>
      </c>
      <c r="Q50" s="47">
        <v>0</v>
      </c>
      <c r="R50" s="47">
        <f t="shared" si="18"/>
        <v>300</v>
      </c>
      <c r="S50" s="47">
        <f>VLOOKUP(J50,Table1[#All],5,FALSE)</f>
        <v>766528.92559999996</v>
      </c>
      <c r="T50" s="47">
        <f t="shared" si="4"/>
        <v>182251.75976583926</v>
      </c>
      <c r="U50" s="47"/>
      <c r="V50" s="47">
        <v>26</v>
      </c>
      <c r="W50" s="47">
        <f t="shared" si="5"/>
        <v>182251.75976583926</v>
      </c>
      <c r="X50" s="47">
        <f t="shared" si="6"/>
        <v>7636.3462915356504</v>
      </c>
      <c r="Y50" s="47"/>
      <c r="Z50" s="47">
        <v>26</v>
      </c>
      <c r="AA50" s="47">
        <v>0</v>
      </c>
      <c r="AB50" s="47">
        <f t="shared" si="19"/>
        <v>-300</v>
      </c>
      <c r="AC50" s="47">
        <f t="shared" si="7"/>
        <v>-2894.2964464348902</v>
      </c>
      <c r="AD50" s="47">
        <v>0</v>
      </c>
      <c r="AE50" s="47">
        <f t="shared" si="8"/>
        <v>-18.179099999999998</v>
      </c>
      <c r="AF50" s="47">
        <f t="shared" si="9"/>
        <v>-7636.3462915356504</v>
      </c>
      <c r="AG50" s="47">
        <f t="shared" si="10"/>
        <v>-10848.821837970539</v>
      </c>
      <c r="AH50" s="47">
        <f t="shared" si="11"/>
        <v>-181563.60488605584</v>
      </c>
      <c r="AI50" s="47">
        <f t="shared" si="12"/>
        <v>-192412.42672402639</v>
      </c>
      <c r="AJ50" s="47">
        <f t="shared" si="13"/>
        <v>0.21661560855333792</v>
      </c>
      <c r="AK50" s="47">
        <f t="shared" si="14"/>
        <v>-33047.598343939833</v>
      </c>
      <c r="AL50" s="47">
        <v>0</v>
      </c>
    </row>
    <row r="51" spans="1:38" x14ac:dyDescent="0.2">
      <c r="A51" s="47">
        <v>62</v>
      </c>
      <c r="B51" s="47">
        <f>VLOOKUP(A51,Table22[#All],2,FALSE)</f>
        <v>5.2434845360000001E-3</v>
      </c>
      <c r="C51" s="47">
        <f t="shared" si="15"/>
        <v>0.1</v>
      </c>
      <c r="D51" s="47">
        <f t="shared" si="16"/>
        <v>0.15</v>
      </c>
      <c r="E51" s="47">
        <f t="shared" si="0"/>
        <v>4.01126567004E-3</v>
      </c>
      <c r="F51" s="47">
        <f t="shared" si="1"/>
        <v>0.99598873432996005</v>
      </c>
      <c r="G51" s="47">
        <v>0.13690851000000001</v>
      </c>
      <c r="H51" s="47">
        <v>9.353815E-2</v>
      </c>
      <c r="I51" s="47"/>
      <c r="J51" s="47">
        <v>62</v>
      </c>
      <c r="K51" s="47">
        <f t="shared" si="2"/>
        <v>4.01126567004E-3</v>
      </c>
      <c r="L51" s="47">
        <f>Lapses!B28</f>
        <v>0</v>
      </c>
      <c r="M51" s="47">
        <f t="shared" si="3"/>
        <v>0.99598873432996005</v>
      </c>
      <c r="N51" s="47">
        <f t="shared" si="17"/>
        <v>0.78990362344138643</v>
      </c>
      <c r="O51" s="47"/>
      <c r="P51" s="47">
        <v>27</v>
      </c>
      <c r="Q51" s="47">
        <v>0</v>
      </c>
      <c r="R51" s="47">
        <f t="shared" si="18"/>
        <v>300</v>
      </c>
      <c r="S51" s="47">
        <f>VLOOKUP(J51,Table1[#All],5,FALSE)</f>
        <v>785288.27040000004</v>
      </c>
      <c r="T51" s="47">
        <f t="shared" si="4"/>
        <v>182739.12313824825</v>
      </c>
      <c r="U51" s="47"/>
      <c r="V51" s="47">
        <v>27</v>
      </c>
      <c r="W51" s="47">
        <f t="shared" si="5"/>
        <v>182739.12313824825</v>
      </c>
      <c r="X51" s="47">
        <f t="shared" si="6"/>
        <v>7821.3827051985954</v>
      </c>
      <c r="Y51" s="47"/>
      <c r="Z51" s="47">
        <v>27</v>
      </c>
      <c r="AA51" s="47">
        <v>0</v>
      </c>
      <c r="AB51" s="47">
        <f t="shared" si="19"/>
        <v>-300</v>
      </c>
      <c r="AC51" s="47">
        <f t="shared" si="7"/>
        <v>-3149.9998801406086</v>
      </c>
      <c r="AD51" s="47">
        <v>0</v>
      </c>
      <c r="AE51" s="47">
        <f t="shared" si="8"/>
        <v>-18.179099999999998</v>
      </c>
      <c r="AF51" s="47">
        <f t="shared" si="9"/>
        <v>-7821.3827051985954</v>
      </c>
      <c r="AG51" s="47">
        <f t="shared" si="10"/>
        <v>-11289.561685339204</v>
      </c>
      <c r="AH51" s="47">
        <f t="shared" si="11"/>
        <v>-182006.10796703061</v>
      </c>
      <c r="AI51" s="47">
        <f t="shared" si="12"/>
        <v>-193295.6696523698</v>
      </c>
      <c r="AJ51" s="47">
        <f t="shared" si="13"/>
        <v>0.20423931856618294</v>
      </c>
      <c r="AK51" s="47">
        <f t="shared" si="14"/>
        <v>-31184.270113479732</v>
      </c>
      <c r="AL51" s="47">
        <v>0</v>
      </c>
    </row>
    <row r="52" spans="1:38" x14ac:dyDescent="0.2">
      <c r="A52" s="47">
        <v>63</v>
      </c>
      <c r="B52" s="47">
        <f>VLOOKUP(A52,Table22[#All],2,FALSE)</f>
        <v>5.582421689E-3</v>
      </c>
      <c r="C52" s="47">
        <f t="shared" si="15"/>
        <v>0.1</v>
      </c>
      <c r="D52" s="47">
        <f t="shared" si="16"/>
        <v>0.15</v>
      </c>
      <c r="E52" s="47">
        <f t="shared" si="0"/>
        <v>4.2705525920850003E-3</v>
      </c>
      <c r="F52" s="47">
        <f t="shared" si="1"/>
        <v>0.99572944740791502</v>
      </c>
      <c r="G52" s="47">
        <v>0.14191645</v>
      </c>
      <c r="H52" s="47">
        <v>0.10226138999999999</v>
      </c>
      <c r="I52" s="47"/>
      <c r="J52" s="47">
        <v>63</v>
      </c>
      <c r="K52" s="47">
        <f t="shared" si="2"/>
        <v>4.2705525920850003E-3</v>
      </c>
      <c r="L52" s="47">
        <f>Lapses!B29</f>
        <v>0</v>
      </c>
      <c r="M52" s="47">
        <f t="shared" si="3"/>
        <v>0.99572944740791502</v>
      </c>
      <c r="N52" s="47">
        <f t="shared" si="17"/>
        <v>0.78673511015403585</v>
      </c>
      <c r="O52" s="47"/>
      <c r="P52" s="47">
        <v>28</v>
      </c>
      <c r="Q52" s="47">
        <v>0</v>
      </c>
      <c r="R52" s="47">
        <f t="shared" si="18"/>
        <v>300</v>
      </c>
      <c r="S52" s="47">
        <f>VLOOKUP(J52,Table1[#All],5,FALSE)</f>
        <v>784869.97640000004</v>
      </c>
      <c r="T52" s="47">
        <f t="shared" si="4"/>
        <v>183109.35482188317</v>
      </c>
      <c r="U52" s="47"/>
      <c r="V52" s="47">
        <v>28</v>
      </c>
      <c r="W52" s="47">
        <f t="shared" si="5"/>
        <v>183109.35482188317</v>
      </c>
      <c r="X52" s="47">
        <f t="shared" si="6"/>
        <v>7815.181478878354</v>
      </c>
      <c r="Y52" s="47"/>
      <c r="Z52" s="47">
        <v>28</v>
      </c>
      <c r="AA52" s="47">
        <v>0</v>
      </c>
      <c r="AB52" s="47">
        <f t="shared" si="19"/>
        <v>-300</v>
      </c>
      <c r="AC52" s="47">
        <f t="shared" si="7"/>
        <v>-3351.8285121647132</v>
      </c>
      <c r="AD52" s="47">
        <v>0</v>
      </c>
      <c r="AE52" s="47">
        <f t="shared" si="8"/>
        <v>-18.179099999999998</v>
      </c>
      <c r="AF52" s="47">
        <f t="shared" si="9"/>
        <v>-7815.181478878354</v>
      </c>
      <c r="AG52" s="47">
        <f t="shared" si="10"/>
        <v>-11485.189091043067</v>
      </c>
      <c r="AH52" s="47">
        <f t="shared" si="11"/>
        <v>-182327.37669201358</v>
      </c>
      <c r="AI52" s="47">
        <f t="shared" si="12"/>
        <v>-193812.56578305666</v>
      </c>
      <c r="AJ52" s="47">
        <f t="shared" si="13"/>
        <v>0.19257014546164372</v>
      </c>
      <c r="AK52" s="47">
        <f t="shared" si="14"/>
        <v>-29362.932151322784</v>
      </c>
      <c r="AL52" s="47">
        <v>0</v>
      </c>
    </row>
    <row r="53" spans="1:38" x14ac:dyDescent="0.2">
      <c r="A53" s="47">
        <v>64</v>
      </c>
      <c r="B53" s="47">
        <f>VLOOKUP(A53,Table22[#All],2,FALSE)</f>
        <v>5.9648131099999998E-3</v>
      </c>
      <c r="C53" s="47">
        <f t="shared" si="15"/>
        <v>0.1</v>
      </c>
      <c r="D53" s="47">
        <f t="shared" si="16"/>
        <v>0.15</v>
      </c>
      <c r="E53" s="47">
        <f t="shared" si="0"/>
        <v>4.5630820291500005E-3</v>
      </c>
      <c r="F53" s="47">
        <f t="shared" si="1"/>
        <v>0.99543691797084999</v>
      </c>
      <c r="G53" s="47">
        <v>0.14703617999999999</v>
      </c>
      <c r="H53" s="47">
        <v>0.11213075</v>
      </c>
      <c r="I53" s="47"/>
      <c r="J53" s="47">
        <v>64</v>
      </c>
      <c r="K53" s="47">
        <f t="shared" si="2"/>
        <v>4.5630820291500005E-3</v>
      </c>
      <c r="L53" s="47">
        <f>Lapses!B30</f>
        <v>0</v>
      </c>
      <c r="M53" s="47">
        <f t="shared" si="3"/>
        <v>0.99543691797084999</v>
      </c>
      <c r="N53" s="47">
        <f t="shared" si="17"/>
        <v>0.7833753164900833</v>
      </c>
      <c r="O53" s="47"/>
      <c r="P53" s="47">
        <v>29</v>
      </c>
      <c r="Q53" s="47">
        <v>0</v>
      </c>
      <c r="R53" s="47">
        <f t="shared" si="18"/>
        <v>300</v>
      </c>
      <c r="S53" s="47">
        <f>VLOOKUP(J53,Table1[#All],5,FALSE)</f>
        <v>786307.05390000006</v>
      </c>
      <c r="T53" s="47">
        <f t="shared" si="4"/>
        <v>183308.32995204802</v>
      </c>
      <c r="U53" s="47"/>
      <c r="V53" s="47">
        <v>29</v>
      </c>
      <c r="W53" s="47">
        <f t="shared" si="5"/>
        <v>183308.32995204802</v>
      </c>
      <c r="X53" s="47">
        <f t="shared" si="6"/>
        <v>7827.1907031295505</v>
      </c>
      <c r="Y53" s="47"/>
      <c r="Z53" s="47">
        <v>29</v>
      </c>
      <c r="AA53" s="47">
        <v>0</v>
      </c>
      <c r="AB53" s="47">
        <f t="shared" si="19"/>
        <v>-300</v>
      </c>
      <c r="AC53" s="47">
        <f t="shared" si="7"/>
        <v>-3587.983587044971</v>
      </c>
      <c r="AD53" s="47">
        <v>0</v>
      </c>
      <c r="AE53" s="47">
        <f t="shared" si="8"/>
        <v>-18.179099999999998</v>
      </c>
      <c r="AF53" s="47">
        <f t="shared" si="9"/>
        <v>-7827.1907031295505</v>
      </c>
      <c r="AG53" s="47">
        <f t="shared" si="10"/>
        <v>-11733.353390174521</v>
      </c>
      <c r="AH53" s="47">
        <f t="shared" si="11"/>
        <v>-182471.87900585032</v>
      </c>
      <c r="AI53" s="47">
        <f t="shared" si="12"/>
        <v>-194205.23239602483</v>
      </c>
      <c r="AJ53" s="47">
        <f t="shared" si="13"/>
        <v>0.18156768825637232</v>
      </c>
      <c r="AK53" s="47">
        <f t="shared" si="14"/>
        <v>-27622.906541203683</v>
      </c>
      <c r="AL53" s="47">
        <v>0</v>
      </c>
    </row>
    <row r="54" spans="1:38" x14ac:dyDescent="0.2">
      <c r="A54" s="47">
        <v>65</v>
      </c>
      <c r="B54" s="47">
        <f>VLOOKUP(A54,Table22[#All],2,FALSE)</f>
        <v>6.4029118839999998E-3</v>
      </c>
      <c r="C54" s="47">
        <f t="shared" si="15"/>
        <v>0.1</v>
      </c>
      <c r="D54" s="47">
        <f t="shared" si="16"/>
        <v>0.15</v>
      </c>
      <c r="E54" s="47">
        <f t="shared" si="0"/>
        <v>4.89822759126E-3</v>
      </c>
      <c r="F54" s="47">
        <f t="shared" si="1"/>
        <v>0.99510177240873998</v>
      </c>
      <c r="G54" s="47">
        <v>0.15225052</v>
      </c>
      <c r="H54" s="47">
        <v>0.12342715999999999</v>
      </c>
      <c r="I54" s="47"/>
      <c r="J54" s="47">
        <v>65</v>
      </c>
      <c r="K54" s="47">
        <f t="shared" si="2"/>
        <v>4.89822759126E-3</v>
      </c>
      <c r="L54" s="47">
        <f>Lapses!B31</f>
        <v>0</v>
      </c>
      <c r="M54" s="47">
        <f t="shared" si="3"/>
        <v>0.99510177240873998</v>
      </c>
      <c r="N54" s="47">
        <f t="shared" si="17"/>
        <v>0.77980071066132772</v>
      </c>
      <c r="O54" s="47"/>
      <c r="P54" s="47">
        <v>30</v>
      </c>
      <c r="Q54" s="47">
        <v>0</v>
      </c>
      <c r="R54" s="47">
        <f t="shared" si="18"/>
        <v>300</v>
      </c>
      <c r="S54" s="47">
        <f>VLOOKUP(J54,Table1[#All],5,FALSE)</f>
        <v>812500</v>
      </c>
      <c r="T54" s="47">
        <f t="shared" si="4"/>
        <v>182929.10227946218</v>
      </c>
      <c r="U54" s="47"/>
      <c r="V54" s="47">
        <v>30</v>
      </c>
      <c r="W54" s="47">
        <f t="shared" si="5"/>
        <v>182929.10227946218</v>
      </c>
      <c r="X54" s="47">
        <f t="shared" si="6"/>
        <v>8085.2019008210127</v>
      </c>
      <c r="Y54" s="47"/>
      <c r="Z54" s="47">
        <v>30</v>
      </c>
      <c r="AA54" s="47">
        <v>0</v>
      </c>
      <c r="AB54" s="47">
        <f t="shared" si="19"/>
        <v>-300</v>
      </c>
      <c r="AC54" s="47">
        <f t="shared" si="7"/>
        <v>-3979.80991789875</v>
      </c>
      <c r="AD54" s="47">
        <v>0</v>
      </c>
      <c r="AE54" s="47">
        <f t="shared" si="8"/>
        <v>-18.179099999999998</v>
      </c>
      <c r="AF54" s="47">
        <f t="shared" si="9"/>
        <v>-8085.2019008210127</v>
      </c>
      <c r="AG54" s="47">
        <f t="shared" si="10"/>
        <v>-12383.190918719763</v>
      </c>
      <c r="AH54" s="47">
        <f t="shared" si="11"/>
        <v>-182033.07390343249</v>
      </c>
      <c r="AI54" s="47">
        <f t="shared" si="12"/>
        <v>-194416.26482215227</v>
      </c>
      <c r="AJ54" s="47">
        <f t="shared" si="13"/>
        <v>0.1711938542692204</v>
      </c>
      <c r="AK54" s="47">
        <f t="shared" si="14"/>
        <v>-25954.005450780034</v>
      </c>
      <c r="AL54" s="47">
        <v>0</v>
      </c>
    </row>
    <row r="55" spans="1:38" x14ac:dyDescent="0.2">
      <c r="A55" s="47">
        <v>66</v>
      </c>
      <c r="B55" s="47">
        <f>VLOOKUP(A55,Table22[#All],2,FALSE)</f>
        <v>6.9089710920000004E-3</v>
      </c>
      <c r="C55" s="47">
        <f t="shared" si="15"/>
        <v>0.1</v>
      </c>
      <c r="D55" s="47">
        <f t="shared" si="16"/>
        <v>0.15</v>
      </c>
      <c r="E55" s="47">
        <f t="shared" si="0"/>
        <v>5.2853628853800003E-3</v>
      </c>
      <c r="F55" s="47">
        <f t="shared" si="1"/>
        <v>0.99471463711462005</v>
      </c>
      <c r="G55" s="47">
        <v>0.15753412</v>
      </c>
      <c r="H55" s="47">
        <v>0.13642526999999999</v>
      </c>
      <c r="I55" s="47"/>
      <c r="J55" s="47">
        <v>66</v>
      </c>
      <c r="K55" s="47">
        <f t="shared" si="2"/>
        <v>5.2853628853800003E-3</v>
      </c>
      <c r="L55" s="47">
        <f>Lapses!B32</f>
        <v>0</v>
      </c>
      <c r="M55" s="47">
        <f t="shared" si="3"/>
        <v>0.99471463711462005</v>
      </c>
      <c r="N55" s="47">
        <f t="shared" si="17"/>
        <v>0.77598106930468225</v>
      </c>
      <c r="O55" s="47"/>
      <c r="P55" s="47">
        <v>31</v>
      </c>
      <c r="Q55" s="47">
        <v>0</v>
      </c>
      <c r="R55" s="47">
        <f t="shared" si="18"/>
        <v>300</v>
      </c>
      <c r="S55" s="47">
        <f>VLOOKUP(J55,Table1[#All],5,FALSE)</f>
        <v>698850.5747</v>
      </c>
      <c r="T55" s="47">
        <f t="shared" si="4"/>
        <v>184023.25984990163</v>
      </c>
      <c r="U55" s="47"/>
      <c r="V55" s="47">
        <v>31</v>
      </c>
      <c r="W55" s="47">
        <f t="shared" si="5"/>
        <v>184023.25984990163</v>
      </c>
      <c r="X55" s="47">
        <f t="shared" si="6"/>
        <v>6951.5689581005417</v>
      </c>
      <c r="Y55" s="47"/>
      <c r="Z55" s="47">
        <v>31</v>
      </c>
      <c r="AA55" s="47">
        <v>0</v>
      </c>
      <c r="AB55" s="47">
        <f t="shared" si="19"/>
        <v>-300</v>
      </c>
      <c r="AC55" s="47">
        <f t="shared" si="7"/>
        <v>-3693.6788899458634</v>
      </c>
      <c r="AD55" s="47">
        <v>0</v>
      </c>
      <c r="AE55" s="47">
        <f t="shared" si="8"/>
        <v>-18.179099999999998</v>
      </c>
      <c r="AF55" s="47">
        <f t="shared" si="9"/>
        <v>-6951.5689581005417</v>
      </c>
      <c r="AG55" s="47">
        <f t="shared" si="10"/>
        <v>-10963.426948046405</v>
      </c>
      <c r="AH55" s="47">
        <f t="shared" si="11"/>
        <v>-183050.63014224434</v>
      </c>
      <c r="AI55" s="47">
        <f t="shared" si="12"/>
        <v>-194014.05709029073</v>
      </c>
      <c r="AJ55" s="47">
        <f t="shared" si="13"/>
        <v>0.16141272723684905</v>
      </c>
      <c r="AK55" s="47">
        <f t="shared" si="14"/>
        <v>-24300.88550787553</v>
      </c>
      <c r="AL55" s="47">
        <v>0</v>
      </c>
    </row>
    <row r="56" spans="1:38" x14ac:dyDescent="0.2">
      <c r="A56" s="47">
        <v>67</v>
      </c>
      <c r="B56" s="47">
        <f>VLOOKUP(A56,Table22[#All],2,FALSE)</f>
        <v>7.4952438190000002E-3</v>
      </c>
      <c r="C56" s="47">
        <f t="shared" si="15"/>
        <v>0.1</v>
      </c>
      <c r="D56" s="47">
        <f t="shared" si="16"/>
        <v>0.15</v>
      </c>
      <c r="E56" s="47">
        <f t="shared" si="0"/>
        <v>5.7338615215349999E-3</v>
      </c>
      <c r="F56" s="47">
        <f t="shared" si="1"/>
        <v>0.99426613847846501</v>
      </c>
      <c r="G56" s="47">
        <v>0.16285316</v>
      </c>
      <c r="H56" s="47">
        <v>0.15131581999999999</v>
      </c>
      <c r="I56" s="47"/>
      <c r="J56" s="47">
        <v>67</v>
      </c>
      <c r="K56" s="47">
        <f t="shared" si="2"/>
        <v>5.7338615215349999E-3</v>
      </c>
      <c r="L56" s="47">
        <f>Lapses!B33</f>
        <v>0</v>
      </c>
      <c r="M56" s="47">
        <f t="shared" si="3"/>
        <v>0.99426613847846501</v>
      </c>
      <c r="N56" s="47">
        <f t="shared" si="17"/>
        <v>0.77187972776122182</v>
      </c>
      <c r="O56" s="47"/>
      <c r="P56" s="47">
        <v>32</v>
      </c>
      <c r="Q56" s="47">
        <v>0</v>
      </c>
      <c r="R56" s="47">
        <f t="shared" si="18"/>
        <v>300</v>
      </c>
      <c r="S56" s="47">
        <f>VLOOKUP(J56,Table1[#All],5,FALSE)</f>
        <v>698850.5747</v>
      </c>
      <c r="T56" s="47">
        <f t="shared" si="4"/>
        <v>184961.33385983764</v>
      </c>
      <c r="U56" s="47"/>
      <c r="V56" s="47">
        <v>32</v>
      </c>
      <c r="W56" s="47">
        <f t="shared" si="5"/>
        <v>184961.33385983764</v>
      </c>
      <c r="X56" s="47">
        <f t="shared" si="6"/>
        <v>6948.4346228042505</v>
      </c>
      <c r="Y56" s="47"/>
      <c r="Z56" s="47">
        <v>32</v>
      </c>
      <c r="AA56" s="47">
        <v>0</v>
      </c>
      <c r="AB56" s="47">
        <f t="shared" si="19"/>
        <v>-300</v>
      </c>
      <c r="AC56" s="47">
        <f t="shared" si="7"/>
        <v>-4007.1124195749512</v>
      </c>
      <c r="AD56" s="47">
        <v>0</v>
      </c>
      <c r="AE56" s="47">
        <f t="shared" si="8"/>
        <v>-18.179099999999998</v>
      </c>
      <c r="AF56" s="47">
        <f t="shared" si="9"/>
        <v>-6948.4346228042505</v>
      </c>
      <c r="AG56" s="47">
        <f t="shared" si="10"/>
        <v>-11273.726142379201</v>
      </c>
      <c r="AH56" s="47">
        <f t="shared" si="11"/>
        <v>-183900.79118464692</v>
      </c>
      <c r="AI56" s="47">
        <f t="shared" si="12"/>
        <v>-195174.51732702611</v>
      </c>
      <c r="AJ56" s="47">
        <f t="shared" si="13"/>
        <v>0.15219044296452758</v>
      </c>
      <c r="AK56" s="47">
        <f t="shared" si="14"/>
        <v>-22927.68097293585</v>
      </c>
      <c r="AL56" s="47">
        <v>0</v>
      </c>
    </row>
    <row r="57" spans="1:38" x14ac:dyDescent="0.2">
      <c r="A57" s="47">
        <v>68</v>
      </c>
      <c r="B57" s="47">
        <f>VLOOKUP(A57,Table22[#All],2,FALSE)</f>
        <v>8.173983147E-3</v>
      </c>
      <c r="C57" s="47">
        <f t="shared" si="15"/>
        <v>0.1</v>
      </c>
      <c r="D57" s="47">
        <f t="shared" si="16"/>
        <v>0.15</v>
      </c>
      <c r="E57" s="47">
        <f t="shared" si="0"/>
        <v>6.2530971074549998E-3</v>
      </c>
      <c r="F57" s="47">
        <f t="shared" si="1"/>
        <v>0.99374690289254497</v>
      </c>
      <c r="G57" s="47">
        <v>0.16816492</v>
      </c>
      <c r="H57" s="47">
        <v>0.16816492</v>
      </c>
      <c r="I57" s="47"/>
      <c r="J57" s="47">
        <v>68</v>
      </c>
      <c r="K57" s="47">
        <f t="shared" si="2"/>
        <v>6.2530971074549998E-3</v>
      </c>
      <c r="L57" s="47">
        <f>Lapses!B34</f>
        <v>0</v>
      </c>
      <c r="M57" s="47">
        <f t="shared" si="3"/>
        <v>0.99374690289254497</v>
      </c>
      <c r="N57" s="47">
        <f t="shared" si="17"/>
        <v>0.76745387629095885</v>
      </c>
      <c r="O57" s="47"/>
      <c r="P57" s="47">
        <v>33</v>
      </c>
      <c r="Q57" s="47">
        <v>0</v>
      </c>
      <c r="R57" s="47">
        <f t="shared" si="18"/>
        <v>300</v>
      </c>
      <c r="S57" s="47">
        <f>VLOOKUP(J57,Table1[#All],5,FALSE)</f>
        <v>698850.5747</v>
      </c>
      <c r="T57" s="47">
        <f t="shared" si="4"/>
        <v>185697.65573253666</v>
      </c>
      <c r="U57" s="47"/>
      <c r="V57" s="47">
        <v>33</v>
      </c>
      <c r="W57" s="47">
        <f t="shared" si="5"/>
        <v>185697.65573253666</v>
      </c>
      <c r="X57" s="47">
        <f t="shared" si="6"/>
        <v>6944.8059419280016</v>
      </c>
      <c r="Y57" s="47"/>
      <c r="Z57" s="47">
        <v>33</v>
      </c>
      <c r="AA57" s="47">
        <v>0</v>
      </c>
      <c r="AB57" s="47">
        <f t="shared" si="19"/>
        <v>-300</v>
      </c>
      <c r="AC57" s="47">
        <f t="shared" si="7"/>
        <v>-4369.9805071998344</v>
      </c>
      <c r="AD57" s="47">
        <v>0</v>
      </c>
      <c r="AE57" s="47">
        <f t="shared" si="8"/>
        <v>-18.179099999999998</v>
      </c>
      <c r="AF57" s="47">
        <f t="shared" si="9"/>
        <v>-6944.8059419280016</v>
      </c>
      <c r="AG57" s="47">
        <f t="shared" si="10"/>
        <v>-11632.965549127835</v>
      </c>
      <c r="AH57" s="47">
        <f t="shared" si="11"/>
        <v>-184536.47025861437</v>
      </c>
      <c r="AI57" s="47">
        <f t="shared" si="12"/>
        <v>-196169.43580774221</v>
      </c>
      <c r="AJ57" s="47">
        <f t="shared" si="13"/>
        <v>0.14349507208159892</v>
      </c>
      <c r="AK57" s="47">
        <f t="shared" si="14"/>
        <v>-21603.325724573082</v>
      </c>
      <c r="AL57" s="47">
        <v>0</v>
      </c>
    </row>
    <row r="58" spans="1:38" x14ac:dyDescent="0.2">
      <c r="A58" s="47">
        <v>69</v>
      </c>
      <c r="B58" s="47">
        <f>VLOOKUP(A58,Table22[#All],2,FALSE)</f>
        <v>8.9574421590000002E-3</v>
      </c>
      <c r="C58" s="47">
        <f t="shared" si="15"/>
        <v>0.1</v>
      </c>
      <c r="D58" s="47">
        <f t="shared" si="16"/>
        <v>0.15</v>
      </c>
      <c r="E58" s="47">
        <f t="shared" si="0"/>
        <v>6.8524432516349999E-3</v>
      </c>
      <c r="F58" s="47">
        <f t="shared" si="1"/>
        <v>0.99314755674836497</v>
      </c>
      <c r="G58" s="47">
        <v>0.17341730999999999</v>
      </c>
      <c r="H58" s="47">
        <v>0.17341730999999999</v>
      </c>
      <c r="I58" s="47"/>
      <c r="J58" s="47">
        <v>69</v>
      </c>
      <c r="K58" s="47">
        <f t="shared" si="2"/>
        <v>6.8524432516349999E-3</v>
      </c>
      <c r="L58" s="47">
        <f>Lapses!B35</f>
        <v>0</v>
      </c>
      <c r="M58" s="47">
        <f t="shared" si="3"/>
        <v>0.99314755674836497</v>
      </c>
      <c r="N58" s="47">
        <f t="shared" si="17"/>
        <v>0.76265491267701868</v>
      </c>
      <c r="O58" s="47"/>
      <c r="P58" s="47">
        <v>34</v>
      </c>
      <c r="Q58" s="47">
        <v>0</v>
      </c>
      <c r="R58" s="47">
        <f t="shared" si="18"/>
        <v>300</v>
      </c>
      <c r="S58" s="47">
        <f>VLOOKUP(J58,Table1[#All],5,FALSE)</f>
        <v>698850.5747</v>
      </c>
      <c r="T58" s="47">
        <f t="shared" si="4"/>
        <v>186178.52393443589</v>
      </c>
      <c r="U58" s="47"/>
      <c r="V58" s="47">
        <v>34</v>
      </c>
      <c r="W58" s="47">
        <f t="shared" si="5"/>
        <v>186178.52393443589</v>
      </c>
      <c r="X58" s="47">
        <f t="shared" si="6"/>
        <v>6940.6174079549573</v>
      </c>
      <c r="Y58" s="47"/>
      <c r="Z58" s="47">
        <v>34</v>
      </c>
      <c r="AA58" s="47">
        <v>0</v>
      </c>
      <c r="AB58" s="47">
        <f t="shared" si="19"/>
        <v>-300</v>
      </c>
      <c r="AC58" s="47">
        <f t="shared" si="7"/>
        <v>-4788.8339045042567</v>
      </c>
      <c r="AD58" s="47">
        <v>0</v>
      </c>
      <c r="AE58" s="47">
        <f t="shared" si="8"/>
        <v>-18.179099999999998</v>
      </c>
      <c r="AF58" s="47">
        <f t="shared" si="9"/>
        <v>-6940.6174079549573</v>
      </c>
      <c r="AG58" s="47">
        <f t="shared" si="10"/>
        <v>-12047.630412459213</v>
      </c>
      <c r="AH58" s="47">
        <f t="shared" si="11"/>
        <v>-184902.74616450199</v>
      </c>
      <c r="AI58" s="47">
        <f t="shared" si="12"/>
        <v>-196950.37657696119</v>
      </c>
      <c r="AJ58" s="47">
        <f t="shared" si="13"/>
        <v>0.13529650949568869</v>
      </c>
      <c r="AK58" s="47">
        <f t="shared" si="14"/>
        <v>-20322.235513624801</v>
      </c>
      <c r="AL58" s="47">
        <v>0</v>
      </c>
    </row>
    <row r="59" spans="1:38" x14ac:dyDescent="0.2">
      <c r="A59" s="47">
        <v>70</v>
      </c>
      <c r="B59" s="47">
        <f>VLOOKUP(A59,Table22[#All],2,FALSE)</f>
        <v>9.8578739390000007E-3</v>
      </c>
      <c r="C59" s="47">
        <f t="shared" si="15"/>
        <v>0.1</v>
      </c>
      <c r="D59" s="47">
        <f t="shared" si="16"/>
        <v>0.15</v>
      </c>
      <c r="E59" s="47">
        <f t="shared" si="0"/>
        <v>7.5412735633350004E-3</v>
      </c>
      <c r="F59" s="47">
        <f t="shared" si="1"/>
        <v>0.992458726436665</v>
      </c>
      <c r="G59" s="47">
        <v>0.17854828</v>
      </c>
      <c r="H59" s="47">
        <v>0.17854828</v>
      </c>
      <c r="I59" s="47"/>
      <c r="J59" s="47">
        <v>70</v>
      </c>
      <c r="K59" s="47">
        <f t="shared" si="2"/>
        <v>7.5412735633350004E-3</v>
      </c>
      <c r="L59" s="47">
        <f>Lapses!B36</f>
        <v>0</v>
      </c>
      <c r="M59" s="47">
        <f t="shared" si="3"/>
        <v>0.992458726436665</v>
      </c>
      <c r="N59" s="47">
        <f t="shared" si="17"/>
        <v>0.75742886316731872</v>
      </c>
      <c r="O59" s="47"/>
      <c r="P59" s="47">
        <v>35</v>
      </c>
      <c r="Q59" s="47">
        <v>0</v>
      </c>
      <c r="R59" s="47">
        <f t="shared" si="18"/>
        <v>300</v>
      </c>
      <c r="S59" s="47">
        <f>VLOOKUP(J59,Table1[#All],5,FALSE)</f>
        <v>698850.5747</v>
      </c>
      <c r="T59" s="47">
        <f t="shared" si="4"/>
        <v>186341.42966954235</v>
      </c>
      <c r="U59" s="47"/>
      <c r="V59" s="47">
        <v>35</v>
      </c>
      <c r="W59" s="47">
        <f t="shared" si="5"/>
        <v>186341.42966954235</v>
      </c>
      <c r="X59" s="47">
        <f t="shared" si="6"/>
        <v>6935.8035133629337</v>
      </c>
      <c r="Y59" s="47"/>
      <c r="Z59" s="47">
        <v>35</v>
      </c>
      <c r="AA59" s="47">
        <v>0</v>
      </c>
      <c r="AB59" s="47">
        <f t="shared" si="19"/>
        <v>-300</v>
      </c>
      <c r="AC59" s="47">
        <f t="shared" si="7"/>
        <v>-5270.2233637065819</v>
      </c>
      <c r="AD59" s="47">
        <v>0</v>
      </c>
      <c r="AE59" s="47">
        <f t="shared" si="8"/>
        <v>-18.179099999999998</v>
      </c>
      <c r="AF59" s="47">
        <f t="shared" si="9"/>
        <v>-6935.8035133629337</v>
      </c>
      <c r="AG59" s="47">
        <f t="shared" si="10"/>
        <v>-12524.205977069516</v>
      </c>
      <c r="AH59" s="47">
        <f t="shared" si="11"/>
        <v>-184936.1779722214</v>
      </c>
      <c r="AI59" s="47">
        <f t="shared" si="12"/>
        <v>-197460.3839492909</v>
      </c>
      <c r="AJ59" s="47">
        <f t="shared" si="13"/>
        <v>0.12756637016292588</v>
      </c>
      <c r="AK59" s="47">
        <f t="shared" si="14"/>
        <v>-19079.106219442256</v>
      </c>
      <c r="AL59" s="47">
        <v>0</v>
      </c>
    </row>
    <row r="60" spans="1:38" x14ac:dyDescent="0.2">
      <c r="A60" s="47">
        <v>71</v>
      </c>
      <c r="B60" s="47">
        <f>VLOOKUP(A60,Table22[#All],2,FALSE)</f>
        <v>1.0887531569999999E-2</v>
      </c>
      <c r="C60" s="47">
        <f t="shared" si="15"/>
        <v>0.1</v>
      </c>
      <c r="D60" s="47">
        <f t="shared" si="16"/>
        <v>0.15</v>
      </c>
      <c r="E60" s="47">
        <f t="shared" si="0"/>
        <v>8.3289616510499997E-3</v>
      </c>
      <c r="F60" s="47">
        <f t="shared" si="1"/>
        <v>0.99167103834894998</v>
      </c>
      <c r="G60" s="47">
        <v>0.18274795999999999</v>
      </c>
      <c r="H60" s="47">
        <v>0.18274795999999999</v>
      </c>
      <c r="I60" s="47"/>
      <c r="J60" s="47">
        <v>71</v>
      </c>
      <c r="K60" s="47">
        <f t="shared" si="2"/>
        <v>8.3289616510499997E-3</v>
      </c>
      <c r="L60" s="47">
        <f>Lapses!B37</f>
        <v>0</v>
      </c>
      <c r="M60" s="47">
        <f t="shared" si="3"/>
        <v>0.99167103834894998</v>
      </c>
      <c r="N60" s="47">
        <f t="shared" si="17"/>
        <v>0.75171688490540811</v>
      </c>
      <c r="O60" s="47"/>
      <c r="P60" s="47">
        <v>36</v>
      </c>
      <c r="Q60" s="47">
        <v>0</v>
      </c>
      <c r="R60" s="47">
        <f t="shared" si="18"/>
        <v>300</v>
      </c>
      <c r="S60" s="47">
        <f>VLOOKUP(J60,Table1[#All],5,FALSE)</f>
        <v>698850.5747</v>
      </c>
      <c r="T60" s="47">
        <f t="shared" si="4"/>
        <v>186114.12117407974</v>
      </c>
      <c r="U60" s="47"/>
      <c r="V60" s="47">
        <v>36</v>
      </c>
      <c r="W60" s="47">
        <f t="shared" si="5"/>
        <v>186114.12117407974</v>
      </c>
      <c r="X60" s="47">
        <f t="shared" si="6"/>
        <v>6930.2987506350946</v>
      </c>
      <c r="Y60" s="47"/>
      <c r="Z60" s="47">
        <v>36</v>
      </c>
      <c r="AA60" s="47">
        <v>0</v>
      </c>
      <c r="AB60" s="47">
        <f t="shared" si="19"/>
        <v>-300</v>
      </c>
      <c r="AC60" s="47">
        <f t="shared" si="7"/>
        <v>-5820.6996364905535</v>
      </c>
      <c r="AD60" s="47">
        <v>0</v>
      </c>
      <c r="AE60" s="47">
        <f t="shared" si="8"/>
        <v>-18.179099999999998</v>
      </c>
      <c r="AF60" s="47">
        <f t="shared" si="9"/>
        <v>-6930.2987506350946</v>
      </c>
      <c r="AG60" s="47">
        <f t="shared" si="10"/>
        <v>-13069.177487125649</v>
      </c>
      <c r="AH60" s="47">
        <f t="shared" si="11"/>
        <v>-184563.98379610197</v>
      </c>
      <c r="AI60" s="47">
        <f t="shared" si="12"/>
        <v>-197633.16128322762</v>
      </c>
      <c r="AJ60" s="47">
        <f t="shared" si="13"/>
        <v>0.12027789081331164</v>
      </c>
      <c r="AK60" s="47">
        <f t="shared" si="14"/>
        <v>-17868.986744479385</v>
      </c>
      <c r="AL60" s="47">
        <v>0</v>
      </c>
    </row>
    <row r="61" spans="1:38" x14ac:dyDescent="0.2">
      <c r="A61" s="47">
        <v>72</v>
      </c>
      <c r="B61" s="47">
        <f>VLOOKUP(A61,Table22[#All],2,FALSE)</f>
        <v>1.205866813E-2</v>
      </c>
      <c r="C61" s="47">
        <f t="shared" si="15"/>
        <v>0.1</v>
      </c>
      <c r="D61" s="47">
        <f t="shared" si="16"/>
        <v>0.15</v>
      </c>
      <c r="E61" s="47">
        <f t="shared" si="0"/>
        <v>9.2248811194499993E-3</v>
      </c>
      <c r="F61" s="47">
        <f t="shared" si="1"/>
        <v>0.99077511888055003</v>
      </c>
      <c r="G61" s="47">
        <v>0.18654466</v>
      </c>
      <c r="H61" s="47">
        <v>0.18654466</v>
      </c>
      <c r="I61" s="47"/>
      <c r="J61" s="47">
        <v>72</v>
      </c>
      <c r="K61" s="47">
        <f t="shared" si="2"/>
        <v>9.2248811194499993E-3</v>
      </c>
      <c r="L61" s="47">
        <f>Lapses!B38</f>
        <v>0</v>
      </c>
      <c r="M61" s="47">
        <f t="shared" si="3"/>
        <v>0.99077511888055003</v>
      </c>
      <c r="N61" s="47">
        <f t="shared" si="17"/>
        <v>0.7454558637985842</v>
      </c>
      <c r="O61" s="47"/>
      <c r="P61" s="47">
        <v>37</v>
      </c>
      <c r="Q61" s="47">
        <v>0</v>
      </c>
      <c r="R61" s="47">
        <f t="shared" si="18"/>
        <v>300</v>
      </c>
      <c r="S61" s="47">
        <f>VLOOKUP(J61,Table1[#All],5,FALSE)</f>
        <v>698850.5747</v>
      </c>
      <c r="T61" s="47">
        <f t="shared" si="4"/>
        <v>185413.46556853224</v>
      </c>
      <c r="U61" s="47"/>
      <c r="V61" s="47">
        <v>37</v>
      </c>
      <c r="W61" s="47">
        <f t="shared" si="5"/>
        <v>185413.46556853224</v>
      </c>
      <c r="X61" s="47">
        <f t="shared" si="6"/>
        <v>6924.0376122813323</v>
      </c>
      <c r="Y61" s="47"/>
      <c r="Z61" s="47">
        <v>37</v>
      </c>
      <c r="AA61" s="47">
        <v>0</v>
      </c>
      <c r="AB61" s="47">
        <f t="shared" si="19"/>
        <v>-300</v>
      </c>
      <c r="AC61" s="47">
        <f t="shared" si="7"/>
        <v>-6446.8134718668116</v>
      </c>
      <c r="AD61" s="47">
        <v>0</v>
      </c>
      <c r="AE61" s="47">
        <f t="shared" si="8"/>
        <v>-18.179099999999998</v>
      </c>
      <c r="AF61" s="47">
        <f t="shared" si="9"/>
        <v>-6924.0376122813323</v>
      </c>
      <c r="AG61" s="47">
        <f t="shared" si="10"/>
        <v>-13689.030184148145</v>
      </c>
      <c r="AH61" s="47">
        <f t="shared" si="11"/>
        <v>-183703.0483907173</v>
      </c>
      <c r="AI61" s="47">
        <f t="shared" si="12"/>
        <v>-197392.07857486545</v>
      </c>
      <c r="AJ61" s="47">
        <f t="shared" si="13"/>
        <v>0.11340583729098955</v>
      </c>
      <c r="AK61" s="47">
        <f t="shared" si="14"/>
        <v>-16687.338089150628</v>
      </c>
      <c r="AL61" s="47">
        <v>0</v>
      </c>
    </row>
    <row r="62" spans="1:38" x14ac:dyDescent="0.2">
      <c r="A62" s="47">
        <v>73</v>
      </c>
      <c r="B62" s="47">
        <f>VLOOKUP(A62,Table22[#All],2,FALSE)</f>
        <v>1.3383536709999999E-2</v>
      </c>
      <c r="C62" s="47">
        <f t="shared" si="15"/>
        <v>0.1</v>
      </c>
      <c r="D62" s="47">
        <f t="shared" si="16"/>
        <v>0.15</v>
      </c>
      <c r="E62" s="47">
        <f t="shared" si="0"/>
        <v>1.023840558315E-2</v>
      </c>
      <c r="F62" s="47">
        <f t="shared" si="1"/>
        <v>0.98976159441684997</v>
      </c>
      <c r="G62" s="47">
        <v>0.18982109999999999</v>
      </c>
      <c r="H62" s="47">
        <v>0.18982109999999999</v>
      </c>
      <c r="I62" s="47"/>
      <c r="J62" s="47">
        <v>73</v>
      </c>
      <c r="K62" s="47">
        <f t="shared" si="2"/>
        <v>1.023840558315E-2</v>
      </c>
      <c r="L62" s="47">
        <f>Lapses!B39</f>
        <v>0</v>
      </c>
      <c r="M62" s="47">
        <f t="shared" si="3"/>
        <v>0.98976159441684997</v>
      </c>
      <c r="N62" s="47">
        <f t="shared" si="17"/>
        <v>0.73857912207524534</v>
      </c>
      <c r="O62" s="47"/>
      <c r="P62" s="47">
        <v>38</v>
      </c>
      <c r="Q62" s="47">
        <v>0</v>
      </c>
      <c r="R62" s="47">
        <f t="shared" si="18"/>
        <v>300</v>
      </c>
      <c r="S62" s="47">
        <f>VLOOKUP(J62,Table1[#All],5,FALSE)</f>
        <v>698850.5747</v>
      </c>
      <c r="T62" s="47">
        <f t="shared" si="4"/>
        <v>184144.05757220159</v>
      </c>
      <c r="U62" s="47"/>
      <c r="V62" s="47">
        <v>38</v>
      </c>
      <c r="W62" s="47">
        <f t="shared" si="5"/>
        <v>184144.05757220159</v>
      </c>
      <c r="X62" s="47">
        <f t="shared" si="6"/>
        <v>6916.9545907420388</v>
      </c>
      <c r="Y62" s="47"/>
      <c r="Z62" s="47">
        <v>38</v>
      </c>
      <c r="AA62" s="47">
        <v>0</v>
      </c>
      <c r="AB62" s="47">
        <f t="shared" si="19"/>
        <v>-300</v>
      </c>
      <c r="AC62" s="47">
        <f t="shared" si="7"/>
        <v>-7155.1156257960656</v>
      </c>
      <c r="AD62" s="47">
        <v>0</v>
      </c>
      <c r="AE62" s="47">
        <f t="shared" si="8"/>
        <v>-18.179099999999998</v>
      </c>
      <c r="AF62" s="47">
        <f t="shared" si="9"/>
        <v>-6916.9545907420388</v>
      </c>
      <c r="AG62" s="47">
        <f t="shared" si="10"/>
        <v>-14390.249316538106</v>
      </c>
      <c r="AH62" s="47">
        <f t="shared" si="11"/>
        <v>-182258.71602505047</v>
      </c>
      <c r="AI62" s="47">
        <f t="shared" si="12"/>
        <v>-196648.96534158857</v>
      </c>
      <c r="AJ62" s="47">
        <f t="shared" si="13"/>
        <v>0.10692641718861129</v>
      </c>
      <c r="AK62" s="47">
        <f t="shared" si="14"/>
        <v>-15530.080531275382</v>
      </c>
      <c r="AL62" s="47">
        <v>0</v>
      </c>
    </row>
    <row r="63" spans="1:38" x14ac:dyDescent="0.2">
      <c r="A63" s="47">
        <v>74</v>
      </c>
      <c r="B63" s="47">
        <f>VLOOKUP(A63,Table22[#All],2,FALSE)</f>
        <v>1.4874390390000001E-2</v>
      </c>
      <c r="C63" s="47">
        <f t="shared" si="15"/>
        <v>0.1</v>
      </c>
      <c r="D63" s="47">
        <f t="shared" si="16"/>
        <v>0.15</v>
      </c>
      <c r="E63" s="47">
        <f t="shared" si="0"/>
        <v>1.1378908648350001E-2</v>
      </c>
      <c r="F63" s="47">
        <f t="shared" si="1"/>
        <v>0.98862109135164999</v>
      </c>
      <c r="G63" s="47">
        <v>0.19244293000000001</v>
      </c>
      <c r="H63" s="47">
        <v>0.19244293000000001</v>
      </c>
      <c r="I63" s="47"/>
      <c r="J63" s="47">
        <v>74</v>
      </c>
      <c r="K63" s="47">
        <f t="shared" si="2"/>
        <v>1.1378908648350001E-2</v>
      </c>
      <c r="L63" s="47">
        <f>Lapses!B40</f>
        <v>0</v>
      </c>
      <c r="M63" s="47">
        <f t="shared" si="3"/>
        <v>0.98862109135164999</v>
      </c>
      <c r="N63" s="47">
        <f t="shared" si="17"/>
        <v>0.73101724946819213</v>
      </c>
      <c r="O63" s="47"/>
      <c r="P63" s="47">
        <v>39</v>
      </c>
      <c r="Q63" s="47">
        <v>0</v>
      </c>
      <c r="R63" s="47">
        <f t="shared" si="18"/>
        <v>300</v>
      </c>
      <c r="S63" s="47">
        <f>VLOOKUP(J63,Table1[#All],5,FALSE)</f>
        <v>698850.5747</v>
      </c>
      <c r="T63" s="47">
        <f t="shared" si="4"/>
        <v>182196.51237236275</v>
      </c>
      <c r="U63" s="47"/>
      <c r="V63" s="47">
        <v>39</v>
      </c>
      <c r="W63" s="47">
        <f t="shared" si="5"/>
        <v>182196.51237236275</v>
      </c>
      <c r="X63" s="47">
        <f t="shared" si="6"/>
        <v>6908.9841785164181</v>
      </c>
      <c r="Y63" s="47"/>
      <c r="Z63" s="47">
        <v>39</v>
      </c>
      <c r="AA63" s="47">
        <v>0</v>
      </c>
      <c r="AB63" s="47">
        <f t="shared" si="19"/>
        <v>-300</v>
      </c>
      <c r="AC63" s="47">
        <f t="shared" si="7"/>
        <v>-7952.1568483581977</v>
      </c>
      <c r="AD63" s="47">
        <v>0</v>
      </c>
      <c r="AE63" s="47">
        <f t="shared" si="8"/>
        <v>-18.179099999999998</v>
      </c>
      <c r="AF63" s="47">
        <f t="shared" si="9"/>
        <v>-6908.9841785164181</v>
      </c>
      <c r="AG63" s="47">
        <f t="shared" si="10"/>
        <v>-15179.320126874616</v>
      </c>
      <c r="AH63" s="47">
        <f t="shared" si="11"/>
        <v>-180123.31490202967</v>
      </c>
      <c r="AI63" s="47">
        <f t="shared" si="12"/>
        <v>-195302.63502890427</v>
      </c>
      <c r="AJ63" s="47">
        <f t="shared" si="13"/>
        <v>0.10081719747332049</v>
      </c>
      <c r="AK63" s="47">
        <f t="shared" si="14"/>
        <v>-14393.630459632395</v>
      </c>
      <c r="AL63" s="47">
        <v>0</v>
      </c>
    </row>
    <row r="64" spans="1:38" x14ac:dyDescent="0.2">
      <c r="A64" s="47">
        <v>75</v>
      </c>
      <c r="B64" s="47">
        <f>VLOOKUP(A64,Table22[#All],2,FALSE)</f>
        <v>1.6543482259999999E-2</v>
      </c>
      <c r="C64" s="47">
        <f t="shared" si="15"/>
        <v>0.1</v>
      </c>
      <c r="D64" s="47">
        <f t="shared" si="16"/>
        <v>0.15</v>
      </c>
      <c r="E64" s="47">
        <f t="shared" si="0"/>
        <v>1.2655763928899999E-2</v>
      </c>
      <c r="F64" s="47">
        <f t="shared" si="1"/>
        <v>0.9873442360711</v>
      </c>
      <c r="G64" s="47">
        <v>0.19425654000000001</v>
      </c>
      <c r="H64" s="47">
        <v>0.19425654000000001</v>
      </c>
      <c r="I64" s="47"/>
      <c r="J64" s="47">
        <v>75</v>
      </c>
      <c r="K64" s="47">
        <f t="shared" si="2"/>
        <v>1.2655763928899999E-2</v>
      </c>
      <c r="L64" s="47">
        <f>Lapses!B41</f>
        <v>0</v>
      </c>
      <c r="M64" s="47">
        <f t="shared" si="3"/>
        <v>0.9873442360711</v>
      </c>
      <c r="N64" s="47">
        <f t="shared" si="17"/>
        <v>0.72269907096612551</v>
      </c>
      <c r="O64" s="47"/>
      <c r="P64" s="47">
        <v>40</v>
      </c>
      <c r="Q64" s="47">
        <v>0</v>
      </c>
      <c r="R64" s="47">
        <f t="shared" si="18"/>
        <v>300</v>
      </c>
      <c r="S64" s="47">
        <f>VLOOKUP(J64,Table1[#All],5,FALSE)</f>
        <v>698850.5747</v>
      </c>
      <c r="T64" s="47">
        <f t="shared" si="4"/>
        <v>179445.36474389542</v>
      </c>
      <c r="U64" s="47"/>
      <c r="V64" s="47">
        <v>40</v>
      </c>
      <c r="W64" s="47">
        <f t="shared" si="5"/>
        <v>179445.36474389542</v>
      </c>
      <c r="X64" s="47">
        <f t="shared" si="6"/>
        <v>6900.0608680502073</v>
      </c>
      <c r="Y64" s="47"/>
      <c r="Z64" s="47">
        <v>40</v>
      </c>
      <c r="AA64" s="47">
        <v>0</v>
      </c>
      <c r="AB64" s="47">
        <f t="shared" si="19"/>
        <v>-300</v>
      </c>
      <c r="AC64" s="47">
        <f t="shared" si="7"/>
        <v>-8844.4878949792947</v>
      </c>
      <c r="AD64" s="47">
        <v>0</v>
      </c>
      <c r="AE64" s="47">
        <f t="shared" si="8"/>
        <v>-18.179099999999998</v>
      </c>
      <c r="AF64" s="47">
        <f t="shared" si="9"/>
        <v>-6900.0608680502073</v>
      </c>
      <c r="AG64" s="47">
        <f t="shared" si="10"/>
        <v>-16062.7278630295</v>
      </c>
      <c r="AH64" s="47">
        <f t="shared" si="11"/>
        <v>-177174.34656956131</v>
      </c>
      <c r="AI64" s="47">
        <f t="shared" si="12"/>
        <v>-193237.0744325908</v>
      </c>
      <c r="AJ64" s="47">
        <f t="shared" si="13"/>
        <v>9.5057026819159868E-2</v>
      </c>
      <c r="AK64" s="47">
        <f t="shared" si="14"/>
        <v>-13274.928069865058</v>
      </c>
      <c r="AL64" s="47">
        <v>0</v>
      </c>
    </row>
    <row r="65" spans="1:38" x14ac:dyDescent="0.2">
      <c r="A65" s="47">
        <v>76</v>
      </c>
      <c r="B65" s="47">
        <f>VLOOKUP(A65,Table22[#All],2,FALSE)</f>
        <v>1.8403065390000001E-2</v>
      </c>
      <c r="C65" s="47">
        <f t="shared" si="15"/>
        <v>0.1</v>
      </c>
      <c r="D65" s="47">
        <f t="shared" si="16"/>
        <v>0.15</v>
      </c>
      <c r="E65" s="47">
        <f t="shared" si="0"/>
        <v>1.407834502335E-2</v>
      </c>
      <c r="F65" s="47">
        <f t="shared" si="1"/>
        <v>0.98592165497664996</v>
      </c>
      <c r="G65" s="47">
        <v>0.19508627000000001</v>
      </c>
      <c r="H65" s="47">
        <v>0.19508627000000001</v>
      </c>
      <c r="I65" s="47"/>
      <c r="J65" s="47">
        <v>76</v>
      </c>
      <c r="K65" s="47">
        <f t="shared" si="2"/>
        <v>1.407834502335E-2</v>
      </c>
      <c r="L65" s="47">
        <f>Lapses!B42</f>
        <v>0</v>
      </c>
      <c r="M65" s="47">
        <f t="shared" si="3"/>
        <v>0.98592165497664996</v>
      </c>
      <c r="N65" s="47">
        <f t="shared" si="17"/>
        <v>0.71355276213234287</v>
      </c>
      <c r="O65" s="47"/>
      <c r="P65" s="47">
        <v>41</v>
      </c>
      <c r="Q65" s="47">
        <v>0</v>
      </c>
      <c r="R65" s="47">
        <f t="shared" si="18"/>
        <v>300</v>
      </c>
      <c r="S65" s="47">
        <f>VLOOKUP(J65,Table1[#All],5,FALSE)</f>
        <v>698850.5747</v>
      </c>
      <c r="T65" s="47">
        <f t="shared" si="4"/>
        <v>175746.4772929608</v>
      </c>
      <c r="U65" s="47"/>
      <c r="V65" s="47">
        <v>41</v>
      </c>
      <c r="W65" s="47">
        <f t="shared" si="5"/>
        <v>175746.4772929608</v>
      </c>
      <c r="X65" s="47">
        <f t="shared" si="6"/>
        <v>6890.1191518960695</v>
      </c>
      <c r="Y65" s="47"/>
      <c r="Z65" s="47">
        <v>41</v>
      </c>
      <c r="AA65" s="47">
        <v>0</v>
      </c>
      <c r="AB65" s="47">
        <f t="shared" si="19"/>
        <v>-300</v>
      </c>
      <c r="AC65" s="47">
        <f t="shared" si="7"/>
        <v>-9838.6595103930322</v>
      </c>
      <c r="AD65" s="47">
        <v>0</v>
      </c>
      <c r="AE65" s="47">
        <f t="shared" si="8"/>
        <v>-18.179099999999998</v>
      </c>
      <c r="AF65" s="47">
        <f t="shared" si="9"/>
        <v>-6890.1191518960695</v>
      </c>
      <c r="AG65" s="47">
        <f t="shared" si="10"/>
        <v>-17046.957762289101</v>
      </c>
      <c r="AH65" s="47">
        <f t="shared" si="11"/>
        <v>-173272.25774899215</v>
      </c>
      <c r="AI65" s="47">
        <f t="shared" si="12"/>
        <v>-190319.21551128125</v>
      </c>
      <c r="AJ65" s="47">
        <f t="shared" si="13"/>
        <v>8.9625962377000754E-2</v>
      </c>
      <c r="AK65" s="47">
        <f t="shared" si="14"/>
        <v>-12171.456815119283</v>
      </c>
      <c r="AL65" s="47">
        <v>0</v>
      </c>
    </row>
    <row r="66" spans="1:38" x14ac:dyDescent="0.2">
      <c r="A66" s="47">
        <v>77</v>
      </c>
      <c r="B66" s="47">
        <f>VLOOKUP(A66,Table22[#All],2,FALSE)</f>
        <v>2.0465392860000001E-2</v>
      </c>
      <c r="C66" s="47">
        <f t="shared" si="15"/>
        <v>0.1</v>
      </c>
      <c r="D66" s="47">
        <f t="shared" si="16"/>
        <v>0.15</v>
      </c>
      <c r="E66" s="47">
        <f t="shared" si="0"/>
        <v>1.5656025537900003E-2</v>
      </c>
      <c r="F66" s="47">
        <f t="shared" si="1"/>
        <v>0.98434397446209998</v>
      </c>
      <c r="G66" s="47">
        <v>0.19473099999999999</v>
      </c>
      <c r="H66" s="47">
        <v>0.19473099999999999</v>
      </c>
      <c r="I66" s="47"/>
      <c r="J66" s="47">
        <v>77</v>
      </c>
      <c r="K66" s="47">
        <f t="shared" si="2"/>
        <v>1.5656025537900003E-2</v>
      </c>
      <c r="L66" s="47">
        <f>Lapses!B43</f>
        <v>0</v>
      </c>
      <c r="M66" s="47">
        <f t="shared" si="3"/>
        <v>0.98434397446209998</v>
      </c>
      <c r="N66" s="47">
        <f t="shared" si="17"/>
        <v>0.70350712015467931</v>
      </c>
      <c r="O66" s="47"/>
      <c r="P66" s="47">
        <v>42</v>
      </c>
      <c r="Q66" s="47">
        <v>0</v>
      </c>
      <c r="R66" s="47">
        <f t="shared" si="18"/>
        <v>300</v>
      </c>
      <c r="S66" s="47">
        <f>VLOOKUP(J66,Table1[#All],5,FALSE)</f>
        <v>698850.5747</v>
      </c>
      <c r="T66" s="47">
        <f t="shared" si="4"/>
        <v>170933.83601214725</v>
      </c>
      <c r="U66" s="47"/>
      <c r="V66" s="47">
        <v>42</v>
      </c>
      <c r="W66" s="47">
        <f t="shared" si="5"/>
        <v>170933.83601214725</v>
      </c>
      <c r="X66" s="47">
        <f t="shared" si="6"/>
        <v>6879.0935225532066</v>
      </c>
      <c r="Y66" s="47"/>
      <c r="Z66" s="47">
        <v>42</v>
      </c>
      <c r="AA66" s="47">
        <v>0</v>
      </c>
      <c r="AB66" s="47">
        <f t="shared" si="19"/>
        <v>-300</v>
      </c>
      <c r="AC66" s="47">
        <f t="shared" si="7"/>
        <v>-10941.222444679293</v>
      </c>
      <c r="AD66" s="47">
        <v>0</v>
      </c>
      <c r="AE66" s="47">
        <f t="shared" si="8"/>
        <v>-18.179099999999998</v>
      </c>
      <c r="AF66" s="47">
        <f t="shared" si="9"/>
        <v>-6879.0935225532066</v>
      </c>
      <c r="AG66" s="47">
        <f t="shared" si="10"/>
        <v>-18138.495067232499</v>
      </c>
      <c r="AH66" s="47">
        <f t="shared" si="11"/>
        <v>-168257.69151024986</v>
      </c>
      <c r="AI66" s="47">
        <f t="shared" si="12"/>
        <v>-186396.18657748235</v>
      </c>
      <c r="AJ66" s="47">
        <f t="shared" si="13"/>
        <v>8.4505200728458366E-2</v>
      </c>
      <c r="AK66" s="47">
        <f t="shared" si="14"/>
        <v>-11081.255231030864</v>
      </c>
      <c r="AL66" s="47">
        <v>0</v>
      </c>
    </row>
    <row r="67" spans="1:38" x14ac:dyDescent="0.2">
      <c r="A67" s="47">
        <v>78</v>
      </c>
      <c r="B67" s="47">
        <f>VLOOKUP(A67,Table22[#All],2,FALSE)</f>
        <v>2.274271777E-2</v>
      </c>
      <c r="C67" s="47">
        <f t="shared" si="15"/>
        <v>0.1</v>
      </c>
      <c r="D67" s="47">
        <f t="shared" si="16"/>
        <v>0.15</v>
      </c>
      <c r="E67" s="47">
        <f t="shared" si="0"/>
        <v>1.739817909405E-2</v>
      </c>
      <c r="F67" s="47">
        <f t="shared" si="1"/>
        <v>0.98260182090595005</v>
      </c>
      <c r="G67" s="47">
        <v>0.19295983</v>
      </c>
      <c r="H67" s="47">
        <v>0.19295983</v>
      </c>
      <c r="I67" s="47"/>
      <c r="J67" s="47">
        <v>78</v>
      </c>
      <c r="K67" s="47">
        <f t="shared" si="2"/>
        <v>1.739817909405E-2</v>
      </c>
      <c r="L67" s="47">
        <f>Lapses!B44</f>
        <v>0</v>
      </c>
      <c r="M67" s="47">
        <f t="shared" si="3"/>
        <v>0.98260182090595005</v>
      </c>
      <c r="N67" s="47">
        <f t="shared" si="17"/>
        <v>0.69249299471544312</v>
      </c>
      <c r="O67" s="47"/>
      <c r="P67" s="47">
        <v>43</v>
      </c>
      <c r="Q67" s="47">
        <v>0</v>
      </c>
      <c r="R67" s="47">
        <f t="shared" si="18"/>
        <v>300</v>
      </c>
      <c r="S67" s="47">
        <f>VLOOKUP(J67,Table1[#All],5,FALSE)</f>
        <v>698850.5747</v>
      </c>
      <c r="T67" s="47">
        <f t="shared" si="4"/>
        <v>164815.57961355738</v>
      </c>
      <c r="U67" s="47"/>
      <c r="V67" s="47">
        <v>43</v>
      </c>
      <c r="W67" s="47">
        <f t="shared" si="5"/>
        <v>164815.57961355738</v>
      </c>
      <c r="X67" s="47">
        <f t="shared" si="6"/>
        <v>6866.9184724138968</v>
      </c>
      <c r="Y67" s="47"/>
      <c r="Z67" s="47">
        <v>43</v>
      </c>
      <c r="AA67" s="47">
        <v>0</v>
      </c>
      <c r="AB67" s="47">
        <f t="shared" si="19"/>
        <v>-300</v>
      </c>
      <c r="AC67" s="47">
        <f t="shared" si="7"/>
        <v>-12158.727458610369</v>
      </c>
      <c r="AD67" s="47">
        <v>0</v>
      </c>
      <c r="AE67" s="47">
        <f t="shared" si="8"/>
        <v>-18.179099999999998</v>
      </c>
      <c r="AF67" s="47">
        <f t="shared" si="9"/>
        <v>-6866.9184724138968</v>
      </c>
      <c r="AG67" s="47">
        <f t="shared" si="10"/>
        <v>-19343.825031024266</v>
      </c>
      <c r="AH67" s="47">
        <f t="shared" si="11"/>
        <v>-161948.08864195106</v>
      </c>
      <c r="AI67" s="47">
        <f t="shared" si="12"/>
        <v>-181291.91367297532</v>
      </c>
      <c r="AJ67" s="47">
        <f t="shared" si="13"/>
        <v>7.9677012784741388E-2</v>
      </c>
      <c r="AK67" s="47">
        <f t="shared" si="14"/>
        <v>-10002.921510596909</v>
      </c>
      <c r="AL67" s="47">
        <v>0</v>
      </c>
    </row>
    <row r="68" spans="1:38" x14ac:dyDescent="0.2">
      <c r="A68" s="47">
        <v>79</v>
      </c>
      <c r="B68" s="47">
        <f>VLOOKUP(A68,Table22[#All],2,FALSE)</f>
        <v>2.52472932E-2</v>
      </c>
      <c r="C68" s="47">
        <f t="shared" si="15"/>
        <v>0.1</v>
      </c>
      <c r="D68" s="47">
        <f t="shared" si="16"/>
        <v>0.15</v>
      </c>
      <c r="E68" s="47">
        <f t="shared" si="0"/>
        <v>1.9314179298E-2</v>
      </c>
      <c r="F68" s="47">
        <f t="shared" si="1"/>
        <v>0.98068582070199994</v>
      </c>
      <c r="G68" s="47">
        <v>0.18950661999999999</v>
      </c>
      <c r="H68" s="47">
        <v>0.18950661999999999</v>
      </c>
      <c r="I68" s="47"/>
      <c r="J68" s="47">
        <v>79</v>
      </c>
      <c r="K68" s="47">
        <f t="shared" si="2"/>
        <v>1.9314179298E-2</v>
      </c>
      <c r="L68" s="47">
        <f>Lapses!B45</f>
        <v>0</v>
      </c>
      <c r="M68" s="47">
        <f t="shared" si="3"/>
        <v>0.98068582070199994</v>
      </c>
      <c r="N68" s="47">
        <f t="shared" si="17"/>
        <v>0.68044487757200889</v>
      </c>
      <c r="O68" s="47"/>
      <c r="P68" s="47">
        <v>44</v>
      </c>
      <c r="Q68" s="47">
        <v>0</v>
      </c>
      <c r="R68" s="47">
        <f t="shared" si="18"/>
        <v>300</v>
      </c>
      <c r="S68" s="47">
        <f>VLOOKUP(J68,Table1[#All],5,FALSE)</f>
        <v>698850.5747</v>
      </c>
      <c r="T68" s="47">
        <f t="shared" si="4"/>
        <v>157169.06795371423</v>
      </c>
      <c r="U68" s="47"/>
      <c r="V68" s="47">
        <v>44</v>
      </c>
      <c r="W68" s="47">
        <f t="shared" si="5"/>
        <v>157169.06795371423</v>
      </c>
      <c r="X68" s="47">
        <f t="shared" si="6"/>
        <v>6853.5284939773383</v>
      </c>
      <c r="Y68" s="47"/>
      <c r="Z68" s="47">
        <v>44</v>
      </c>
      <c r="AA68" s="47">
        <v>0</v>
      </c>
      <c r="AB68" s="47">
        <f t="shared" si="19"/>
        <v>-300</v>
      </c>
      <c r="AC68" s="47">
        <f t="shared" si="7"/>
        <v>-13497.725302266143</v>
      </c>
      <c r="AD68" s="47">
        <v>0</v>
      </c>
      <c r="AE68" s="47">
        <f t="shared" si="8"/>
        <v>-18.179099999999998</v>
      </c>
      <c r="AF68" s="47">
        <f t="shared" si="9"/>
        <v>-6853.5284939773383</v>
      </c>
      <c r="AG68" s="47">
        <f t="shared" si="10"/>
        <v>-20669.432896243481</v>
      </c>
      <c r="AH68" s="47">
        <f t="shared" si="11"/>
        <v>-154133.47639515664</v>
      </c>
      <c r="AI68" s="47">
        <f t="shared" si="12"/>
        <v>-174802.90929140011</v>
      </c>
      <c r="AJ68" s="47">
        <f t="shared" si="13"/>
        <v>7.5124682405043011E-2</v>
      </c>
      <c r="AK68" s="47">
        <f t="shared" si="14"/>
        <v>-8935.6110079945047</v>
      </c>
      <c r="AL68" s="47">
        <v>0</v>
      </c>
    </row>
    <row r="69" spans="1:38" x14ac:dyDescent="0.2">
      <c r="A69" s="47">
        <v>80</v>
      </c>
      <c r="B69" s="47">
        <f>VLOOKUP(A69,Table22[#All],2,FALSE)</f>
        <v>2.7991372220000001E-2</v>
      </c>
      <c r="C69" s="47">
        <f t="shared" si="15"/>
        <v>0.1</v>
      </c>
      <c r="D69" s="47">
        <f t="shared" si="16"/>
        <v>0.15</v>
      </c>
      <c r="E69" s="47">
        <f t="shared" si="0"/>
        <v>2.1413399748300001E-2</v>
      </c>
      <c r="F69" s="47">
        <f t="shared" si="1"/>
        <v>0.97858660025169997</v>
      </c>
      <c r="G69" s="47">
        <v>0.18406326000000001</v>
      </c>
      <c r="H69" s="47">
        <v>0.18406326000000001</v>
      </c>
      <c r="I69" s="47"/>
      <c r="J69" s="47">
        <v>80</v>
      </c>
      <c r="K69" s="47">
        <f t="shared" si="2"/>
        <v>2.1413399748300001E-2</v>
      </c>
      <c r="L69" s="47">
        <f>Lapses!B46</f>
        <v>0</v>
      </c>
      <c r="M69" s="47">
        <f t="shared" si="3"/>
        <v>0.97858660025169997</v>
      </c>
      <c r="N69" s="47">
        <f t="shared" si="17"/>
        <v>0.66730264320417743</v>
      </c>
      <c r="O69" s="47"/>
      <c r="P69" s="47">
        <v>45</v>
      </c>
      <c r="Q69" s="47">
        <v>0</v>
      </c>
      <c r="R69" s="47">
        <f t="shared" si="18"/>
        <v>300</v>
      </c>
      <c r="S69" s="47">
        <f>VLOOKUP(J69,Table1[#All],5,FALSE)</f>
        <v>698850.5747</v>
      </c>
      <c r="T69" s="47">
        <f t="shared" si="4"/>
        <v>147734.74113291979</v>
      </c>
      <c r="U69" s="47"/>
      <c r="V69" s="47">
        <v>45</v>
      </c>
      <c r="W69" s="47">
        <f t="shared" si="5"/>
        <v>147734.74113291979</v>
      </c>
      <c r="X69" s="47">
        <f t="shared" si="6"/>
        <v>6838.8580797961977</v>
      </c>
      <c r="Y69" s="47"/>
      <c r="Z69" s="47">
        <v>45</v>
      </c>
      <c r="AA69" s="47">
        <v>0</v>
      </c>
      <c r="AB69" s="47">
        <f t="shared" si="19"/>
        <v>-300</v>
      </c>
      <c r="AC69" s="47">
        <f t="shared" si="7"/>
        <v>-14964.766720380292</v>
      </c>
      <c r="AD69" s="47">
        <v>0</v>
      </c>
      <c r="AE69" s="47">
        <f t="shared" si="8"/>
        <v>-18.179099999999998</v>
      </c>
      <c r="AF69" s="47">
        <f t="shared" si="9"/>
        <v>-6838.8580797961977</v>
      </c>
      <c r="AG69" s="47">
        <f t="shared" si="10"/>
        <v>-22121.803900176488</v>
      </c>
      <c r="AH69" s="47">
        <f t="shared" si="11"/>
        <v>-144571.23806432897</v>
      </c>
      <c r="AI69" s="47">
        <f t="shared" si="12"/>
        <v>-166693.04196450545</v>
      </c>
      <c r="AJ69" s="47">
        <f t="shared" si="13"/>
        <v>7.0832448521957928E-2</v>
      </c>
      <c r="AK69" s="47">
        <f t="shared" si="14"/>
        <v>-7879.0266933204957</v>
      </c>
      <c r="AL69" s="47">
        <v>0</v>
      </c>
    </row>
    <row r="70" spans="1:38" x14ac:dyDescent="0.2">
      <c r="A70" s="47">
        <v>81</v>
      </c>
      <c r="B70" s="47">
        <f>VLOOKUP(A70,Table22[#All],2,FALSE)</f>
        <v>3.1345718240000001E-2</v>
      </c>
      <c r="C70" s="47">
        <f t="shared" si="15"/>
        <v>0.1</v>
      </c>
      <c r="D70" s="47">
        <f t="shared" si="16"/>
        <v>0.15</v>
      </c>
      <c r="E70" s="47">
        <f t="shared" si="0"/>
        <v>2.3979474453600002E-2</v>
      </c>
      <c r="F70" s="47">
        <f t="shared" si="1"/>
        <v>0.97602052554639995</v>
      </c>
      <c r="G70" s="47">
        <v>0.17627108</v>
      </c>
      <c r="H70" s="47">
        <v>0.17627108</v>
      </c>
      <c r="I70" s="47"/>
      <c r="J70" s="47">
        <v>81</v>
      </c>
      <c r="K70" s="47">
        <f t="shared" si="2"/>
        <v>2.3979474453600002E-2</v>
      </c>
      <c r="L70" s="47">
        <f>Lapses!B47</f>
        <v>0</v>
      </c>
      <c r="M70" s="47">
        <f t="shared" si="3"/>
        <v>0.97602052554639995</v>
      </c>
      <c r="N70" s="47">
        <f t="shared" si="17"/>
        <v>0.6530134249521492</v>
      </c>
      <c r="O70" s="47"/>
      <c r="P70" s="47">
        <v>46</v>
      </c>
      <c r="Q70" s="47">
        <v>0</v>
      </c>
      <c r="R70" s="47">
        <f t="shared" si="18"/>
        <v>300</v>
      </c>
      <c r="S70" s="47">
        <f>VLOOKUP(J70,Table1[#All],5,FALSE)</f>
        <v>698850.5747</v>
      </c>
      <c r="T70" s="47">
        <f t="shared" si="4"/>
        <v>136052.31253936904</v>
      </c>
      <c r="U70" s="47"/>
      <c r="V70" s="47">
        <v>46</v>
      </c>
      <c r="W70" s="47">
        <f t="shared" si="5"/>
        <v>136052.31253936904</v>
      </c>
      <c r="X70" s="47">
        <f t="shared" si="6"/>
        <v>6820.9250519709767</v>
      </c>
      <c r="Y70" s="47"/>
      <c r="Z70" s="47">
        <v>46</v>
      </c>
      <c r="AA70" s="47">
        <v>0</v>
      </c>
      <c r="AB70" s="47">
        <f t="shared" si="19"/>
        <v>-300</v>
      </c>
      <c r="AC70" s="47">
        <f t="shared" si="7"/>
        <v>-16758.06950290233</v>
      </c>
      <c r="AD70" s="47">
        <v>0</v>
      </c>
      <c r="AE70" s="47">
        <f t="shared" si="8"/>
        <v>-18.179099999999998</v>
      </c>
      <c r="AF70" s="47">
        <f t="shared" si="9"/>
        <v>-6820.9250519709767</v>
      </c>
      <c r="AG70" s="47">
        <f t="shared" si="10"/>
        <v>-23897.17365487331</v>
      </c>
      <c r="AH70" s="47">
        <f t="shared" si="11"/>
        <v>-132789.84958647803</v>
      </c>
      <c r="AI70" s="47">
        <f t="shared" si="12"/>
        <v>-156687.02324135133</v>
      </c>
      <c r="AJ70" s="47">
        <f t="shared" si="13"/>
        <v>6.6785450573552382E-2</v>
      </c>
      <c r="AK70" s="47">
        <f t="shared" si="14"/>
        <v>-6833.4024646199014</v>
      </c>
      <c r="AL70" s="47">
        <v>0</v>
      </c>
    </row>
    <row r="71" spans="1:38" x14ac:dyDescent="0.2">
      <c r="A71" s="47">
        <v>82</v>
      </c>
      <c r="B71" s="47">
        <f>VLOOKUP(A71,Table22[#All],2,FALSE)</f>
        <v>3.6074845539999997E-2</v>
      </c>
      <c r="C71" s="47">
        <f t="shared" si="15"/>
        <v>0.1</v>
      </c>
      <c r="D71" s="47">
        <f t="shared" si="16"/>
        <v>0.15</v>
      </c>
      <c r="E71" s="47">
        <f t="shared" si="0"/>
        <v>2.7597256838099996E-2</v>
      </c>
      <c r="F71" s="47">
        <f t="shared" si="1"/>
        <v>0.97240274316190001</v>
      </c>
      <c r="G71" s="47">
        <v>0.16545783</v>
      </c>
      <c r="H71" s="47">
        <v>0.16545783</v>
      </c>
      <c r="I71" s="47"/>
      <c r="J71" s="47">
        <v>82</v>
      </c>
      <c r="K71" s="47">
        <f t="shared" si="2"/>
        <v>2.7597256838099996E-2</v>
      </c>
      <c r="L71" s="47">
        <f>Lapses!B48</f>
        <v>0</v>
      </c>
      <c r="M71" s="47">
        <f t="shared" si="3"/>
        <v>0.97240274316190001</v>
      </c>
      <c r="N71" s="47">
        <f t="shared" si="17"/>
        <v>0.63735450621065126</v>
      </c>
      <c r="O71" s="47"/>
      <c r="P71" s="47">
        <v>47</v>
      </c>
      <c r="Q71" s="47">
        <v>0</v>
      </c>
      <c r="R71" s="47">
        <f t="shared" si="18"/>
        <v>300</v>
      </c>
      <c r="S71" s="47">
        <f>VLOOKUP(J71,Table1[#All],5,FALSE)</f>
        <v>698850.5747</v>
      </c>
      <c r="T71" s="47">
        <f t="shared" si="4"/>
        <v>121242.45359337992</v>
      </c>
      <c r="U71" s="47"/>
      <c r="V71" s="47">
        <v>47</v>
      </c>
      <c r="W71" s="47">
        <f t="shared" si="5"/>
        <v>121242.45359337992</v>
      </c>
      <c r="X71" s="47">
        <f t="shared" si="6"/>
        <v>6795.6421589855036</v>
      </c>
      <c r="Y71" s="47"/>
      <c r="Z71" s="47">
        <v>47</v>
      </c>
      <c r="AA71" s="47">
        <v>0</v>
      </c>
      <c r="AB71" s="47">
        <f t="shared" si="19"/>
        <v>-300</v>
      </c>
      <c r="AC71" s="47">
        <f t="shared" si="7"/>
        <v>-19286.358801449685</v>
      </c>
      <c r="AD71" s="47">
        <v>0</v>
      </c>
      <c r="AE71" s="47">
        <f t="shared" si="8"/>
        <v>-18.179099999999998</v>
      </c>
      <c r="AF71" s="47">
        <f t="shared" si="9"/>
        <v>-6795.6421589855036</v>
      </c>
      <c r="AG71" s="47">
        <f t="shared" si="10"/>
        <v>-26400.180060435188</v>
      </c>
      <c r="AH71" s="47">
        <f t="shared" si="11"/>
        <v>-117896.494461882</v>
      </c>
      <c r="AI71" s="47">
        <f t="shared" si="12"/>
        <v>-144296.67452231719</v>
      </c>
      <c r="AJ71" s="47">
        <f t="shared" si="13"/>
        <v>6.2969677053161921E-2</v>
      </c>
      <c r="AK71" s="47">
        <f t="shared" si="14"/>
        <v>-5791.2038066038831</v>
      </c>
      <c r="AL71" s="47">
        <v>0</v>
      </c>
    </row>
    <row r="72" spans="1:38" x14ac:dyDescent="0.2">
      <c r="A72" s="47">
        <v>83</v>
      </c>
      <c r="B72" s="47">
        <f>VLOOKUP(A72,Table22[#All],2,FALSE)</f>
        <v>4.2518036500000002E-2</v>
      </c>
      <c r="C72" s="47">
        <f t="shared" si="15"/>
        <v>0.1</v>
      </c>
      <c r="D72" s="47">
        <f t="shared" si="16"/>
        <v>0.15</v>
      </c>
      <c r="E72" s="47">
        <f t="shared" si="0"/>
        <v>3.2526297922500003E-2</v>
      </c>
      <c r="F72" s="47">
        <f t="shared" si="1"/>
        <v>0.96747370207749994</v>
      </c>
      <c r="G72" s="47">
        <v>0.15029701000000001</v>
      </c>
      <c r="H72" s="47">
        <v>0.15029701000000001</v>
      </c>
      <c r="I72" s="47"/>
      <c r="J72" s="47">
        <v>83</v>
      </c>
      <c r="K72" s="47">
        <f t="shared" si="2"/>
        <v>3.2526297922500003E-2</v>
      </c>
      <c r="L72" s="47">
        <f>Lapses!B49</f>
        <v>0</v>
      </c>
      <c r="M72" s="47">
        <f t="shared" si="3"/>
        <v>0.96747370207749994</v>
      </c>
      <c r="N72" s="47">
        <f t="shared" si="17"/>
        <v>0.61976527020583549</v>
      </c>
      <c r="O72" s="47"/>
      <c r="P72" s="47">
        <v>48</v>
      </c>
      <c r="Q72" s="47">
        <v>0</v>
      </c>
      <c r="R72" s="47">
        <f t="shared" si="18"/>
        <v>300</v>
      </c>
      <c r="S72" s="47">
        <f>VLOOKUP(J72,Table1[#All],5,FALSE)</f>
        <v>698850.5747</v>
      </c>
      <c r="T72" s="47">
        <f t="shared" si="4"/>
        <v>102099.91829092913</v>
      </c>
      <c r="U72" s="47"/>
      <c r="V72" s="47">
        <v>48</v>
      </c>
      <c r="W72" s="47">
        <f t="shared" si="5"/>
        <v>102099.91829092913</v>
      </c>
      <c r="X72" s="47">
        <f t="shared" si="6"/>
        <v>6761.1955270399749</v>
      </c>
      <c r="Y72" s="47"/>
      <c r="Z72" s="47">
        <v>48</v>
      </c>
      <c r="AA72" s="47">
        <v>0</v>
      </c>
      <c r="AB72" s="47">
        <f t="shared" si="19"/>
        <v>-300</v>
      </c>
      <c r="AC72" s="47">
        <f t="shared" si="7"/>
        <v>-22731.021996002542</v>
      </c>
      <c r="AD72" s="47">
        <v>0</v>
      </c>
      <c r="AE72" s="47">
        <f t="shared" si="8"/>
        <v>-18.179099999999998</v>
      </c>
      <c r="AF72" s="47">
        <f t="shared" si="9"/>
        <v>-6761.1955270399749</v>
      </c>
      <c r="AG72" s="47">
        <f t="shared" si="10"/>
        <v>-29810.396623042518</v>
      </c>
      <c r="AH72" s="47">
        <f t="shared" si="11"/>
        <v>-98778.985930735449</v>
      </c>
      <c r="AI72" s="47">
        <f t="shared" si="12"/>
        <v>-128589.38255377796</v>
      </c>
      <c r="AJ72" s="47">
        <f t="shared" si="13"/>
        <v>5.9371916998786467E-2</v>
      </c>
      <c r="AK72" s="47">
        <f t="shared" si="14"/>
        <v>-4731.6587840512384</v>
      </c>
      <c r="AL72" s="47">
        <v>0</v>
      </c>
    </row>
    <row r="73" spans="1:38" x14ac:dyDescent="0.2">
      <c r="A73" s="47">
        <v>84</v>
      </c>
      <c r="B73" s="47">
        <f>VLOOKUP(A73,Table22[#All],2,FALSE)</f>
        <v>5.1015379469999997E-2</v>
      </c>
      <c r="C73" s="47">
        <f t="shared" si="15"/>
        <v>0.1</v>
      </c>
      <c r="D73" s="47">
        <f t="shared" si="16"/>
        <v>0.15</v>
      </c>
      <c r="E73" s="47">
        <f t="shared" si="0"/>
        <v>3.902676529455E-2</v>
      </c>
      <c r="F73" s="47">
        <f t="shared" si="1"/>
        <v>0.96097323470545004</v>
      </c>
      <c r="G73" s="47">
        <v>0.12897397999999999</v>
      </c>
      <c r="H73" s="47">
        <v>0.12897397999999999</v>
      </c>
      <c r="I73" s="47"/>
      <c r="J73" s="47">
        <v>84</v>
      </c>
      <c r="K73" s="47">
        <f t="shared" si="2"/>
        <v>3.902676529455E-2</v>
      </c>
      <c r="L73" s="47">
        <f>Lapses!B50</f>
        <v>0</v>
      </c>
      <c r="M73" s="47">
        <f t="shared" si="3"/>
        <v>0.96097323470545004</v>
      </c>
      <c r="N73" s="47">
        <f t="shared" si="17"/>
        <v>0.59960660038510172</v>
      </c>
      <c r="O73" s="47"/>
      <c r="P73" s="47">
        <v>49</v>
      </c>
      <c r="Q73" s="47">
        <v>0</v>
      </c>
      <c r="R73" s="47">
        <f t="shared" si="18"/>
        <v>300</v>
      </c>
      <c r="S73" s="47">
        <f>VLOOKUP(J73,Table1[#All],5,FALSE)</f>
        <v>698850.5747</v>
      </c>
      <c r="T73" s="47">
        <f t="shared" si="4"/>
        <v>76983.458997221227</v>
      </c>
      <c r="U73" s="47"/>
      <c r="V73" s="47">
        <v>49</v>
      </c>
      <c r="W73" s="47">
        <f t="shared" si="5"/>
        <v>76983.458997221227</v>
      </c>
      <c r="X73" s="47">
        <f t="shared" si="6"/>
        <v>6715.7669734522178</v>
      </c>
      <c r="Y73" s="47"/>
      <c r="Z73" s="47">
        <v>49</v>
      </c>
      <c r="AA73" s="47">
        <v>0</v>
      </c>
      <c r="AB73" s="47">
        <f t="shared" si="19"/>
        <v>-300</v>
      </c>
      <c r="AC73" s="47">
        <f t="shared" si="7"/>
        <v>-27273.877354778284</v>
      </c>
      <c r="AD73" s="47">
        <v>0</v>
      </c>
      <c r="AE73" s="47">
        <f t="shared" si="8"/>
        <v>-18.179099999999998</v>
      </c>
      <c r="AF73" s="47">
        <f t="shared" si="9"/>
        <v>-6715.7669734522178</v>
      </c>
      <c r="AG73" s="47">
        <f t="shared" si="10"/>
        <v>-34307.823428230506</v>
      </c>
      <c r="AH73" s="47">
        <f t="shared" si="11"/>
        <v>-73979.043611374058</v>
      </c>
      <c r="AI73" s="47">
        <f t="shared" si="12"/>
        <v>-108286.86703960456</v>
      </c>
      <c r="AJ73" s="47">
        <f t="shared" si="13"/>
        <v>5.5979714254129009E-2</v>
      </c>
      <c r="AK73" s="47">
        <f t="shared" si="14"/>
        <v>-3634.7359881238199</v>
      </c>
      <c r="AL73" s="47">
        <v>0</v>
      </c>
    </row>
    <row r="74" spans="1:38" x14ac:dyDescent="0.2">
      <c r="A74" s="47">
        <v>85</v>
      </c>
      <c r="B74" s="47">
        <f>VLOOKUP(A74,Table22[#All],2,FALSE)</f>
        <v>6.1565624530000002E-2</v>
      </c>
      <c r="C74" s="47">
        <f t="shared" si="15"/>
        <v>0.1</v>
      </c>
      <c r="D74" s="47">
        <f t="shared" si="16"/>
        <v>0.15</v>
      </c>
      <c r="E74" s="47">
        <f t="shared" si="0"/>
        <v>4.709770276545E-2</v>
      </c>
      <c r="F74" s="47">
        <f t="shared" si="1"/>
        <v>0.95290229723455</v>
      </c>
      <c r="G74" s="47">
        <v>9.9021650000000003E-2</v>
      </c>
      <c r="H74" s="47">
        <v>9.9021650000000003E-2</v>
      </c>
      <c r="I74" s="47"/>
      <c r="J74" s="47">
        <v>85</v>
      </c>
      <c r="K74" s="47">
        <f t="shared" si="2"/>
        <v>4.709770276545E-2</v>
      </c>
      <c r="L74" s="47">
        <f>Lapses!B51</f>
        <v>0</v>
      </c>
      <c r="M74" s="47">
        <f t="shared" si="3"/>
        <v>0.95290229723455</v>
      </c>
      <c r="N74" s="47">
        <f t="shared" si="17"/>
        <v>0.57620589432280933</v>
      </c>
      <c r="O74" s="47"/>
      <c r="P74" s="47">
        <v>50</v>
      </c>
      <c r="Q74" s="47">
        <v>0</v>
      </c>
      <c r="R74" s="47">
        <f t="shared" si="18"/>
        <v>300</v>
      </c>
      <c r="S74" s="47">
        <f>VLOOKUP(J74,Table1[#All],5,FALSE)</f>
        <v>698850.5747</v>
      </c>
      <c r="T74" s="47">
        <f t="shared" si="4"/>
        <v>43820.47021821807</v>
      </c>
      <c r="U74" s="47"/>
      <c r="V74" s="47">
        <v>50</v>
      </c>
      <c r="W74" s="47">
        <f t="shared" si="5"/>
        <v>43820.47021821807</v>
      </c>
      <c r="X74" s="47">
        <f t="shared" si="6"/>
        <v>6659.363180553155</v>
      </c>
      <c r="Y74" s="47"/>
      <c r="Z74" s="47">
        <v>50</v>
      </c>
      <c r="AA74" s="47">
        <v>0</v>
      </c>
      <c r="AB74" s="47">
        <f t="shared" si="19"/>
        <v>-300</v>
      </c>
      <c r="AC74" s="47">
        <f t="shared" si="7"/>
        <v>-32914.256644684509</v>
      </c>
      <c r="AD74" s="47">
        <v>0</v>
      </c>
      <c r="AE74" s="47">
        <f t="shared" si="8"/>
        <v>-18.179099999999998</v>
      </c>
      <c r="AF74" s="47">
        <f t="shared" si="9"/>
        <v>-6659.363180553155</v>
      </c>
      <c r="AG74" s="47">
        <f t="shared" si="10"/>
        <v>-39891.798925237665</v>
      </c>
      <c r="AH74" s="47">
        <f t="shared" si="11"/>
        <v>-41756.626736838181</v>
      </c>
      <c r="AI74" s="47">
        <f t="shared" si="12"/>
        <v>-81648.425662075839</v>
      </c>
      <c r="AJ74" s="47">
        <f t="shared" si="13"/>
        <v>5.2781324342921029E-2</v>
      </c>
      <c r="AK74" s="47">
        <f t="shared" si="14"/>
        <v>-2483.1662373508157</v>
      </c>
      <c r="AL74" s="47">
        <v>0</v>
      </c>
    </row>
    <row r="75" spans="1:38" x14ac:dyDescent="0.2">
      <c r="A75" s="47">
        <v>86</v>
      </c>
      <c r="B75" s="47">
        <f>VLOOKUP(A75,Table22[#All],2,FALSE)</f>
        <v>7.4005408689999996E-2</v>
      </c>
      <c r="C75" s="47">
        <f t="shared" si="15"/>
        <v>0.1</v>
      </c>
      <c r="D75" s="47">
        <f t="shared" si="16"/>
        <v>0.15</v>
      </c>
      <c r="E75" s="47">
        <f t="shared" si="0"/>
        <v>5.6614137647849998E-2</v>
      </c>
      <c r="F75" s="47">
        <f t="shared" si="1"/>
        <v>0.94338586235215005</v>
      </c>
      <c r="G75" s="47">
        <v>5.7334889999999999E-2</v>
      </c>
      <c r="H75" s="47">
        <v>5.7334889999999999E-2</v>
      </c>
      <c r="I75" s="47"/>
      <c r="J75" s="47">
        <v>86</v>
      </c>
      <c r="K75" s="47">
        <f t="shared" si="2"/>
        <v>5.6614137647849998E-2</v>
      </c>
      <c r="L75" s="47">
        <f>Lapses!B52</f>
        <v>0</v>
      </c>
      <c r="M75" s="47">
        <f t="shared" si="3"/>
        <v>0.94338586235215005</v>
      </c>
      <c r="N75" s="47">
        <f t="shared" si="17"/>
        <v>0.54906792038029339</v>
      </c>
      <c r="O75" s="47"/>
      <c r="P75" s="47">
        <v>51</v>
      </c>
      <c r="Q75" s="47">
        <v>0</v>
      </c>
      <c r="R75" s="47">
        <f t="shared" si="18"/>
        <v>300</v>
      </c>
      <c r="S75" s="47">
        <f>VLOOKUP(J75,Table1[#All],5,FALSE)</f>
        <v>698850.5747</v>
      </c>
      <c r="T75" s="47">
        <f t="shared" si="4"/>
        <v>0</v>
      </c>
      <c r="U75" s="47"/>
      <c r="V75" s="47">
        <v>51</v>
      </c>
      <c r="W75" s="47">
        <f t="shared" si="5"/>
        <v>0</v>
      </c>
      <c r="X75" s="47">
        <f t="shared" si="6"/>
        <v>6592.8575206865507</v>
      </c>
      <c r="Y75" s="47"/>
      <c r="Z75" s="47">
        <v>51</v>
      </c>
      <c r="AA75" s="47">
        <v>0</v>
      </c>
      <c r="AB75" s="47">
        <f t="shared" si="19"/>
        <v>-300</v>
      </c>
      <c r="AC75" s="47">
        <f t="shared" si="7"/>
        <v>-39564.822631344876</v>
      </c>
      <c r="AD75" s="47">
        <v>0</v>
      </c>
      <c r="AE75" s="47">
        <f t="shared" si="8"/>
        <v>-18.179099999999998</v>
      </c>
      <c r="AF75" s="47">
        <f t="shared" si="9"/>
        <v>-6592.8575206865507</v>
      </c>
      <c r="AG75" s="47">
        <f t="shared" si="10"/>
        <v>-46475.859252031427</v>
      </c>
      <c r="AH75" s="47">
        <f t="shared" si="11"/>
        <v>0</v>
      </c>
      <c r="AI75" s="47">
        <f t="shared" si="12"/>
        <v>-46475.859252031427</v>
      </c>
      <c r="AJ75" s="47">
        <f t="shared" si="13"/>
        <v>4.9765673807224638E-2</v>
      </c>
      <c r="AK75" s="47">
        <f t="shared" si="14"/>
        <v>-1269.9405390585305</v>
      </c>
      <c r="AL75" s="47">
        <v>0</v>
      </c>
    </row>
    <row r="77" spans="1:38" ht="19" x14ac:dyDescent="0.25">
      <c r="A77" s="64" t="s">
        <v>134</v>
      </c>
      <c r="B77" s="64"/>
      <c r="C77" s="64"/>
    </row>
    <row r="78" spans="1:38" x14ac:dyDescent="0.2">
      <c r="A78">
        <f>E21</f>
        <v>0.96215587227641131</v>
      </c>
      <c r="B78">
        <v>0.01</v>
      </c>
      <c r="C78" s="47">
        <v>0.02</v>
      </c>
      <c r="D78">
        <v>0.03</v>
      </c>
      <c r="E78" s="47">
        <v>0.04</v>
      </c>
      <c r="F78">
        <v>0.05</v>
      </c>
      <c r="G78" s="47">
        <v>0.06</v>
      </c>
      <c r="H78">
        <v>7.0000000000000007E-2</v>
      </c>
      <c r="I78" s="47">
        <v>0.08</v>
      </c>
      <c r="J78">
        <v>0.09</v>
      </c>
      <c r="K78" s="47">
        <v>0.1</v>
      </c>
      <c r="L78">
        <v>0.11</v>
      </c>
      <c r="M78" s="47">
        <v>0.12</v>
      </c>
      <c r="N78">
        <v>0.13</v>
      </c>
      <c r="O78" s="47">
        <v>0.14000000000000001</v>
      </c>
      <c r="P78">
        <v>0.15</v>
      </c>
    </row>
    <row r="79" spans="1:38" x14ac:dyDescent="0.2">
      <c r="A79">
        <v>100</v>
      </c>
      <c r="B79">
        <f t="dataTable" ref="B79:P88" dt2D="1" dtr="1" r1="E4" r2="E11" ca="1"/>
        <v>0.8161697610677473</v>
      </c>
      <c r="C79">
        <v>0.87123232286522789</v>
      </c>
      <c r="D79">
        <v>0.90804942532644495</v>
      </c>
      <c r="E79">
        <v>0.9330191314944547</v>
      </c>
      <c r="F79">
        <v>0.95020741405693021</v>
      </c>
      <c r="G79">
        <v>0.9622235844000695</v>
      </c>
      <c r="H79">
        <v>0.97075913639808931</v>
      </c>
      <c r="I79">
        <v>0.97692208102485811</v>
      </c>
      <c r="J79">
        <v>0.98144608400489497</v>
      </c>
      <c r="K79">
        <v>0.98482237626703784</v>
      </c>
      <c r="L79">
        <v>0.98738366000506084</v>
      </c>
      <c r="M79">
        <v>0.9893579421354215</v>
      </c>
      <c r="N79">
        <v>0.99090337921200011</v>
      </c>
      <c r="O79">
        <v>0.99213103586032825</v>
      </c>
      <c r="P79">
        <v>0.99311988685477681</v>
      </c>
    </row>
    <row r="80" spans="1:38" x14ac:dyDescent="0.2">
      <c r="A80">
        <v>200</v>
      </c>
      <c r="B80">
        <v>0.81497062760100913</v>
      </c>
      <c r="C80">
        <v>0.87033624012671207</v>
      </c>
      <c r="D80">
        <v>0.90736728568802727</v>
      </c>
      <c r="E80">
        <v>0.93249028139380441</v>
      </c>
      <c r="F80">
        <v>0.94979005390606264</v>
      </c>
      <c r="G80">
        <v>0.96188854247750766</v>
      </c>
      <c r="H80">
        <v>0.97048579186300254</v>
      </c>
      <c r="I80">
        <v>0.97669566799318164</v>
      </c>
      <c r="J80">
        <v>0.98125589108267752</v>
      </c>
      <c r="K80">
        <v>0.98466053195583159</v>
      </c>
      <c r="L80">
        <v>0.98724430494922732</v>
      </c>
      <c r="M80">
        <v>0.98923665916902104</v>
      </c>
      <c r="N80">
        <v>0.99079679682240351</v>
      </c>
      <c r="O80">
        <v>0.99203654941171382</v>
      </c>
      <c r="P80">
        <v>0.9930354605412377</v>
      </c>
    </row>
    <row r="81" spans="1:16" x14ac:dyDescent="0.2">
      <c r="A81">
        <v>300</v>
      </c>
      <c r="B81">
        <v>0.81377149413427086</v>
      </c>
      <c r="C81">
        <v>0.86944015738819647</v>
      </c>
      <c r="D81">
        <v>0.90668514604960959</v>
      </c>
      <c r="E81">
        <v>0.93196143129315412</v>
      </c>
      <c r="F81">
        <v>0.94937269375519506</v>
      </c>
      <c r="G81">
        <v>0.96155350055494582</v>
      </c>
      <c r="H81">
        <v>0.97021244732791567</v>
      </c>
      <c r="I81">
        <v>0.97646925496150494</v>
      </c>
      <c r="J81">
        <v>0.98106569816046019</v>
      </c>
      <c r="K81">
        <v>0.98449868764462545</v>
      </c>
      <c r="L81">
        <v>0.9871049498933937</v>
      </c>
      <c r="M81">
        <v>0.98911537620262069</v>
      </c>
      <c r="N81">
        <v>0.99069021443280714</v>
      </c>
      <c r="O81">
        <v>0.99194206296309961</v>
      </c>
      <c r="P81">
        <v>0.9929510342276987</v>
      </c>
    </row>
    <row r="82" spans="1:16" x14ac:dyDescent="0.2">
      <c r="A82">
        <v>400</v>
      </c>
      <c r="B82">
        <v>0.81257236066753269</v>
      </c>
      <c r="C82">
        <v>0.86854407464968075</v>
      </c>
      <c r="D82">
        <v>0.90600300641119191</v>
      </c>
      <c r="E82">
        <v>0.93143258119250394</v>
      </c>
      <c r="F82">
        <v>0.94895533360432738</v>
      </c>
      <c r="G82">
        <v>0.96121845863238398</v>
      </c>
      <c r="H82">
        <v>0.96993910279282902</v>
      </c>
      <c r="I82">
        <v>0.97624284192982846</v>
      </c>
      <c r="J82">
        <v>0.98087550523824274</v>
      </c>
      <c r="K82">
        <v>0.98433684333341942</v>
      </c>
      <c r="L82">
        <v>0.98696559483755997</v>
      </c>
      <c r="M82">
        <v>0.98899409323622034</v>
      </c>
      <c r="N82">
        <v>0.99058363204321065</v>
      </c>
      <c r="O82">
        <v>0.99184757651448519</v>
      </c>
      <c r="P82">
        <v>0.99286660791415959</v>
      </c>
    </row>
    <row r="83" spans="1:16" x14ac:dyDescent="0.2">
      <c r="A83">
        <v>500</v>
      </c>
      <c r="B83">
        <v>0.81137322720079452</v>
      </c>
      <c r="C83">
        <v>0.86764799191116504</v>
      </c>
      <c r="D83">
        <v>0.90532086677277412</v>
      </c>
      <c r="E83">
        <v>0.93090373109185376</v>
      </c>
      <c r="F83">
        <v>0.9485379734534598</v>
      </c>
      <c r="G83">
        <v>0.96088341670982214</v>
      </c>
      <c r="H83">
        <v>0.96966575825774226</v>
      </c>
      <c r="I83">
        <v>0.97601642889815188</v>
      </c>
      <c r="J83">
        <v>0.9806853123160254</v>
      </c>
      <c r="K83">
        <v>0.98417499902221317</v>
      </c>
      <c r="L83">
        <v>0.98682623978172646</v>
      </c>
      <c r="M83">
        <v>0.98887281026981999</v>
      </c>
      <c r="N83">
        <v>0.99047704965361427</v>
      </c>
      <c r="O83">
        <v>0.99175309006587087</v>
      </c>
      <c r="P83">
        <v>0.99278218160062059</v>
      </c>
    </row>
    <row r="84" spans="1:16" x14ac:dyDescent="0.2">
      <c r="A84">
        <v>600</v>
      </c>
      <c r="B84">
        <v>0.81017409373405636</v>
      </c>
      <c r="C84">
        <v>0.86675190917264933</v>
      </c>
      <c r="D84">
        <v>0.90463872713435656</v>
      </c>
      <c r="E84">
        <v>0.93037488099120358</v>
      </c>
      <c r="F84">
        <v>0.94812061330259212</v>
      </c>
      <c r="G84">
        <v>0.9605483747872603</v>
      </c>
      <c r="H84">
        <v>0.96939241372265539</v>
      </c>
      <c r="I84">
        <v>0.9757900158664754</v>
      </c>
      <c r="J84">
        <v>0.98049511939380807</v>
      </c>
      <c r="K84">
        <v>0.98401315471100703</v>
      </c>
      <c r="L84">
        <v>0.98668688472589283</v>
      </c>
      <c r="M84">
        <v>0.98875152730341953</v>
      </c>
      <c r="N84">
        <v>0.99037046726401778</v>
      </c>
      <c r="O84">
        <v>0.99165860361725644</v>
      </c>
      <c r="P84">
        <v>0.9926977552870816</v>
      </c>
    </row>
    <row r="85" spans="1:16" x14ac:dyDescent="0.2">
      <c r="A85">
        <v>700</v>
      </c>
      <c r="B85">
        <v>0.80897496026731808</v>
      </c>
      <c r="C85">
        <v>0.86585582643413361</v>
      </c>
      <c r="D85">
        <v>0.90395658749593888</v>
      </c>
      <c r="E85">
        <v>0.9298460308905534</v>
      </c>
      <c r="F85">
        <v>0.94770325315172455</v>
      </c>
      <c r="G85">
        <v>0.96021333286469845</v>
      </c>
      <c r="H85">
        <v>0.96911906918756874</v>
      </c>
      <c r="I85">
        <v>0.97556360283479882</v>
      </c>
      <c r="J85">
        <v>0.98030492647159062</v>
      </c>
      <c r="K85">
        <v>0.98385131039980089</v>
      </c>
      <c r="L85">
        <v>0.9865475296700591</v>
      </c>
      <c r="M85">
        <v>0.98863024433701918</v>
      </c>
      <c r="N85">
        <v>0.9902638848744213</v>
      </c>
      <c r="O85">
        <v>0.99156411716864201</v>
      </c>
      <c r="P85">
        <v>0.99261332897354249</v>
      </c>
    </row>
    <row r="86" spans="1:16" x14ac:dyDescent="0.2">
      <c r="A86">
        <v>800</v>
      </c>
      <c r="B86">
        <v>0.80777582680057991</v>
      </c>
      <c r="C86">
        <v>0.8649597436956179</v>
      </c>
      <c r="D86">
        <v>0.9032744478575212</v>
      </c>
      <c r="E86">
        <v>0.92931718078990311</v>
      </c>
      <c r="F86">
        <v>0.94728589300085675</v>
      </c>
      <c r="G86">
        <v>0.95987829094213661</v>
      </c>
      <c r="H86">
        <v>0.96884572465248198</v>
      </c>
      <c r="I86">
        <v>0.97533718980312223</v>
      </c>
      <c r="J86">
        <v>0.98011473354937328</v>
      </c>
      <c r="K86">
        <v>0.98368946608859475</v>
      </c>
      <c r="L86">
        <v>0.98640817461422559</v>
      </c>
      <c r="M86">
        <v>0.98850896137061883</v>
      </c>
      <c r="N86">
        <v>0.99015730248482492</v>
      </c>
      <c r="O86">
        <v>0.99146963072002769</v>
      </c>
      <c r="P86">
        <v>0.99252890266000349</v>
      </c>
    </row>
    <row r="87" spans="1:16" x14ac:dyDescent="0.2">
      <c r="A87">
        <v>900</v>
      </c>
      <c r="B87">
        <v>0.80657669333384174</v>
      </c>
      <c r="C87">
        <v>0.8640636609571023</v>
      </c>
      <c r="D87">
        <v>0.90259230821910352</v>
      </c>
      <c r="E87">
        <v>0.92878833068925293</v>
      </c>
      <c r="F87">
        <v>0.94686853284998918</v>
      </c>
      <c r="G87">
        <v>0.95954324901957466</v>
      </c>
      <c r="H87">
        <v>0.96857238011739533</v>
      </c>
      <c r="I87">
        <v>0.97511077677144575</v>
      </c>
      <c r="J87">
        <v>0.97992454062715584</v>
      </c>
      <c r="K87">
        <v>0.98352762177738862</v>
      </c>
      <c r="L87">
        <v>0.98626881955839196</v>
      </c>
      <c r="M87">
        <v>0.98838767840421848</v>
      </c>
      <c r="N87">
        <v>0.99005072009522843</v>
      </c>
      <c r="O87">
        <v>0.99137514427141327</v>
      </c>
      <c r="P87">
        <v>0.99244447634646438</v>
      </c>
    </row>
    <row r="88" spans="1:16" x14ac:dyDescent="0.2">
      <c r="A88">
        <v>1000</v>
      </c>
      <c r="B88">
        <v>0.80537755986710347</v>
      </c>
      <c r="C88">
        <v>0.86316757821858658</v>
      </c>
      <c r="D88">
        <v>0.90191016858068596</v>
      </c>
      <c r="E88">
        <v>0.92825948058860264</v>
      </c>
      <c r="F88">
        <v>0.94645117269912149</v>
      </c>
      <c r="G88">
        <v>0.95920820709701304</v>
      </c>
      <c r="H88">
        <v>0.96829903558230845</v>
      </c>
      <c r="I88">
        <v>0.97488436373976917</v>
      </c>
      <c r="J88">
        <v>0.9797343477049385</v>
      </c>
      <c r="K88">
        <v>0.98336577746618248</v>
      </c>
      <c r="L88">
        <v>0.98612946450255823</v>
      </c>
      <c r="M88">
        <v>0.98826639543781813</v>
      </c>
      <c r="N88">
        <v>0.98994413770563205</v>
      </c>
      <c r="O88">
        <v>0.99128065782279895</v>
      </c>
      <c r="P88">
        <v>0.99236005003292538</v>
      </c>
    </row>
    <row r="90" spans="1:16" ht="19" x14ac:dyDescent="0.25">
      <c r="A90" s="64" t="s">
        <v>135</v>
      </c>
      <c r="B90" s="64"/>
      <c r="C90" s="64"/>
    </row>
    <row r="91" spans="1:16" x14ac:dyDescent="0.2">
      <c r="A91">
        <f>E21</f>
        <v>0.96215587227641131</v>
      </c>
      <c r="B91">
        <v>0.05</v>
      </c>
      <c r="C91">
        <v>7.0000000000000007E-2</v>
      </c>
      <c r="D91">
        <v>0.09</v>
      </c>
      <c r="E91">
        <v>0.11</v>
      </c>
      <c r="F91">
        <v>0.13</v>
      </c>
      <c r="G91">
        <v>0.15</v>
      </c>
      <c r="H91">
        <v>0.17</v>
      </c>
      <c r="I91">
        <v>0.19</v>
      </c>
      <c r="J91">
        <v>0.21</v>
      </c>
      <c r="K91">
        <v>0.23</v>
      </c>
      <c r="L91">
        <v>0.25</v>
      </c>
      <c r="M91">
        <v>0.27</v>
      </c>
      <c r="N91">
        <v>0.28999999999999998</v>
      </c>
    </row>
    <row r="92" spans="1:16" x14ac:dyDescent="0.2">
      <c r="A92">
        <v>0.05</v>
      </c>
      <c r="B92">
        <f t="dataTable" ref="B92:N104" dt2D="1" dtr="1" r1="C25" r2="D25"/>
        <v>0.96043972125231558</v>
      </c>
      <c r="C92">
        <v>0.9606699652809495</v>
      </c>
      <c r="D92">
        <v>0.96090238311040554</v>
      </c>
      <c r="E92">
        <v>0.96113699619940862</v>
      </c>
      <c r="F92">
        <v>0.96137382621391909</v>
      </c>
      <c r="G92">
        <v>0.96161289502904523</v>
      </c>
      <c r="H92">
        <v>0.96185422473097193</v>
      </c>
      <c r="I92">
        <v>0.96209783761890666</v>
      </c>
      <c r="J92">
        <v>0.96234375620704293</v>
      </c>
      <c r="K92">
        <v>0.96259200322654015</v>
      </c>
      <c r="L92">
        <v>0.96284260162752155</v>
      </c>
      <c r="M92">
        <v>0.9630955745810883</v>
      </c>
      <c r="N92">
        <v>0.96335094548135269</v>
      </c>
    </row>
    <row r="93" spans="1:16" x14ac:dyDescent="0.2">
      <c r="A93">
        <v>7.0000000000000007E-2</v>
      </c>
      <c r="B93">
        <v>0.9606699652809495</v>
      </c>
      <c r="C93">
        <v>0.9608974675575771</v>
      </c>
      <c r="D93">
        <v>0.96112707319906832</v>
      </c>
      <c r="E93">
        <v>0.96135880252543648</v>
      </c>
      <c r="F93">
        <v>0.96159267604870458</v>
      </c>
      <c r="G93">
        <v>0.96182871447463791</v>
      </c>
      <c r="H93">
        <v>0.962066938704494</v>
      </c>
      <c r="I93">
        <v>0.96230736983678411</v>
      </c>
      <c r="J93">
        <v>0.96255002916905397</v>
      </c>
      <c r="K93">
        <v>0.96279493819967576</v>
      </c>
      <c r="L93">
        <v>0.96304211862965827</v>
      </c>
      <c r="M93">
        <v>0.96329159236447104</v>
      </c>
      <c r="N93">
        <v>0.96354338151588426</v>
      </c>
    </row>
    <row r="94" spans="1:16" x14ac:dyDescent="0.2">
      <c r="A94">
        <v>0.09</v>
      </c>
      <c r="B94">
        <v>0.96090238311040554</v>
      </c>
      <c r="C94">
        <v>0.96112707319906832</v>
      </c>
      <c r="D94">
        <v>0.9613537966128356</v>
      </c>
      <c r="E94">
        <v>0.96158257256667767</v>
      </c>
      <c r="F94">
        <v>0.961813420453137</v>
      </c>
      <c r="G94">
        <v>0.96204635984389664</v>
      </c>
      <c r="H94">
        <v>0.96228141049136062</v>
      </c>
      <c r="I94">
        <v>0.96251859233024939</v>
      </c>
      <c r="J94">
        <v>0.96275792547920613</v>
      </c>
      <c r="K94">
        <v>0.9629994302424193</v>
      </c>
      <c r="L94">
        <v>0.96324312711125604</v>
      </c>
      <c r="M94">
        <v>0.96348903676591147</v>
      </c>
      <c r="N94">
        <v>0.96373718007706999</v>
      </c>
    </row>
    <row r="95" spans="1:16" x14ac:dyDescent="0.2">
      <c r="A95">
        <v>0.11</v>
      </c>
      <c r="B95">
        <v>0.96113699619940862</v>
      </c>
      <c r="C95">
        <v>0.96135880252543648</v>
      </c>
      <c r="D95">
        <v>0.96158257256667767</v>
      </c>
      <c r="E95">
        <v>0.96180832446676701</v>
      </c>
      <c r="F95">
        <v>0.96203607653324241</v>
      </c>
      <c r="G95">
        <v>0.96226584723896025</v>
      </c>
      <c r="H95">
        <v>0.96249765522352093</v>
      </c>
      <c r="I95">
        <v>0.96273151929470679</v>
      </c>
      <c r="J95">
        <v>0.96296745842993225</v>
      </c>
      <c r="K95">
        <v>0.96320549177770531</v>
      </c>
      <c r="L95">
        <v>0.96344563865910082</v>
      </c>
      <c r="M95">
        <v>0.96368791856924596</v>
      </c>
      <c r="N95">
        <v>0.96393235117881837</v>
      </c>
    </row>
    <row r="96" spans="1:16" x14ac:dyDescent="0.2">
      <c r="A96">
        <v>0.13</v>
      </c>
      <c r="B96">
        <v>0.96137382621391909</v>
      </c>
      <c r="C96">
        <v>0.96159267604870458</v>
      </c>
      <c r="D96">
        <v>0.961813420453137</v>
      </c>
      <c r="E96">
        <v>0.96203607653324241</v>
      </c>
      <c r="F96">
        <v>0.96226066154602707</v>
      </c>
      <c r="G96">
        <v>0.96248719290075058</v>
      </c>
      <c r="H96">
        <v>0.96271568816021014</v>
      </c>
      <c r="I96">
        <v>0.9629461650420329</v>
      </c>
      <c r="J96">
        <v>0.963178641419981</v>
      </c>
      <c r="K96">
        <v>0.96341313532526518</v>
      </c>
      <c r="L96">
        <v>0.96364966494787019</v>
      </c>
      <c r="M96">
        <v>0.96388824863789024</v>
      </c>
      <c r="N96">
        <v>0.96412890490687431</v>
      </c>
    </row>
    <row r="97" spans="1:14" x14ac:dyDescent="0.2">
      <c r="A97">
        <v>0.15</v>
      </c>
      <c r="B97">
        <v>0.96161289502904523</v>
      </c>
      <c r="C97">
        <v>0.96182871447463791</v>
      </c>
      <c r="D97">
        <v>0.96204635984389664</v>
      </c>
      <c r="E97">
        <v>0.96226584723896025</v>
      </c>
      <c r="F97">
        <v>0.96248719290075058</v>
      </c>
      <c r="G97">
        <v>0.96271041321011397</v>
      </c>
      <c r="H97">
        <v>0.96293552468897337</v>
      </c>
      <c r="I97">
        <v>0.96316254400148926</v>
      </c>
      <c r="J97">
        <v>0.96339148795522944</v>
      </c>
      <c r="K97">
        <v>0.96362237350234736</v>
      </c>
      <c r="L97">
        <v>0.96385521774077121</v>
      </c>
      <c r="M97">
        <v>0.96409003791540004</v>
      </c>
      <c r="N97">
        <v>0.96432685141931118</v>
      </c>
    </row>
    <row r="98" spans="1:14" x14ac:dyDescent="0.2">
      <c r="A98">
        <v>0.17</v>
      </c>
      <c r="B98">
        <v>0.96185422473097193</v>
      </c>
      <c r="C98">
        <v>0.962066938704494</v>
      </c>
      <c r="D98">
        <v>0.96228141049136062</v>
      </c>
      <c r="E98">
        <v>0.96249765522352093</v>
      </c>
      <c r="F98">
        <v>0.96271568816021014</v>
      </c>
      <c r="G98">
        <v>0.96293552468897337</v>
      </c>
      <c r="H98">
        <v>0.96315718032669595</v>
      </c>
      <c r="I98">
        <v>0.96338067072064204</v>
      </c>
      <c r="J98">
        <v>0.96360601164950155</v>
      </c>
      <c r="K98">
        <v>0.96383321902444363</v>
      </c>
      <c r="L98">
        <v>0.96406230889018019</v>
      </c>
      <c r="M98">
        <v>0.96429329742603576</v>
      </c>
      <c r="N98">
        <v>0.96452620094702657</v>
      </c>
    </row>
    <row r="99" spans="1:14" x14ac:dyDescent="0.2">
      <c r="A99">
        <v>0.19</v>
      </c>
      <c r="B99">
        <v>0.96209783761890666</v>
      </c>
      <c r="C99">
        <v>0.96230736983678411</v>
      </c>
      <c r="D99">
        <v>0.96251859233024939</v>
      </c>
      <c r="E99">
        <v>0.96273151929470679</v>
      </c>
      <c r="F99">
        <v>0.9629461650420329</v>
      </c>
      <c r="G99">
        <v>0.96316254400148926</v>
      </c>
      <c r="H99">
        <v>0.96338067072064204</v>
      </c>
      <c r="I99">
        <v>0.9636005598662889</v>
      </c>
      <c r="J99">
        <v>0.96382222622539204</v>
      </c>
      <c r="K99">
        <v>0.96404568470601903</v>
      </c>
      <c r="L99">
        <v>0.96427095033828991</v>
      </c>
      <c r="M99">
        <v>0.96449803827533198</v>
      </c>
      <c r="N99">
        <v>0.96472696379424061</v>
      </c>
    </row>
    <row r="100" spans="1:14" x14ac:dyDescent="0.2">
      <c r="A100">
        <v>0.21</v>
      </c>
      <c r="B100">
        <v>0.96234375620704293</v>
      </c>
      <c r="C100">
        <v>0.96255002916905397</v>
      </c>
      <c r="D100">
        <v>0.96275792547920613</v>
      </c>
      <c r="E100">
        <v>0.96296745842993225</v>
      </c>
      <c r="F100">
        <v>0.963178641419981</v>
      </c>
      <c r="G100">
        <v>0.96339148795522944</v>
      </c>
      <c r="H100">
        <v>0.96360601164950155</v>
      </c>
      <c r="I100">
        <v>0.96382222622539204</v>
      </c>
      <c r="J100">
        <v>0.96404014551509665</v>
      </c>
      <c r="K100">
        <v>0.9642597834612483</v>
      </c>
      <c r="L100">
        <v>0.96448115411775881</v>
      </c>
      <c r="M100">
        <v>0.96470427165066819</v>
      </c>
      <c r="N100">
        <v>0.96492915033899807</v>
      </c>
    </row>
    <row r="101" spans="1:14" x14ac:dyDescent="0.2">
      <c r="A101">
        <v>0.23</v>
      </c>
      <c r="B101">
        <v>0.96259200322654015</v>
      </c>
      <c r="C101">
        <v>0.96279493819967576</v>
      </c>
      <c r="D101">
        <v>0.9629994302424193</v>
      </c>
      <c r="E101">
        <v>0.96320549177770531</v>
      </c>
      <c r="F101">
        <v>0.96341313532526518</v>
      </c>
      <c r="G101">
        <v>0.96362237350234736</v>
      </c>
      <c r="H101">
        <v>0.96383321902444363</v>
      </c>
      <c r="I101">
        <v>0.96404568470601903</v>
      </c>
      <c r="J101">
        <v>0.9642597834612483</v>
      </c>
      <c r="K101">
        <v>0.96447552830475647</v>
      </c>
      <c r="L101">
        <v>0.96469293235236575</v>
      </c>
      <c r="M101">
        <v>0.96491200882184613</v>
      </c>
      <c r="N101">
        <v>0.96513277103367334</v>
      </c>
    </row>
    <row r="102" spans="1:14" x14ac:dyDescent="0.2">
      <c r="A102">
        <v>0.25</v>
      </c>
      <c r="B102">
        <v>0.96284260162752155</v>
      </c>
      <c r="C102">
        <v>0.96304211862965827</v>
      </c>
      <c r="D102">
        <v>0.96324312711125604</v>
      </c>
      <c r="E102">
        <v>0.96344563865910082</v>
      </c>
      <c r="F102">
        <v>0.96364966494787019</v>
      </c>
      <c r="G102">
        <v>0.96385521774077121</v>
      </c>
      <c r="H102">
        <v>0.96406230889018019</v>
      </c>
      <c r="I102">
        <v>0.96427095033828991</v>
      </c>
      <c r="J102">
        <v>0.96448115411775881</v>
      </c>
      <c r="K102">
        <v>0.96469293235236575</v>
      </c>
      <c r="L102">
        <v>0.96490629725766852</v>
      </c>
      <c r="M102">
        <v>0.96512126114166896</v>
      </c>
      <c r="N102">
        <v>0.9653378364054791</v>
      </c>
    </row>
    <row r="103" spans="1:14" x14ac:dyDescent="0.2">
      <c r="A103">
        <v>0.27</v>
      </c>
      <c r="B103">
        <v>0.9630955745810883</v>
      </c>
      <c r="C103">
        <v>0.96329159236447104</v>
      </c>
      <c r="D103">
        <v>0.96348903676591147</v>
      </c>
      <c r="E103">
        <v>0.96368791856924596</v>
      </c>
      <c r="F103">
        <v>0.96388824863789024</v>
      </c>
      <c r="G103">
        <v>0.96409003791540004</v>
      </c>
      <c r="H103">
        <v>0.96429329742603576</v>
      </c>
      <c r="I103">
        <v>0.96449803827533198</v>
      </c>
      <c r="J103">
        <v>0.96470427165066819</v>
      </c>
      <c r="K103">
        <v>0.96491200882184613</v>
      </c>
      <c r="L103">
        <v>0.96512126114166896</v>
      </c>
      <c r="M103">
        <v>0.96533204004652551</v>
      </c>
      <c r="N103">
        <v>0.96554435705697805</v>
      </c>
    </row>
    <row r="104" spans="1:14" x14ac:dyDescent="0.2">
      <c r="A104">
        <v>0.28999999999999998</v>
      </c>
      <c r="B104">
        <v>0.96335094548135269</v>
      </c>
      <c r="C104">
        <v>0.96354338151588426</v>
      </c>
      <c r="D104">
        <v>0.96373718007706999</v>
      </c>
      <c r="E104">
        <v>0.96393235117881837</v>
      </c>
      <c r="F104">
        <v>0.96412890490687431</v>
      </c>
      <c r="G104">
        <v>0.96432685141931118</v>
      </c>
      <c r="H104">
        <v>0.96452620094702657</v>
      </c>
      <c r="I104">
        <v>0.96472696379424061</v>
      </c>
      <c r="J104">
        <v>0.96492915033899807</v>
      </c>
      <c r="K104">
        <v>0.96513277103367334</v>
      </c>
      <c r="L104">
        <v>0.9653378364054791</v>
      </c>
      <c r="M104">
        <v>0.96554435705697805</v>
      </c>
      <c r="N104">
        <v>0.96575234366659757</v>
      </c>
    </row>
  </sheetData>
  <mergeCells count="8">
    <mergeCell ref="V23:X23"/>
    <mergeCell ref="Z23:AH23"/>
    <mergeCell ref="AI23:AL23"/>
    <mergeCell ref="A77:C77"/>
    <mergeCell ref="A90:C90"/>
    <mergeCell ref="A23:H23"/>
    <mergeCell ref="J23:N23"/>
    <mergeCell ref="P23:T2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5C8AC-E177-0E4B-81AA-E5B1372C6B25}">
  <sheetPr codeName="Sheet16"/>
  <dimension ref="A1:AI42"/>
  <sheetViews>
    <sheetView workbookViewId="0">
      <selection activeCell="B16" sqref="B16"/>
    </sheetView>
  </sheetViews>
  <sheetFormatPr baseColWidth="10" defaultRowHeight="16" x14ac:dyDescent="0.2"/>
  <cols>
    <col min="1" max="1" width="22.6640625" customWidth="1"/>
    <col min="2" max="2" width="21.83203125" bestFit="1" customWidth="1"/>
  </cols>
  <sheetData>
    <row r="1" spans="1:2" ht="19" x14ac:dyDescent="0.25">
      <c r="A1" s="6" t="s">
        <v>18</v>
      </c>
      <c r="B1" s="8">
        <f>VLOOKUP(B2,Table2[#All],7,FALSE)</f>
        <v>7515</v>
      </c>
    </row>
    <row r="2" spans="1:2" ht="19" x14ac:dyDescent="0.25">
      <c r="A2" s="6" t="s">
        <v>0</v>
      </c>
      <c r="B2" s="8">
        <v>51</v>
      </c>
    </row>
    <row r="3" spans="1:2" ht="19" x14ac:dyDescent="0.25">
      <c r="A3" s="6" t="s">
        <v>13</v>
      </c>
      <c r="B3" s="8">
        <f>VLOOKUP(B2,Table2[#All],10,FALSE)</f>
        <v>5215</v>
      </c>
    </row>
    <row r="4" spans="1:2" ht="19" x14ac:dyDescent="0.25">
      <c r="A4" s="6" t="s">
        <v>6</v>
      </c>
      <c r="B4" s="7">
        <v>6.0596999999999998E-2</v>
      </c>
    </row>
    <row r="5" spans="1:2" ht="19" x14ac:dyDescent="0.25">
      <c r="A5" s="6" t="s">
        <v>4</v>
      </c>
      <c r="B5" s="7">
        <f>(1+B4)^(-1)</f>
        <v>0.94286519761983112</v>
      </c>
    </row>
    <row r="6" spans="1:2" ht="19" x14ac:dyDescent="0.25">
      <c r="A6" s="6" t="s">
        <v>86</v>
      </c>
      <c r="B6" s="7">
        <v>0.01</v>
      </c>
    </row>
    <row r="7" spans="1:2" ht="19" x14ac:dyDescent="0.25">
      <c r="A7" s="6" t="s">
        <v>8</v>
      </c>
      <c r="B7" s="8" t="s">
        <v>9</v>
      </c>
    </row>
    <row r="8" spans="1:2" ht="19" x14ac:dyDescent="0.25">
      <c r="A8" s="6" t="s">
        <v>10</v>
      </c>
      <c r="B8" s="8" t="s">
        <v>49</v>
      </c>
    </row>
    <row r="9" spans="1:2" ht="19" x14ac:dyDescent="0.25">
      <c r="A9" s="6" t="s">
        <v>42</v>
      </c>
      <c r="B9" s="8">
        <f>SUM(AH23:AH42)/SUM(AI23:AI42)</f>
        <v>6.8637020881747446E-2</v>
      </c>
    </row>
    <row r="10" spans="1:2" ht="19" x14ac:dyDescent="0.25">
      <c r="A10" s="6" t="s">
        <v>36</v>
      </c>
      <c r="B10" s="8">
        <f>'Female T20 (after)'!B10</f>
        <v>9283.8010758344608</v>
      </c>
    </row>
    <row r="11" spans="1:2" ht="19" x14ac:dyDescent="0.25">
      <c r="A11" s="6" t="s">
        <v>85</v>
      </c>
      <c r="B11" s="8">
        <v>300</v>
      </c>
    </row>
    <row r="12" spans="1:2" ht="19" x14ac:dyDescent="0.25">
      <c r="A12" s="6" t="s">
        <v>113</v>
      </c>
      <c r="B12" s="37">
        <f>SUM(AI23:AI42)*B1</f>
        <v>821010225.07298851</v>
      </c>
    </row>
    <row r="13" spans="1:2" ht="19" x14ac:dyDescent="0.25">
      <c r="A13" s="6" t="s">
        <v>109</v>
      </c>
      <c r="B13" s="29">
        <f>O23+NPV(B4,O24:O42)</f>
        <v>3631.8676631354842</v>
      </c>
    </row>
    <row r="14" spans="1:2" ht="19" x14ac:dyDescent="0.25">
      <c r="A14" s="6" t="s">
        <v>103</v>
      </c>
      <c r="B14" s="29">
        <f>B13*B1</f>
        <v>27293485.488463163</v>
      </c>
    </row>
    <row r="15" spans="1:2" ht="19" x14ac:dyDescent="0.25">
      <c r="A15" s="6" t="s">
        <v>110</v>
      </c>
      <c r="B15" s="29">
        <f>SUM(AH23:AH42)</f>
        <v>7498.562336987743</v>
      </c>
    </row>
    <row r="16" spans="1:2" ht="19" x14ac:dyDescent="0.25">
      <c r="A16" s="6" t="s">
        <v>107</v>
      </c>
      <c r="B16" s="37">
        <f>ROUND(B12-B14,0)</f>
        <v>793716740</v>
      </c>
    </row>
    <row r="17" spans="1:35" ht="19" x14ac:dyDescent="0.25">
      <c r="A17" s="6" t="s">
        <v>111</v>
      </c>
      <c r="B17" s="29">
        <f>B16/B14</f>
        <v>29.080812721244438</v>
      </c>
    </row>
    <row r="18" spans="1:35" ht="19" x14ac:dyDescent="0.25">
      <c r="A18" s="6"/>
      <c r="B18" s="8"/>
    </row>
    <row r="19" spans="1:35" ht="19" x14ac:dyDescent="0.25">
      <c r="A19" s="6"/>
      <c r="B19" s="8"/>
    </row>
    <row r="21" spans="1:35" ht="19" x14ac:dyDescent="0.25">
      <c r="A21" s="62" t="s">
        <v>66</v>
      </c>
      <c r="B21" s="62"/>
      <c r="C21" s="62"/>
      <c r="D21" s="62"/>
      <c r="E21" s="62"/>
      <c r="G21" s="62" t="s">
        <v>65</v>
      </c>
      <c r="H21" s="62"/>
      <c r="I21" s="62"/>
      <c r="J21" s="62"/>
      <c r="K21" s="62"/>
      <c r="M21" s="62" t="s">
        <v>67</v>
      </c>
      <c r="N21" s="62"/>
      <c r="O21" s="62"/>
      <c r="P21" s="62"/>
      <c r="Q21" s="62"/>
      <c r="S21" s="62" t="s">
        <v>46</v>
      </c>
      <c r="T21" s="62"/>
      <c r="U21" s="62"/>
      <c r="W21" s="62" t="s">
        <v>68</v>
      </c>
      <c r="X21" s="62"/>
      <c r="Y21" s="62"/>
      <c r="Z21" s="62"/>
      <c r="AA21" s="62"/>
      <c r="AB21" s="62"/>
      <c r="AC21" s="62"/>
      <c r="AD21" s="62"/>
      <c r="AE21" s="62"/>
      <c r="AF21" s="62" t="s">
        <v>69</v>
      </c>
      <c r="AG21" s="62"/>
      <c r="AH21" s="62"/>
      <c r="AI21" s="62"/>
    </row>
    <row r="22" spans="1:35" ht="19" x14ac:dyDescent="0.25">
      <c r="A22" s="11" t="s">
        <v>5</v>
      </c>
      <c r="B22" s="11" t="s">
        <v>1</v>
      </c>
      <c r="C22" s="11" t="s">
        <v>2</v>
      </c>
      <c r="D22" s="11" t="s">
        <v>3</v>
      </c>
      <c r="E22" s="12" t="s">
        <v>7</v>
      </c>
      <c r="G22" s="11" t="s">
        <v>5</v>
      </c>
      <c r="H22" s="14" t="s">
        <v>26</v>
      </c>
      <c r="I22" s="14" t="s">
        <v>47</v>
      </c>
      <c r="J22" s="14" t="s">
        <v>27</v>
      </c>
      <c r="K22" s="15" t="s">
        <v>28</v>
      </c>
      <c r="M22" s="11" t="s">
        <v>34</v>
      </c>
      <c r="N22" s="11" t="s">
        <v>12</v>
      </c>
      <c r="O22" s="11" t="s">
        <v>13</v>
      </c>
      <c r="P22" s="11" t="s">
        <v>14</v>
      </c>
      <c r="Q22" s="12" t="s">
        <v>35</v>
      </c>
      <c r="S22" s="14" t="s">
        <v>34</v>
      </c>
      <c r="T22" s="11" t="s">
        <v>16</v>
      </c>
      <c r="U22" s="12" t="s">
        <v>17</v>
      </c>
      <c r="W22" s="14" t="s">
        <v>34</v>
      </c>
      <c r="X22" s="11" t="s">
        <v>29</v>
      </c>
      <c r="Y22" s="11" t="s">
        <v>30</v>
      </c>
      <c r="Z22" s="11" t="s">
        <v>31</v>
      </c>
      <c r="AA22" s="11" t="s">
        <v>71</v>
      </c>
      <c r="AB22" s="11" t="s">
        <v>33</v>
      </c>
      <c r="AC22" s="11" t="s">
        <v>51</v>
      </c>
      <c r="AD22" s="11" t="s">
        <v>43</v>
      </c>
      <c r="AE22" s="11" t="s">
        <v>44</v>
      </c>
      <c r="AF22" s="11" t="s">
        <v>45</v>
      </c>
      <c r="AG22" s="11" t="s">
        <v>41</v>
      </c>
      <c r="AH22" s="11" t="s">
        <v>38</v>
      </c>
      <c r="AI22" s="12" t="s">
        <v>39</v>
      </c>
    </row>
    <row r="23" spans="1:35" x14ac:dyDescent="0.2">
      <c r="A23">
        <f>B2</f>
        <v>51</v>
      </c>
      <c r="B23">
        <f>VLOOKUP(A23,Table22[#All],2,FALSE)</f>
        <v>2.4223974049999999E-3</v>
      </c>
      <c r="C23">
        <f>1-B23</f>
        <v>0.99757760259499995</v>
      </c>
      <c r="D23">
        <f>$B$5*(B23+C23*D24)</f>
        <v>4.9976368154823717E-2</v>
      </c>
      <c r="E23">
        <f>D23-PRODUCT(C23:C42)*E42*$B$5^(20)</f>
        <v>4.7395476663167936E-2</v>
      </c>
      <c r="G23">
        <f>B2</f>
        <v>51</v>
      </c>
      <c r="H23">
        <f>B23</f>
        <v>2.4223974049999999E-3</v>
      </c>
      <c r="I23">
        <f>Lapses!B2</f>
        <v>9.8600000000000007E-3</v>
      </c>
      <c r="J23">
        <f>1-H23</f>
        <v>0.99757760259499995</v>
      </c>
      <c r="K23">
        <f>1</f>
        <v>1</v>
      </c>
      <c r="M23">
        <v>1</v>
      </c>
      <c r="N23">
        <f>$B$10</f>
        <v>9283.8010758344608</v>
      </c>
      <c r="O23">
        <f>$B$11</f>
        <v>300</v>
      </c>
      <c r="P23">
        <f>VLOOKUP(A23,Table1[#All],4,FALSE)</f>
        <v>652059.92509999999</v>
      </c>
      <c r="Q23">
        <f>ABS(MIN(AD24-Q24*J24,0))*$B$5</f>
        <v>0</v>
      </c>
      <c r="S23">
        <v>1</v>
      </c>
      <c r="T23">
        <f>Q23</f>
        <v>0</v>
      </c>
      <c r="U23">
        <f>P23*J23*$B$6</f>
        <v>6504.8037682953327</v>
      </c>
      <c r="W23">
        <v>1</v>
      </c>
      <c r="X23">
        <f>N23</f>
        <v>9283.8010758344608</v>
      </c>
      <c r="Y23">
        <f>-O23</f>
        <v>-300</v>
      </c>
      <c r="Z23">
        <f>-P23*H23</f>
        <v>-1579.5482704667343</v>
      </c>
      <c r="AA23">
        <f>0</f>
        <v>0</v>
      </c>
      <c r="AB23">
        <f>SUM(X23:Y23)*$B$4</f>
        <v>544.39139379234075</v>
      </c>
      <c r="AC23">
        <f>-U23</f>
        <v>-6504.8037682953327</v>
      </c>
      <c r="AD23">
        <f>SUM(X23:AC23)</f>
        <v>1443.840430864735</v>
      </c>
      <c r="AE23">
        <f>-T23*K23</f>
        <v>0</v>
      </c>
      <c r="AF23">
        <f>SUM(AD23:AE23)</f>
        <v>1443.840430864735</v>
      </c>
      <c r="AG23">
        <f>$B$5^W23</f>
        <v>0.94286519761983112</v>
      </c>
      <c r="AH23">
        <f>AF23*AG23*K23</f>
        <v>1361.3468931787804</v>
      </c>
      <c r="AI23">
        <f>B10</f>
        <v>9283.8010758344608</v>
      </c>
    </row>
    <row r="24" spans="1:35" x14ac:dyDescent="0.2">
      <c r="A24">
        <f>A23+1</f>
        <v>52</v>
      </c>
      <c r="B24">
        <f>VLOOKUP(A24,Table22[#All],2,FALSE)</f>
        <v>2.6325542809999998E-3</v>
      </c>
      <c r="C24">
        <f t="shared" ref="C24:C42" si="0">1-B24</f>
        <v>0.99736744571900005</v>
      </c>
      <c r="D24">
        <f t="shared" ref="D24:D42" si="1">$B$5*(B24+C24*D25)</f>
        <v>5.0705216916780739E-2</v>
      </c>
      <c r="E24">
        <f t="shared" ref="E24:E42" si="2">D24-PRODUCT(C24:C43)*E43*$B$5^(20)</f>
        <v>5.0705216916780739E-2</v>
      </c>
      <c r="G24">
        <f>G23+1</f>
        <v>52</v>
      </c>
      <c r="H24">
        <f t="shared" ref="H24:H42" si="3">B24</f>
        <v>2.6325542809999998E-3</v>
      </c>
      <c r="I24">
        <f>Lapses!B3</f>
        <v>9.92E-3</v>
      </c>
      <c r="J24">
        <f t="shared" ref="J24:J42" si="4">1-H24</f>
        <v>0.99736744571900005</v>
      </c>
      <c r="K24">
        <f>J23*K23</f>
        <v>0.99757760259499995</v>
      </c>
      <c r="M24">
        <v>2</v>
      </c>
      <c r="N24">
        <f t="shared" ref="N24:N42" si="5">$B$10</f>
        <v>9283.8010758344608</v>
      </c>
      <c r="O24">
        <f>$B$11</f>
        <v>300</v>
      </c>
      <c r="P24">
        <f>VLOOKUP(A24,Table1[#All],4,FALSE)</f>
        <v>631749.04940000002</v>
      </c>
      <c r="Q24">
        <f t="shared" ref="Q24:Q41" si="6">ABS(MIN(AD25-Q25*J25,0))*$B$5</f>
        <v>0</v>
      </c>
      <c r="S24">
        <v>2</v>
      </c>
      <c r="T24">
        <f t="shared" ref="T24:T42" si="7">Q24</f>
        <v>0</v>
      </c>
      <c r="U24">
        <f t="shared" ref="U24:U42" si="8">P24*J24*$B$6</f>
        <v>6300.8593573548433</v>
      </c>
      <c r="W24">
        <v>2</v>
      </c>
      <c r="X24">
        <f t="shared" ref="X24:X42" si="9">N24</f>
        <v>9283.8010758344608</v>
      </c>
      <c r="Y24">
        <f t="shared" ref="Y24:Y42" si="10">-O24</f>
        <v>-300</v>
      </c>
      <c r="Z24">
        <f t="shared" ref="Z24:Z42" si="11">-P24*H24</f>
        <v>-1663.1136645156505</v>
      </c>
      <c r="AA24">
        <f>0</f>
        <v>0</v>
      </c>
      <c r="AB24">
        <f t="shared" ref="AB24:AB42" si="12">SUM(X24:Y24)*$B$4</f>
        <v>544.39139379234075</v>
      </c>
      <c r="AC24">
        <f t="shared" ref="AC24:AC42" si="13">-U24</f>
        <v>-6300.8593573548433</v>
      </c>
      <c r="AD24">
        <f t="shared" ref="AD24:AD42" si="14">SUM(X24:AC24)</f>
        <v>1564.219447756308</v>
      </c>
      <c r="AE24">
        <f t="shared" ref="AE24:AE42" si="15">-T24*K24</f>
        <v>0</v>
      </c>
      <c r="AF24">
        <f>MAX(SUM(AD24:AE24),0)</f>
        <v>1564.219447756308</v>
      </c>
      <c r="AG24">
        <f t="shared" ref="AG24:AG42" si="16">$B$5^W24</f>
        <v>0.88899478088268324</v>
      </c>
      <c r="AH24">
        <f t="shared" ref="AH24:AH42" si="17">AF24*AG24*K24</f>
        <v>1387.2143807410835</v>
      </c>
      <c r="AI24">
        <f>$B$10*AG23*K24</f>
        <v>8732.1687881446232</v>
      </c>
    </row>
    <row r="25" spans="1:35" x14ac:dyDescent="0.2">
      <c r="A25">
        <f t="shared" ref="A25:A42" si="18">A24+1</f>
        <v>53</v>
      </c>
      <c r="B25">
        <f>VLOOKUP(A25,Table22[#All],2,FALSE)</f>
        <v>2.8530191449999999E-3</v>
      </c>
      <c r="C25">
        <f t="shared" si="0"/>
        <v>0.99714698085499998</v>
      </c>
      <c r="D25">
        <f t="shared" si="1"/>
        <v>5.1280244692984138E-2</v>
      </c>
      <c r="E25">
        <f t="shared" si="2"/>
        <v>5.1280244692984138E-2</v>
      </c>
      <c r="G25">
        <f t="shared" ref="G25:G42" si="19">G24+1</f>
        <v>53</v>
      </c>
      <c r="H25">
        <f t="shared" si="3"/>
        <v>2.8530191449999999E-3</v>
      </c>
      <c r="I25">
        <f>Lapses!B4</f>
        <v>9.9399999999999992E-3</v>
      </c>
      <c r="J25">
        <f t="shared" si="4"/>
        <v>0.99714698085499998</v>
      </c>
      <c r="K25">
        <f t="shared" ref="K25:K42" si="20">J24*K24</f>
        <v>0.99495142540665882</v>
      </c>
      <c r="M25">
        <v>3</v>
      </c>
      <c r="N25">
        <f t="shared" si="5"/>
        <v>9283.8010758344608</v>
      </c>
      <c r="O25">
        <f t="shared" ref="O25:O42" si="21">$B$11</f>
        <v>300</v>
      </c>
      <c r="P25">
        <f>VLOOKUP(A25,Table1[#All],4,FALSE)</f>
        <v>671535.58050000004</v>
      </c>
      <c r="Q25">
        <f t="shared" si="6"/>
        <v>0</v>
      </c>
      <c r="S25">
        <v>3</v>
      </c>
      <c r="T25">
        <f t="shared" si="7"/>
        <v>0</v>
      </c>
      <c r="U25">
        <f t="shared" si="8"/>
        <v>6696.1967663228488</v>
      </c>
      <c r="W25">
        <v>3</v>
      </c>
      <c r="X25">
        <f t="shared" si="9"/>
        <v>9283.8010758344608</v>
      </c>
      <c r="Y25">
        <f t="shared" si="10"/>
        <v>-300</v>
      </c>
      <c r="Z25">
        <f t="shared" si="11"/>
        <v>-1915.9038677151887</v>
      </c>
      <c r="AA25">
        <f>0</f>
        <v>0</v>
      </c>
      <c r="AB25">
        <f t="shared" si="12"/>
        <v>544.39139379234075</v>
      </c>
      <c r="AC25">
        <f t="shared" si="13"/>
        <v>-6696.1967663228488</v>
      </c>
      <c r="AD25">
        <f t="shared" si="14"/>
        <v>916.0918355887643</v>
      </c>
      <c r="AE25">
        <f t="shared" si="15"/>
        <v>0</v>
      </c>
      <c r="AF25">
        <f t="shared" ref="AF25:AF42" si="22">MAX(SUM(AD25:AE25),0)</f>
        <v>916.0918355887643</v>
      </c>
      <c r="AG25">
        <f t="shared" si="16"/>
        <v>0.83820223975994956</v>
      </c>
      <c r="AH25">
        <f t="shared" si="17"/>
        <v>763.99357829014014</v>
      </c>
      <c r="AI25">
        <f t="shared" ref="AI25:AI42" si="23">$B$10*AG24*K25</f>
        <v>8211.5835513573766</v>
      </c>
    </row>
    <row r="26" spans="1:35" x14ac:dyDescent="0.2">
      <c r="A26">
        <f t="shared" si="18"/>
        <v>54</v>
      </c>
      <c r="B26">
        <f>VLOOKUP(A26,Table22[#All],2,FALSE)</f>
        <v>3.0833403770000002E-3</v>
      </c>
      <c r="C26">
        <f t="shared" si="0"/>
        <v>0.99691665962300002</v>
      </c>
      <c r="D26">
        <f t="shared" si="1"/>
        <v>5.1682104569435394E-2</v>
      </c>
      <c r="E26">
        <f t="shared" si="2"/>
        <v>5.1682104569435394E-2</v>
      </c>
      <c r="G26">
        <f t="shared" si="19"/>
        <v>54</v>
      </c>
      <c r="H26">
        <f t="shared" si="3"/>
        <v>3.0833403770000002E-3</v>
      </c>
      <c r="I26">
        <f>Lapses!B5</f>
        <v>1.0019999999999999E-2</v>
      </c>
      <c r="J26">
        <f t="shared" si="4"/>
        <v>0.99691665962300002</v>
      </c>
      <c r="K26">
        <f t="shared" si="20"/>
        <v>0.99211280994162854</v>
      </c>
      <c r="M26">
        <v>4</v>
      </c>
      <c r="N26">
        <f t="shared" si="5"/>
        <v>9283.8010758344608</v>
      </c>
      <c r="O26">
        <f t="shared" si="21"/>
        <v>300</v>
      </c>
      <c r="P26">
        <f>VLOOKUP(A26,Table1[#All],4,FALSE)</f>
        <v>650617.28399999999</v>
      </c>
      <c r="Q26">
        <f t="shared" si="6"/>
        <v>0</v>
      </c>
      <c r="S26">
        <v>4</v>
      </c>
      <c r="T26">
        <f t="shared" si="7"/>
        <v>0</v>
      </c>
      <c r="U26">
        <f t="shared" si="8"/>
        <v>6486.112094582687</v>
      </c>
      <c r="W26">
        <v>4</v>
      </c>
      <c r="X26">
        <f t="shared" si="9"/>
        <v>9283.8010758344608</v>
      </c>
      <c r="Y26">
        <f t="shared" si="10"/>
        <v>-300</v>
      </c>
      <c r="Z26">
        <f t="shared" si="11"/>
        <v>-2006.0745417312762</v>
      </c>
      <c r="AA26">
        <f>0</f>
        <v>0</v>
      </c>
      <c r="AB26">
        <f t="shared" si="12"/>
        <v>544.39139379234075</v>
      </c>
      <c r="AC26">
        <f t="shared" si="13"/>
        <v>-6486.112094582687</v>
      </c>
      <c r="AD26">
        <f t="shared" si="14"/>
        <v>1036.0058333128381</v>
      </c>
      <c r="AE26">
        <f t="shared" si="15"/>
        <v>0</v>
      </c>
      <c r="AF26">
        <f t="shared" si="22"/>
        <v>1036.0058333128381</v>
      </c>
      <c r="AG26">
        <f t="shared" si="16"/>
        <v>0.79031172043664999</v>
      </c>
      <c r="AH26">
        <f t="shared" si="17"/>
        <v>812.30977720761712</v>
      </c>
      <c r="AI26">
        <f t="shared" si="23"/>
        <v>7720.3270858531432</v>
      </c>
    </row>
    <row r="27" spans="1:35" x14ac:dyDescent="0.2">
      <c r="A27">
        <f t="shared" si="18"/>
        <v>55</v>
      </c>
      <c r="B27">
        <f>VLOOKUP(A27,Table22[#All],2,FALSE)</f>
        <v>3.3230663549999998E-3</v>
      </c>
      <c r="C27">
        <f t="shared" si="0"/>
        <v>0.99667693364499998</v>
      </c>
      <c r="D27">
        <f t="shared" si="1"/>
        <v>5.189054088291814E-2</v>
      </c>
      <c r="E27">
        <f t="shared" si="2"/>
        <v>5.189054088291814E-2</v>
      </c>
      <c r="G27">
        <f t="shared" si="19"/>
        <v>55</v>
      </c>
      <c r="H27">
        <f t="shared" si="3"/>
        <v>3.3230663549999998E-3</v>
      </c>
      <c r="I27">
        <f>Lapses!B6</f>
        <v>9.8499999999999994E-3</v>
      </c>
      <c r="J27">
        <f t="shared" si="4"/>
        <v>0.99667693364499998</v>
      </c>
      <c r="K27">
        <f t="shared" si="20"/>
        <v>0.98905378845619663</v>
      </c>
      <c r="M27">
        <v>5</v>
      </c>
      <c r="N27">
        <f t="shared" si="5"/>
        <v>9283.8010758344608</v>
      </c>
      <c r="O27">
        <f t="shared" si="21"/>
        <v>300</v>
      </c>
      <c r="P27">
        <f>VLOOKUP(A27,Table1[#All],4,FALSE)</f>
        <v>630430.52839999995</v>
      </c>
      <c r="Q27">
        <f t="shared" si="6"/>
        <v>0</v>
      </c>
      <c r="S27">
        <v>5</v>
      </c>
      <c r="T27">
        <f t="shared" si="7"/>
        <v>0</v>
      </c>
      <c r="U27">
        <f t="shared" si="8"/>
        <v>6283.3556592190907</v>
      </c>
      <c r="W27">
        <v>5</v>
      </c>
      <c r="X27">
        <f t="shared" si="9"/>
        <v>9283.8010758344608</v>
      </c>
      <c r="Y27">
        <f t="shared" si="10"/>
        <v>-300</v>
      </c>
      <c r="Z27">
        <f t="shared" si="11"/>
        <v>-2094.9624780909116</v>
      </c>
      <c r="AA27">
        <f>0</f>
        <v>0</v>
      </c>
      <c r="AB27">
        <f t="shared" si="12"/>
        <v>544.39139379234075</v>
      </c>
      <c r="AC27">
        <f t="shared" si="13"/>
        <v>-6283.3556592190907</v>
      </c>
      <c r="AD27">
        <f t="shared" si="14"/>
        <v>1149.8743323167992</v>
      </c>
      <c r="AE27">
        <f t="shared" si="15"/>
        <v>0</v>
      </c>
      <c r="AF27">
        <f t="shared" si="22"/>
        <v>1149.8743323167992</v>
      </c>
      <c r="AG27">
        <f t="shared" si="16"/>
        <v>0.74515741647077072</v>
      </c>
      <c r="AH27">
        <f t="shared" si="17"/>
        <v>847.45826344139493</v>
      </c>
      <c r="AI27">
        <f t="shared" si="23"/>
        <v>7256.7833867394374</v>
      </c>
    </row>
    <row r="28" spans="1:35" x14ac:dyDescent="0.2">
      <c r="A28">
        <f t="shared" si="18"/>
        <v>56</v>
      </c>
      <c r="B28">
        <f>VLOOKUP(A28,Table22[#All],2,FALSE)</f>
        <v>3.5717454590000002E-3</v>
      </c>
      <c r="C28">
        <f t="shared" si="0"/>
        <v>0.99642825454100004</v>
      </c>
      <c r="D28">
        <f t="shared" si="1"/>
        <v>5.1884300607501828E-2</v>
      </c>
      <c r="E28">
        <f t="shared" si="2"/>
        <v>5.1884300607501828E-2</v>
      </c>
      <c r="G28">
        <f t="shared" si="19"/>
        <v>56</v>
      </c>
      <c r="H28">
        <f t="shared" si="3"/>
        <v>3.5717454590000002E-3</v>
      </c>
      <c r="I28">
        <f>Lapses!B7</f>
        <v>9.7599999999999996E-3</v>
      </c>
      <c r="J28">
        <f t="shared" si="4"/>
        <v>0.99642825454100004</v>
      </c>
      <c r="K28">
        <f t="shared" si="20"/>
        <v>0.98576709708849253</v>
      </c>
      <c r="M28">
        <v>6</v>
      </c>
      <c r="N28">
        <f t="shared" si="5"/>
        <v>9283.8010758344608</v>
      </c>
      <c r="O28">
        <f t="shared" si="21"/>
        <v>300</v>
      </c>
      <c r="P28">
        <f>VLOOKUP(A28,Table1[#All],4,FALSE)</f>
        <v>594594.59459999995</v>
      </c>
      <c r="Q28">
        <f t="shared" si="6"/>
        <v>0</v>
      </c>
      <c r="S28">
        <v>6</v>
      </c>
      <c r="T28">
        <f t="shared" si="7"/>
        <v>0</v>
      </c>
      <c r="U28">
        <f t="shared" si="8"/>
        <v>5924.7085405679154</v>
      </c>
      <c r="W28">
        <v>6</v>
      </c>
      <c r="X28">
        <f t="shared" si="9"/>
        <v>9283.8010758344608</v>
      </c>
      <c r="Y28">
        <f t="shared" si="10"/>
        <v>-300</v>
      </c>
      <c r="Z28">
        <f t="shared" si="11"/>
        <v>-2123.7405432084961</v>
      </c>
      <c r="AA28">
        <f>0</f>
        <v>0</v>
      </c>
      <c r="AB28">
        <f t="shared" si="12"/>
        <v>544.39139379234075</v>
      </c>
      <c r="AC28">
        <f t="shared" si="13"/>
        <v>-5924.7085405679154</v>
      </c>
      <c r="AD28">
        <f t="shared" si="14"/>
        <v>1479.74338585039</v>
      </c>
      <c r="AE28">
        <f t="shared" si="15"/>
        <v>0</v>
      </c>
      <c r="AF28">
        <f t="shared" si="22"/>
        <v>1479.74338585039</v>
      </c>
      <c r="AG28">
        <f t="shared" si="16"/>
        <v>0.70258299473859609</v>
      </c>
      <c r="AH28">
        <f t="shared" si="17"/>
        <v>1024.8454081483706</v>
      </c>
      <c r="AI28">
        <f t="shared" si="23"/>
        <v>6819.4315220780754</v>
      </c>
    </row>
    <row r="29" spans="1:35" x14ac:dyDescent="0.2">
      <c r="A29">
        <f t="shared" si="18"/>
        <v>57</v>
      </c>
      <c r="B29">
        <f>VLOOKUP(A29,Table22[#All],2,FALSE)</f>
        <v>3.828926067E-3</v>
      </c>
      <c r="C29">
        <f t="shared" si="0"/>
        <v>0.99617107393299997</v>
      </c>
      <c r="D29">
        <f t="shared" si="1"/>
        <v>5.1641036750927793E-2</v>
      </c>
      <c r="E29">
        <f t="shared" si="2"/>
        <v>5.1641036750927793E-2</v>
      </c>
      <c r="G29">
        <f t="shared" si="19"/>
        <v>57</v>
      </c>
      <c r="H29">
        <f t="shared" si="3"/>
        <v>3.828926067E-3</v>
      </c>
      <c r="I29">
        <f>Lapses!B8</f>
        <v>1.026E-2</v>
      </c>
      <c r="J29">
        <f t="shared" si="4"/>
        <v>0.99617107393299997</v>
      </c>
      <c r="K29">
        <f t="shared" si="20"/>
        <v>0.98224618793583518</v>
      </c>
      <c r="M29">
        <v>7</v>
      </c>
      <c r="N29">
        <f t="shared" si="5"/>
        <v>9283.8010758344608</v>
      </c>
      <c r="O29">
        <f t="shared" si="21"/>
        <v>300</v>
      </c>
      <c r="P29">
        <f>VLOOKUP(A29,Table1[#All],4,FALSE)</f>
        <v>594594.59459999995</v>
      </c>
      <c r="Q29">
        <f t="shared" si="6"/>
        <v>0</v>
      </c>
      <c r="S29">
        <v>7</v>
      </c>
      <c r="T29">
        <f t="shared" si="7"/>
        <v>0</v>
      </c>
      <c r="U29">
        <f t="shared" si="8"/>
        <v>5923.1793585743872</v>
      </c>
      <c r="W29">
        <v>7</v>
      </c>
      <c r="X29">
        <f t="shared" si="9"/>
        <v>9283.8010758344608</v>
      </c>
      <c r="Y29">
        <f t="shared" si="10"/>
        <v>-300</v>
      </c>
      <c r="Z29">
        <f t="shared" si="11"/>
        <v>-2276.6587425612374</v>
      </c>
      <c r="AA29">
        <f>0</f>
        <v>0</v>
      </c>
      <c r="AB29">
        <f t="shared" si="12"/>
        <v>544.39139379234075</v>
      </c>
      <c r="AC29">
        <f t="shared" si="13"/>
        <v>-5923.1793585743872</v>
      </c>
      <c r="AD29">
        <f t="shared" si="14"/>
        <v>1328.3543684911765</v>
      </c>
      <c r="AE29">
        <f t="shared" si="15"/>
        <v>0</v>
      </c>
      <c r="AF29">
        <f t="shared" si="22"/>
        <v>1328.3543684911765</v>
      </c>
      <c r="AG29">
        <f t="shared" si="16"/>
        <v>0.66244105417853916</v>
      </c>
      <c r="AH29">
        <f t="shared" si="17"/>
        <v>864.33388642514285</v>
      </c>
      <c r="AI29">
        <f t="shared" si="23"/>
        <v>6406.8390241591605</v>
      </c>
    </row>
    <row r="30" spans="1:35" x14ac:dyDescent="0.2">
      <c r="A30">
        <f t="shared" si="18"/>
        <v>58</v>
      </c>
      <c r="B30">
        <f>VLOOKUP(A30,Table22[#All],2,FALSE)</f>
        <v>4.0941565580000002E-3</v>
      </c>
      <c r="C30">
        <f t="shared" si="0"/>
        <v>0.99590584344199995</v>
      </c>
      <c r="D30">
        <f t="shared" si="1"/>
        <v>5.1137203158089249E-2</v>
      </c>
      <c r="E30">
        <f t="shared" si="2"/>
        <v>5.1137203158089249E-2</v>
      </c>
      <c r="G30">
        <f t="shared" si="19"/>
        <v>58</v>
      </c>
      <c r="H30">
        <f t="shared" si="3"/>
        <v>4.0941565580000002E-3</v>
      </c>
      <c r="I30">
        <f>Lapses!B9</f>
        <v>9.9500000000000005E-3</v>
      </c>
      <c r="J30">
        <f t="shared" si="4"/>
        <v>0.99590584344199995</v>
      </c>
      <c r="K30">
        <f t="shared" si="20"/>
        <v>0.97848523990263625</v>
      </c>
      <c r="M30">
        <v>8</v>
      </c>
      <c r="N30">
        <f t="shared" si="5"/>
        <v>9283.8010758344608</v>
      </c>
      <c r="O30">
        <f t="shared" si="21"/>
        <v>300</v>
      </c>
      <c r="P30">
        <f>VLOOKUP(A30,Table1[#All],4,FALSE)</f>
        <v>594594.59459999995</v>
      </c>
      <c r="Q30">
        <f t="shared" si="6"/>
        <v>467.13879834483913</v>
      </c>
      <c r="S30">
        <v>8</v>
      </c>
      <c r="T30">
        <f t="shared" si="7"/>
        <v>467.13879834483913</v>
      </c>
      <c r="U30">
        <f t="shared" si="8"/>
        <v>5921.6023124116691</v>
      </c>
      <c r="W30">
        <v>8</v>
      </c>
      <c r="X30">
        <f t="shared" si="9"/>
        <v>9283.8010758344608</v>
      </c>
      <c r="Y30">
        <f t="shared" si="10"/>
        <v>-300</v>
      </c>
      <c r="Z30">
        <f t="shared" si="11"/>
        <v>-2434.3633588329412</v>
      </c>
      <c r="AA30">
        <f>0</f>
        <v>0</v>
      </c>
      <c r="AB30">
        <f t="shared" si="12"/>
        <v>544.39139379234075</v>
      </c>
      <c r="AC30">
        <f t="shared" si="13"/>
        <v>-5921.6023124116691</v>
      </c>
      <c r="AD30">
        <f t="shared" si="14"/>
        <v>1172.2267983821912</v>
      </c>
      <c r="AE30">
        <f t="shared" si="15"/>
        <v>-457.08841916627915</v>
      </c>
      <c r="AF30">
        <f t="shared" si="22"/>
        <v>715.13837921591198</v>
      </c>
      <c r="AG30">
        <f t="shared" si="16"/>
        <v>0.62459261545953759</v>
      </c>
      <c r="AH30">
        <f t="shared" si="17"/>
        <v>437.06014955521323</v>
      </c>
      <c r="AI30">
        <f t="shared" si="23"/>
        <v>6017.655821402931</v>
      </c>
    </row>
    <row r="31" spans="1:35" x14ac:dyDescent="0.2">
      <c r="A31">
        <f t="shared" si="18"/>
        <v>59</v>
      </c>
      <c r="B31">
        <f>VLOOKUP(A31,Table22[#All],2,FALSE)</f>
        <v>4.3669853110000004E-3</v>
      </c>
      <c r="C31">
        <f t="shared" si="0"/>
        <v>0.99563301468900001</v>
      </c>
      <c r="D31">
        <f t="shared" si="1"/>
        <v>5.0347940048792533E-2</v>
      </c>
      <c r="E31">
        <f t="shared" si="2"/>
        <v>5.0347940048792533E-2</v>
      </c>
      <c r="G31">
        <f t="shared" si="19"/>
        <v>59</v>
      </c>
      <c r="H31">
        <f t="shared" si="3"/>
        <v>4.3669853110000004E-3</v>
      </c>
      <c r="I31">
        <f>Lapses!B10</f>
        <v>0.01</v>
      </c>
      <c r="J31">
        <f t="shared" si="4"/>
        <v>0.99563301468900001</v>
      </c>
      <c r="K31">
        <f t="shared" si="20"/>
        <v>0.97447916814078261</v>
      </c>
      <c r="M31">
        <v>9</v>
      </c>
      <c r="N31">
        <f t="shared" si="5"/>
        <v>9283.8010758344608</v>
      </c>
      <c r="O31">
        <f t="shared" si="21"/>
        <v>300</v>
      </c>
      <c r="P31">
        <f>VLOOKUP(A31,Table1[#All],4,FALSE)</f>
        <v>594594.59459999995</v>
      </c>
      <c r="Q31">
        <f t="shared" si="6"/>
        <v>1513.6827601018028</v>
      </c>
      <c r="S31">
        <v>9</v>
      </c>
      <c r="T31">
        <f t="shared" si="7"/>
        <v>1513.6827601018028</v>
      </c>
      <c r="U31">
        <f t="shared" si="8"/>
        <v>5919.9800873938184</v>
      </c>
      <c r="W31">
        <v>9</v>
      </c>
      <c r="X31">
        <f t="shared" si="9"/>
        <v>9283.8010758344608</v>
      </c>
      <c r="Y31">
        <f t="shared" si="10"/>
        <v>-300</v>
      </c>
      <c r="Z31">
        <f t="shared" si="11"/>
        <v>-2596.5858606182001</v>
      </c>
      <c r="AA31">
        <f>0</f>
        <v>0</v>
      </c>
      <c r="AB31">
        <f t="shared" si="12"/>
        <v>544.39139379234075</v>
      </c>
      <c r="AC31">
        <f t="shared" si="13"/>
        <v>-5919.9800873938184</v>
      </c>
      <c r="AD31">
        <f t="shared" si="14"/>
        <v>1011.6265216147831</v>
      </c>
      <c r="AE31">
        <f t="shared" si="15"/>
        <v>-1475.0523168930486</v>
      </c>
      <c r="AF31">
        <f t="shared" si="22"/>
        <v>0</v>
      </c>
      <c r="AG31">
        <f t="shared" si="16"/>
        <v>0.58890663980714408</v>
      </c>
      <c r="AH31">
        <f t="shared" si="17"/>
        <v>0</v>
      </c>
      <c r="AI31">
        <f t="shared" si="23"/>
        <v>5650.6086631943581</v>
      </c>
    </row>
    <row r="32" spans="1:35" x14ac:dyDescent="0.2">
      <c r="A32">
        <f t="shared" si="18"/>
        <v>60</v>
      </c>
      <c r="B32">
        <f>VLOOKUP(A32,Table22[#All],2,FALSE)</f>
        <v>4.6469607049999997E-3</v>
      </c>
      <c r="C32">
        <f t="shared" si="0"/>
        <v>0.99535303929499996</v>
      </c>
      <c r="D32">
        <f t="shared" si="1"/>
        <v>4.9246949566296785E-2</v>
      </c>
      <c r="E32">
        <f t="shared" si="2"/>
        <v>4.9246949566296785E-2</v>
      </c>
      <c r="G32">
        <f t="shared" si="19"/>
        <v>60</v>
      </c>
      <c r="H32">
        <f t="shared" si="3"/>
        <v>4.6469607049999997E-3</v>
      </c>
      <c r="I32">
        <f>Lapses!B11</f>
        <v>1.021E-2</v>
      </c>
      <c r="J32">
        <f t="shared" si="4"/>
        <v>0.99535303929499996</v>
      </c>
      <c r="K32">
        <f t="shared" si="20"/>
        <v>0.97022363192763628</v>
      </c>
      <c r="M32">
        <v>10</v>
      </c>
      <c r="N32">
        <f t="shared" si="5"/>
        <v>9283.8010758344608</v>
      </c>
      <c r="O32">
        <f t="shared" si="21"/>
        <v>300</v>
      </c>
      <c r="P32">
        <f>VLOOKUP(A32,Table1[#All],4,FALSE)</f>
        <v>594594.59459999995</v>
      </c>
      <c r="Q32">
        <f t="shared" si="6"/>
        <v>2463.6753812827023</v>
      </c>
      <c r="S32">
        <v>10</v>
      </c>
      <c r="T32">
        <f t="shared" si="7"/>
        <v>2463.6753812827023</v>
      </c>
      <c r="U32">
        <f t="shared" si="8"/>
        <v>5918.315368834883</v>
      </c>
      <c r="W32">
        <v>10</v>
      </c>
      <c r="X32">
        <f t="shared" si="9"/>
        <v>9283.8010758344608</v>
      </c>
      <c r="Y32">
        <f t="shared" si="10"/>
        <v>-300</v>
      </c>
      <c r="Z32">
        <f t="shared" si="11"/>
        <v>-2763.0577165116047</v>
      </c>
      <c r="AA32">
        <f>0</f>
        <v>0</v>
      </c>
      <c r="AB32">
        <f t="shared" si="12"/>
        <v>544.39139379234075</v>
      </c>
      <c r="AC32">
        <f t="shared" si="13"/>
        <v>-5918.315368834883</v>
      </c>
      <c r="AD32">
        <f t="shared" si="14"/>
        <v>846.8193842803139</v>
      </c>
      <c r="AE32">
        <f t="shared" si="15"/>
        <v>-2390.3160763188075</v>
      </c>
      <c r="AF32">
        <f t="shared" si="22"/>
        <v>0</v>
      </c>
      <c r="AG32">
        <f t="shared" si="16"/>
        <v>0.55525957532139369</v>
      </c>
      <c r="AH32">
        <f t="shared" si="17"/>
        <v>0</v>
      </c>
      <c r="AI32">
        <f t="shared" si="23"/>
        <v>5304.4959943918184</v>
      </c>
    </row>
    <row r="33" spans="1:35" x14ac:dyDescent="0.2">
      <c r="A33">
        <f t="shared" si="18"/>
        <v>61</v>
      </c>
      <c r="B33">
        <f>VLOOKUP(A33,Table22[#All],2,FALSE)</f>
        <v>4.9357485690000001E-3</v>
      </c>
      <c r="C33">
        <f t="shared" si="0"/>
        <v>0.99506425143099997</v>
      </c>
      <c r="D33">
        <f t="shared" si="1"/>
        <v>4.7806360543058327E-2</v>
      </c>
      <c r="E33">
        <f t="shared" si="2"/>
        <v>4.7806360543058327E-2</v>
      </c>
      <c r="G33">
        <f t="shared" si="19"/>
        <v>61</v>
      </c>
      <c r="H33">
        <f t="shared" si="3"/>
        <v>4.9357485690000001E-3</v>
      </c>
      <c r="I33">
        <f>Lapses!B12</f>
        <v>9.9500000000000005E-3</v>
      </c>
      <c r="J33">
        <f t="shared" si="4"/>
        <v>0.99506425143099997</v>
      </c>
      <c r="K33">
        <f t="shared" si="20"/>
        <v>0.96571504083500614</v>
      </c>
      <c r="M33">
        <v>11</v>
      </c>
      <c r="N33">
        <f t="shared" si="5"/>
        <v>9283.8010758344608</v>
      </c>
      <c r="O33">
        <f t="shared" si="21"/>
        <v>300</v>
      </c>
      <c r="P33">
        <f>VLOOKUP(A33,Table1[#All],4,FALSE)</f>
        <v>594594.59459999995</v>
      </c>
      <c r="Q33">
        <f t="shared" si="6"/>
        <v>3306.1096426891891</v>
      </c>
      <c r="S33">
        <v>11</v>
      </c>
      <c r="T33">
        <f t="shared" si="7"/>
        <v>3306.1096426891891</v>
      </c>
      <c r="U33">
        <f t="shared" si="8"/>
        <v>5916.598251805678</v>
      </c>
      <c r="W33">
        <v>11</v>
      </c>
      <c r="X33">
        <f t="shared" si="9"/>
        <v>9283.8010758344608</v>
      </c>
      <c r="Y33">
        <f t="shared" si="10"/>
        <v>-300</v>
      </c>
      <c r="Z33">
        <f t="shared" si="11"/>
        <v>-2934.7694194320848</v>
      </c>
      <c r="AA33">
        <f>0</f>
        <v>0</v>
      </c>
      <c r="AB33">
        <f t="shared" si="12"/>
        <v>544.39139379234075</v>
      </c>
      <c r="AC33">
        <f t="shared" si="13"/>
        <v>-5916.598251805678</v>
      </c>
      <c r="AD33">
        <f t="shared" si="14"/>
        <v>676.82479838903873</v>
      </c>
      <c r="AE33">
        <f t="shared" si="15"/>
        <v>-3192.7598085945979</v>
      </c>
      <c r="AF33">
        <f t="shared" si="22"/>
        <v>0</v>
      </c>
      <c r="AG33">
        <f t="shared" si="16"/>
        <v>0.52353492921570932</v>
      </c>
      <c r="AH33">
        <f t="shared" si="17"/>
        <v>0</v>
      </c>
      <c r="AI33">
        <f t="shared" si="23"/>
        <v>4978.1832401430993</v>
      </c>
    </row>
    <row r="34" spans="1:35" x14ac:dyDescent="0.2">
      <c r="A34">
        <f t="shared" si="18"/>
        <v>62</v>
      </c>
      <c r="B34">
        <f>VLOOKUP(A34,Table22[#All],2,FALSE)</f>
        <v>5.2434845360000001E-3</v>
      </c>
      <c r="C34">
        <f t="shared" si="0"/>
        <v>0.99475651546400001</v>
      </c>
      <c r="D34">
        <f t="shared" si="1"/>
        <v>4.5994551545860317E-2</v>
      </c>
      <c r="E34">
        <f t="shared" si="2"/>
        <v>4.5994551545860317E-2</v>
      </c>
      <c r="G34">
        <f t="shared" si="19"/>
        <v>62</v>
      </c>
      <c r="H34">
        <f t="shared" si="3"/>
        <v>5.2434845360000001E-3</v>
      </c>
      <c r="I34">
        <f>Lapses!B13</f>
        <v>0.01</v>
      </c>
      <c r="J34">
        <f t="shared" si="4"/>
        <v>0.99475651546400001</v>
      </c>
      <c r="K34">
        <f t="shared" si="20"/>
        <v>0.96094851420414296</v>
      </c>
      <c r="M34">
        <v>12</v>
      </c>
      <c r="N34">
        <f t="shared" si="5"/>
        <v>9283.8010758344608</v>
      </c>
      <c r="O34">
        <f t="shared" si="21"/>
        <v>300</v>
      </c>
      <c r="P34">
        <f>VLOOKUP(A34,Table1[#All],4,FALSE)</f>
        <v>594594.59459999995</v>
      </c>
      <c r="Q34">
        <f t="shared" si="6"/>
        <v>4023.2221088923525</v>
      </c>
      <c r="S34">
        <v>12</v>
      </c>
      <c r="T34">
        <f t="shared" si="7"/>
        <v>4023.2221088923525</v>
      </c>
      <c r="U34">
        <f t="shared" si="8"/>
        <v>5914.7684703802561</v>
      </c>
      <c r="W34">
        <v>12</v>
      </c>
      <c r="X34">
        <f t="shared" si="9"/>
        <v>9283.8010758344608</v>
      </c>
      <c r="Y34">
        <f t="shared" si="10"/>
        <v>-300</v>
      </c>
      <c r="Z34">
        <f t="shared" si="11"/>
        <v>-3117.7475619742891</v>
      </c>
      <c r="AA34">
        <f>0</f>
        <v>0</v>
      </c>
      <c r="AB34">
        <f t="shared" si="12"/>
        <v>544.39139379234075</v>
      </c>
      <c r="AC34">
        <f t="shared" si="13"/>
        <v>-5914.7684703802561</v>
      </c>
      <c r="AD34">
        <f t="shared" si="14"/>
        <v>495.67643727225641</v>
      </c>
      <c r="AE34">
        <f t="shared" si="15"/>
        <v>-3866.109307853365</v>
      </c>
      <c r="AF34">
        <f t="shared" si="22"/>
        <v>0</v>
      </c>
      <c r="AG34">
        <f t="shared" si="16"/>
        <v>0.49362286449585413</v>
      </c>
      <c r="AH34">
        <f t="shared" si="17"/>
        <v>0</v>
      </c>
      <c r="AI34">
        <f t="shared" si="23"/>
        <v>4670.588526404792</v>
      </c>
    </row>
    <row r="35" spans="1:35" x14ac:dyDescent="0.2">
      <c r="A35">
        <f t="shared" si="18"/>
        <v>63</v>
      </c>
      <c r="B35">
        <f>VLOOKUP(A35,Table22[#All],2,FALSE)</f>
        <v>5.582421689E-3</v>
      </c>
      <c r="C35">
        <f t="shared" si="0"/>
        <v>0.99441757831099997</v>
      </c>
      <c r="D35">
        <f t="shared" si="1"/>
        <v>4.3767694076953703E-2</v>
      </c>
      <c r="E35">
        <f t="shared" si="2"/>
        <v>4.3767694076953703E-2</v>
      </c>
      <c r="G35">
        <f t="shared" si="19"/>
        <v>63</v>
      </c>
      <c r="H35">
        <f t="shared" si="3"/>
        <v>5.582421689E-3</v>
      </c>
      <c r="I35">
        <f>Lapses!B14</f>
        <v>9.8799999999999999E-3</v>
      </c>
      <c r="J35">
        <f t="shared" si="4"/>
        <v>0.99441757831099997</v>
      </c>
      <c r="K35">
        <f t="shared" si="20"/>
        <v>0.95590979553002142</v>
      </c>
      <c r="M35">
        <v>13</v>
      </c>
      <c r="N35">
        <f t="shared" si="5"/>
        <v>9283.8010758344608</v>
      </c>
      <c r="O35">
        <f t="shared" si="21"/>
        <v>300</v>
      </c>
      <c r="P35">
        <f>VLOOKUP(A35,Table1[#All],4,FALSE)</f>
        <v>594594.59459999995</v>
      </c>
      <c r="Q35">
        <f t="shared" si="6"/>
        <v>4588.7954303417991</v>
      </c>
      <c r="S35">
        <v>13</v>
      </c>
      <c r="T35">
        <f t="shared" si="7"/>
        <v>4588.7954303417991</v>
      </c>
      <c r="U35">
        <f t="shared" si="8"/>
        <v>5912.7531683894267</v>
      </c>
      <c r="W35">
        <v>13</v>
      </c>
      <c r="X35">
        <f t="shared" si="9"/>
        <v>9283.8010758344608</v>
      </c>
      <c r="Y35">
        <f t="shared" si="10"/>
        <v>-300</v>
      </c>
      <c r="Z35">
        <f t="shared" si="11"/>
        <v>-3319.277761057202</v>
      </c>
      <c r="AA35">
        <f>0</f>
        <v>0</v>
      </c>
      <c r="AB35">
        <f t="shared" si="12"/>
        <v>544.39139379234075</v>
      </c>
      <c r="AC35">
        <f t="shared" si="13"/>
        <v>-5912.7531683894267</v>
      </c>
      <c r="AD35">
        <f t="shared" si="14"/>
        <v>296.16154018017278</v>
      </c>
      <c r="AE35">
        <f t="shared" si="15"/>
        <v>-4386.4745015471262</v>
      </c>
      <c r="AF35">
        <f t="shared" si="22"/>
        <v>0</v>
      </c>
      <c r="AG35">
        <f t="shared" si="16"/>
        <v>0.46541981968255058</v>
      </c>
      <c r="AH35">
        <f t="shared" si="17"/>
        <v>0</v>
      </c>
      <c r="AI35">
        <f t="shared" si="23"/>
        <v>4380.6444556156293</v>
      </c>
    </row>
    <row r="36" spans="1:35" x14ac:dyDescent="0.2">
      <c r="A36">
        <f t="shared" si="18"/>
        <v>64</v>
      </c>
      <c r="B36">
        <f>VLOOKUP(A36,Table22[#All],2,FALSE)</f>
        <v>5.9648131099999998E-3</v>
      </c>
      <c r="C36">
        <f t="shared" si="0"/>
        <v>0.99403518689000003</v>
      </c>
      <c r="D36">
        <f t="shared" si="1"/>
        <v>4.1066715066819866E-2</v>
      </c>
      <c r="E36">
        <f t="shared" si="2"/>
        <v>4.1066715066819866E-2</v>
      </c>
      <c r="G36">
        <f t="shared" si="19"/>
        <v>64</v>
      </c>
      <c r="H36">
        <f t="shared" si="3"/>
        <v>5.9648131099999998E-3</v>
      </c>
      <c r="I36">
        <f>Lapses!B15</f>
        <v>9.9699999999999997E-3</v>
      </c>
      <c r="J36">
        <f t="shared" si="4"/>
        <v>0.99403518689000003</v>
      </c>
      <c r="K36">
        <f t="shared" si="20"/>
        <v>0.95057350395472706</v>
      </c>
      <c r="M36">
        <v>14</v>
      </c>
      <c r="N36">
        <f t="shared" si="5"/>
        <v>9283.8010758344608</v>
      </c>
      <c r="O36">
        <f t="shared" si="21"/>
        <v>300</v>
      </c>
      <c r="P36">
        <f>VLOOKUP(A36,Table1[#All],4,FALSE)</f>
        <v>594594.59459999995</v>
      </c>
      <c r="Q36">
        <f t="shared" si="6"/>
        <v>4967.5605844849142</v>
      </c>
      <c r="S36">
        <v>14</v>
      </c>
      <c r="T36">
        <f t="shared" si="7"/>
        <v>4967.5605844849142</v>
      </c>
      <c r="U36">
        <f t="shared" si="8"/>
        <v>5910.4794896699477</v>
      </c>
      <c r="W36">
        <v>14</v>
      </c>
      <c r="X36">
        <f t="shared" si="9"/>
        <v>9283.8010758344608</v>
      </c>
      <c r="Y36">
        <f t="shared" si="10"/>
        <v>-300</v>
      </c>
      <c r="Z36">
        <f t="shared" si="11"/>
        <v>-3546.6456330052147</v>
      </c>
      <c r="AA36">
        <f>0</f>
        <v>0</v>
      </c>
      <c r="AB36">
        <f t="shared" si="12"/>
        <v>544.39139379234075</v>
      </c>
      <c r="AC36">
        <f t="shared" si="13"/>
        <v>-5910.4794896699477</v>
      </c>
      <c r="AD36">
        <f t="shared" si="14"/>
        <v>71.067346951638683</v>
      </c>
      <c r="AE36">
        <f t="shared" si="15"/>
        <v>-4722.0314709012173</v>
      </c>
      <c r="AF36">
        <f t="shared" si="22"/>
        <v>0</v>
      </c>
      <c r="AG36">
        <f t="shared" si="16"/>
        <v>0.43882815026117428</v>
      </c>
      <c r="AH36">
        <f t="shared" si="17"/>
        <v>0</v>
      </c>
      <c r="AI36">
        <f t="shared" si="23"/>
        <v>4107.2998047277169</v>
      </c>
    </row>
    <row r="37" spans="1:35" x14ac:dyDescent="0.2">
      <c r="A37">
        <f t="shared" si="18"/>
        <v>65</v>
      </c>
      <c r="B37">
        <f>VLOOKUP(A37,Table22[#All],2,FALSE)</f>
        <v>6.4029118839999998E-3</v>
      </c>
      <c r="C37">
        <f t="shared" si="0"/>
        <v>0.993597088116</v>
      </c>
      <c r="D37">
        <f t="shared" si="1"/>
        <v>3.7815986984657615E-2</v>
      </c>
      <c r="E37">
        <f t="shared" si="2"/>
        <v>3.7815986984657615E-2</v>
      </c>
      <c r="G37">
        <f t="shared" si="19"/>
        <v>65</v>
      </c>
      <c r="H37">
        <f t="shared" si="3"/>
        <v>6.4029118839999998E-3</v>
      </c>
      <c r="I37">
        <f>Lapses!B16</f>
        <v>1.0149999999999999E-2</v>
      </c>
      <c r="J37">
        <f t="shared" si="4"/>
        <v>0.993597088116</v>
      </c>
      <c r="K37">
        <f t="shared" si="20"/>
        <v>0.94490351065631928</v>
      </c>
      <c r="M37">
        <v>15</v>
      </c>
      <c r="N37">
        <f t="shared" si="5"/>
        <v>9283.8010758344608</v>
      </c>
      <c r="O37">
        <f t="shared" si="21"/>
        <v>300</v>
      </c>
      <c r="P37">
        <f>VLOOKUP(A37,Table1[#All],4,FALSE)</f>
        <v>594594.59459999995</v>
      </c>
      <c r="Q37">
        <f t="shared" si="6"/>
        <v>5114.5086974019277</v>
      </c>
      <c r="S37">
        <v>15</v>
      </c>
      <c r="T37">
        <f t="shared" si="7"/>
        <v>5114.5086974019277</v>
      </c>
      <c r="U37">
        <f t="shared" si="8"/>
        <v>5907.8745780407344</v>
      </c>
      <c r="W37">
        <v>15</v>
      </c>
      <c r="X37">
        <f t="shared" si="9"/>
        <v>9283.8010758344608</v>
      </c>
      <c r="Y37">
        <f t="shared" si="10"/>
        <v>-300</v>
      </c>
      <c r="Z37">
        <f t="shared" si="11"/>
        <v>-3807.1367959265017</v>
      </c>
      <c r="AA37">
        <f>0</f>
        <v>0</v>
      </c>
      <c r="AB37">
        <f t="shared" si="12"/>
        <v>544.39139379234075</v>
      </c>
      <c r="AC37">
        <f t="shared" si="13"/>
        <v>-5907.8745780407344</v>
      </c>
      <c r="AD37">
        <f t="shared" si="14"/>
        <v>-186.81890434043453</v>
      </c>
      <c r="AE37">
        <f t="shared" si="15"/>
        <v>-4832.71722345736</v>
      </c>
      <c r="AF37">
        <f t="shared" si="22"/>
        <v>0</v>
      </c>
      <c r="AG37">
        <f t="shared" si="16"/>
        <v>0.41375579061714701</v>
      </c>
      <c r="AH37">
        <f t="shared" si="17"/>
        <v>0</v>
      </c>
      <c r="AI37">
        <f t="shared" si="23"/>
        <v>3849.5305276233839</v>
      </c>
    </row>
    <row r="38" spans="1:35" x14ac:dyDescent="0.2">
      <c r="A38">
        <f t="shared" si="18"/>
        <v>66</v>
      </c>
      <c r="B38">
        <f>VLOOKUP(A38,Table22[#All],2,FALSE)</f>
        <v>6.9089710920000004E-3</v>
      </c>
      <c r="C38">
        <f t="shared" si="0"/>
        <v>0.99309102890800005</v>
      </c>
      <c r="D38">
        <f t="shared" si="1"/>
        <v>3.3921808816766562E-2</v>
      </c>
      <c r="E38">
        <f t="shared" si="2"/>
        <v>3.3921808816766562E-2</v>
      </c>
      <c r="G38">
        <f t="shared" si="19"/>
        <v>66</v>
      </c>
      <c r="H38">
        <f t="shared" si="3"/>
        <v>6.9089710920000004E-3</v>
      </c>
      <c r="I38">
        <f>Lapses!B17</f>
        <v>9.9600000000000001E-3</v>
      </c>
      <c r="J38">
        <f t="shared" si="4"/>
        <v>0.99309102890800005</v>
      </c>
      <c r="K38">
        <f t="shared" si="20"/>
        <v>0.93885337673870461</v>
      </c>
      <c r="M38">
        <v>16</v>
      </c>
      <c r="N38">
        <f t="shared" si="5"/>
        <v>9283.8010758344608</v>
      </c>
      <c r="O38">
        <f t="shared" si="21"/>
        <v>300</v>
      </c>
      <c r="P38">
        <f>VLOOKUP(A38,Table1[#All],4,FALSE)</f>
        <v>594594.59459999995</v>
      </c>
      <c r="Q38">
        <f t="shared" si="6"/>
        <v>4974.0884409171904</v>
      </c>
      <c r="S38">
        <v>16</v>
      </c>
      <c r="T38">
        <f t="shared" si="7"/>
        <v>4974.0884409171904</v>
      </c>
      <c r="U38">
        <f t="shared" si="8"/>
        <v>5904.8655773444916</v>
      </c>
      <c r="W38">
        <v>16</v>
      </c>
      <c r="X38">
        <f t="shared" si="9"/>
        <v>9283.8010758344608</v>
      </c>
      <c r="Y38">
        <f t="shared" si="10"/>
        <v>-300</v>
      </c>
      <c r="Z38">
        <f t="shared" si="11"/>
        <v>-4108.0368655508591</v>
      </c>
      <c r="AA38">
        <f>0</f>
        <v>0</v>
      </c>
      <c r="AB38">
        <f t="shared" si="12"/>
        <v>544.39139379234075</v>
      </c>
      <c r="AC38">
        <f t="shared" si="13"/>
        <v>-5904.8655773444916</v>
      </c>
      <c r="AD38">
        <f t="shared" si="14"/>
        <v>-484.70997326854922</v>
      </c>
      <c r="AE38">
        <f t="shared" si="15"/>
        <v>-4669.939728952063</v>
      </c>
      <c r="AF38">
        <f t="shared" si="22"/>
        <v>0</v>
      </c>
      <c r="AG38">
        <f t="shared" si="16"/>
        <v>0.39011593528658578</v>
      </c>
      <c r="AH38">
        <f t="shared" si="17"/>
        <v>0</v>
      </c>
      <c r="AI38">
        <f t="shared" si="23"/>
        <v>3606.3484272162218</v>
      </c>
    </row>
    <row r="39" spans="1:35" x14ac:dyDescent="0.2">
      <c r="A39">
        <f t="shared" si="18"/>
        <v>67</v>
      </c>
      <c r="B39">
        <f>VLOOKUP(A39,Table22[#All],2,FALSE)</f>
        <v>7.4952438190000002E-3</v>
      </c>
      <c r="C39">
        <f t="shared" si="0"/>
        <v>0.99250475618099998</v>
      </c>
      <c r="D39">
        <f t="shared" si="1"/>
        <v>2.927062749282882E-2</v>
      </c>
      <c r="E39">
        <f t="shared" si="2"/>
        <v>2.927062749282882E-2</v>
      </c>
      <c r="G39">
        <f t="shared" si="19"/>
        <v>67</v>
      </c>
      <c r="H39">
        <f t="shared" si="3"/>
        <v>7.4952438190000002E-3</v>
      </c>
      <c r="I39">
        <f>Lapses!B18</f>
        <v>9.9399999999999992E-3</v>
      </c>
      <c r="J39">
        <f t="shared" si="4"/>
        <v>0.99250475618099998</v>
      </c>
      <c r="K39">
        <f t="shared" si="20"/>
        <v>0.93236686589919038</v>
      </c>
      <c r="M39">
        <v>17</v>
      </c>
      <c r="N39">
        <f t="shared" si="5"/>
        <v>9283.8010758344608</v>
      </c>
      <c r="O39">
        <f t="shared" si="21"/>
        <v>300</v>
      </c>
      <c r="P39">
        <f>VLOOKUP(A39,Table1[#All],4,FALSE)</f>
        <v>594594.59459999995</v>
      </c>
      <c r="Q39">
        <f t="shared" si="6"/>
        <v>4479.2577856432035</v>
      </c>
      <c r="S39">
        <v>17</v>
      </c>
      <c r="T39">
        <f t="shared" si="7"/>
        <v>4479.2577856432035</v>
      </c>
      <c r="U39">
        <f t="shared" si="8"/>
        <v>5901.3796314001356</v>
      </c>
      <c r="W39">
        <v>17</v>
      </c>
      <c r="X39">
        <f t="shared" si="9"/>
        <v>9283.8010758344608</v>
      </c>
      <c r="Y39">
        <f t="shared" si="10"/>
        <v>-300</v>
      </c>
      <c r="Z39">
        <f t="shared" si="11"/>
        <v>-4456.6314599864609</v>
      </c>
      <c r="AA39">
        <f>0</f>
        <v>0</v>
      </c>
      <c r="AB39">
        <f t="shared" si="12"/>
        <v>544.39139379234075</v>
      </c>
      <c r="AC39">
        <f t="shared" si="13"/>
        <v>-5901.3796314001356</v>
      </c>
      <c r="AD39">
        <f t="shared" si="14"/>
        <v>-829.81862175979495</v>
      </c>
      <c r="AE39">
        <f t="shared" si="15"/>
        <v>-4176.3115431547012</v>
      </c>
      <c r="AF39">
        <f t="shared" si="22"/>
        <v>0</v>
      </c>
      <c r="AG39">
        <f t="shared" si="16"/>
        <v>0.36782673841863195</v>
      </c>
      <c r="AH39">
        <f t="shared" si="17"/>
        <v>0</v>
      </c>
      <c r="AI39">
        <f t="shared" si="23"/>
        <v>3376.807845189931</v>
      </c>
    </row>
    <row r="40" spans="1:35" x14ac:dyDescent="0.2">
      <c r="A40">
        <f t="shared" si="18"/>
        <v>68</v>
      </c>
      <c r="B40">
        <f>VLOOKUP(A40,Table22[#All],2,FALSE)</f>
        <v>8.173983147E-3</v>
      </c>
      <c r="C40">
        <f t="shared" si="0"/>
        <v>0.99182601685299998</v>
      </c>
      <c r="D40">
        <f t="shared" si="1"/>
        <v>2.3726935051298827E-2</v>
      </c>
      <c r="E40">
        <f t="shared" si="2"/>
        <v>2.3726935051298827E-2</v>
      </c>
      <c r="G40">
        <f t="shared" si="19"/>
        <v>68</v>
      </c>
      <c r="H40">
        <f t="shared" si="3"/>
        <v>8.173983147E-3</v>
      </c>
      <c r="I40">
        <f>Lapses!B19</f>
        <v>9.8499999999999994E-3</v>
      </c>
      <c r="J40">
        <f t="shared" si="4"/>
        <v>0.99182601685299998</v>
      </c>
      <c r="K40">
        <f t="shared" si="20"/>
        <v>0.92537854891051907</v>
      </c>
      <c r="M40">
        <v>18</v>
      </c>
      <c r="N40">
        <f t="shared" si="5"/>
        <v>9283.8010758344608</v>
      </c>
      <c r="O40">
        <f t="shared" si="21"/>
        <v>300</v>
      </c>
      <c r="P40">
        <f>VLOOKUP(A40,Table1[#All],4,FALSE)</f>
        <v>594594.59459999995</v>
      </c>
      <c r="Q40">
        <f t="shared" si="6"/>
        <v>3550.3502629195591</v>
      </c>
      <c r="S40">
        <v>18</v>
      </c>
      <c r="T40">
        <f t="shared" si="7"/>
        <v>3550.3502629195591</v>
      </c>
      <c r="U40">
        <f t="shared" si="8"/>
        <v>5897.3438840444223</v>
      </c>
      <c r="W40">
        <v>18</v>
      </c>
      <c r="X40">
        <f t="shared" si="9"/>
        <v>9283.8010758344608</v>
      </c>
      <c r="Y40">
        <f t="shared" si="10"/>
        <v>-300</v>
      </c>
      <c r="Z40">
        <f t="shared" si="11"/>
        <v>-4860.2061955576964</v>
      </c>
      <c r="AA40">
        <f>0</f>
        <v>0</v>
      </c>
      <c r="AB40">
        <f t="shared" si="12"/>
        <v>544.39139379234075</v>
      </c>
      <c r="AC40">
        <f t="shared" si="13"/>
        <v>-5897.3438840444223</v>
      </c>
      <c r="AD40">
        <f t="shared" si="14"/>
        <v>-1229.3576099753172</v>
      </c>
      <c r="AE40">
        <f t="shared" si="15"/>
        <v>-3285.4179744245816</v>
      </c>
      <c r="AF40">
        <f t="shared" si="22"/>
        <v>0</v>
      </c>
      <c r="AG40">
        <f t="shared" si="16"/>
        <v>0.34681103040894135</v>
      </c>
      <c r="AH40">
        <f t="shared" si="17"/>
        <v>0</v>
      </c>
      <c r="AI40">
        <f t="shared" si="23"/>
        <v>3160.0106798909678</v>
      </c>
    </row>
    <row r="41" spans="1:35" x14ac:dyDescent="0.2">
      <c r="A41">
        <f t="shared" si="18"/>
        <v>69</v>
      </c>
      <c r="B41">
        <f>VLOOKUP(A41,Table22[#All],2,FALSE)</f>
        <v>8.9574421590000002E-3</v>
      </c>
      <c r="C41">
        <f t="shared" si="0"/>
        <v>0.99104255784100004</v>
      </c>
      <c r="D41">
        <f t="shared" si="1"/>
        <v>1.7130759527273626E-2</v>
      </c>
      <c r="E41">
        <f t="shared" si="2"/>
        <v>1.7130759527273626E-2</v>
      </c>
      <c r="G41">
        <f t="shared" si="19"/>
        <v>69</v>
      </c>
      <c r="H41">
        <f t="shared" si="3"/>
        <v>8.9574421590000002E-3</v>
      </c>
      <c r="I41">
        <f>Lapses!B20</f>
        <v>9.8399999999999998E-3</v>
      </c>
      <c r="J41">
        <f t="shared" si="4"/>
        <v>0.99104255784100004</v>
      </c>
      <c r="K41">
        <f t="shared" si="20"/>
        <v>0.91781452024712917</v>
      </c>
      <c r="M41">
        <v>19</v>
      </c>
      <c r="N41">
        <f t="shared" si="5"/>
        <v>9283.8010758344608</v>
      </c>
      <c r="O41">
        <f t="shared" si="21"/>
        <v>300</v>
      </c>
      <c r="P41">
        <f>VLOOKUP(A41,Table1[#All],4,FALSE)</f>
        <v>594594.59459999995</v>
      </c>
      <c r="Q41">
        <f t="shared" si="6"/>
        <v>2093.7053840120548</v>
      </c>
      <c r="S41">
        <v>19</v>
      </c>
      <c r="T41">
        <f t="shared" si="7"/>
        <v>2093.7053840120548</v>
      </c>
      <c r="U41">
        <f t="shared" si="8"/>
        <v>5892.6854791081641</v>
      </c>
      <c r="W41">
        <v>19</v>
      </c>
      <c r="X41">
        <f t="shared" si="9"/>
        <v>9283.8010758344608</v>
      </c>
      <c r="Y41">
        <f t="shared" si="10"/>
        <v>-300</v>
      </c>
      <c r="Z41">
        <f t="shared" si="11"/>
        <v>-5326.0466891835531</v>
      </c>
      <c r="AA41">
        <f>0</f>
        <v>0</v>
      </c>
      <c r="AB41">
        <f t="shared" si="12"/>
        <v>544.39139379234075</v>
      </c>
      <c r="AC41">
        <f t="shared" si="13"/>
        <v>-5892.6854791081641</v>
      </c>
      <c r="AD41">
        <f t="shared" si="14"/>
        <v>-1690.5396986649157</v>
      </c>
      <c r="AE41">
        <f t="shared" si="15"/>
        <v>-1921.6332025658553</v>
      </c>
      <c r="AF41">
        <f t="shared" si="22"/>
        <v>0</v>
      </c>
      <c r="AG41">
        <f t="shared" si="16"/>
        <v>0.32699605072326376</v>
      </c>
      <c r="AH41">
        <f t="shared" si="17"/>
        <v>0</v>
      </c>
      <c r="AI41">
        <f t="shared" si="23"/>
        <v>2955.1100048832864</v>
      </c>
    </row>
    <row r="42" spans="1:35" x14ac:dyDescent="0.2">
      <c r="A42">
        <f t="shared" si="18"/>
        <v>70</v>
      </c>
      <c r="B42">
        <f>VLOOKUP(A42,Table22[#All],2,FALSE)</f>
        <v>9.8578739390000007E-3</v>
      </c>
      <c r="C42">
        <f t="shared" si="0"/>
        <v>0.99014212606100005</v>
      </c>
      <c r="D42">
        <f t="shared" si="1"/>
        <v>9.2946462596066193E-3</v>
      </c>
      <c r="E42">
        <f t="shared" si="2"/>
        <v>9.2946462596066193E-3</v>
      </c>
      <c r="G42">
        <f t="shared" si="19"/>
        <v>70</v>
      </c>
      <c r="H42">
        <f t="shared" si="3"/>
        <v>9.8578739390000007E-3</v>
      </c>
      <c r="I42">
        <f>Lapses!B21</f>
        <v>0</v>
      </c>
      <c r="J42">
        <f t="shared" si="4"/>
        <v>0.99014212606100005</v>
      </c>
      <c r="K42">
        <f t="shared" si="20"/>
        <v>0.90959324976932521</v>
      </c>
      <c r="M42">
        <v>20</v>
      </c>
      <c r="N42">
        <f t="shared" si="5"/>
        <v>9283.8010758344608</v>
      </c>
      <c r="O42">
        <f t="shared" si="21"/>
        <v>300</v>
      </c>
      <c r="P42">
        <f>VLOOKUP(A42,Table1[#All],4,FALSE)</f>
        <v>594594.59459999995</v>
      </c>
      <c r="Q42">
        <v>0</v>
      </c>
      <c r="S42">
        <v>20</v>
      </c>
      <c r="T42">
        <f t="shared" si="7"/>
        <v>0</v>
      </c>
      <c r="U42">
        <f t="shared" si="8"/>
        <v>5887.3315604162244</v>
      </c>
      <c r="W42">
        <v>20</v>
      </c>
      <c r="X42">
        <f t="shared" si="9"/>
        <v>9283.8010758344608</v>
      </c>
      <c r="Y42">
        <f t="shared" si="10"/>
        <v>-300</v>
      </c>
      <c r="Z42">
        <f t="shared" si="11"/>
        <v>-5861.4385583776102</v>
      </c>
      <c r="AA42">
        <f>0</f>
        <v>0</v>
      </c>
      <c r="AB42">
        <f t="shared" si="12"/>
        <v>544.39139379234075</v>
      </c>
      <c r="AC42">
        <f t="shared" si="13"/>
        <v>-5887.3315604162244</v>
      </c>
      <c r="AD42">
        <f t="shared" si="14"/>
        <v>-2220.5776491670331</v>
      </c>
      <c r="AE42">
        <f t="shared" si="15"/>
        <v>0</v>
      </c>
      <c r="AF42">
        <f t="shared" si="22"/>
        <v>0</v>
      </c>
      <c r="AG42">
        <f t="shared" si="16"/>
        <v>0.30831319598609441</v>
      </c>
      <c r="AH42">
        <f t="shared" si="17"/>
        <v>0</v>
      </c>
      <c r="AI42">
        <f t="shared" si="23"/>
        <v>2761.3125229856983</v>
      </c>
    </row>
  </sheetData>
  <mergeCells count="6">
    <mergeCell ref="AF21:AI21"/>
    <mergeCell ref="A21:E21"/>
    <mergeCell ref="G21:K21"/>
    <mergeCell ref="M21:Q21"/>
    <mergeCell ref="S21:U21"/>
    <mergeCell ref="W21:AE21"/>
  </mergeCells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793ADD-CF4B-F646-B7EF-3F2F5DFD5227}">
          <x14:formula1>
            <xm:f>'Female Lifetable'!$A$2:$A$71</xm:f>
          </x14:formula1>
          <xm:sqref>B2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72E45-E556-3245-9584-523670C537F2}">
  <sheetPr codeName="Sheet12"/>
  <dimension ref="A1:AJ44"/>
  <sheetViews>
    <sheetView zoomScale="102" workbookViewId="0">
      <selection activeCell="H12" sqref="H12"/>
    </sheetView>
  </sheetViews>
  <sheetFormatPr baseColWidth="10" defaultRowHeight="16" x14ac:dyDescent="0.2"/>
  <cols>
    <col min="1" max="1" width="22.5" customWidth="1"/>
    <col min="2" max="2" width="21.1640625" bestFit="1" customWidth="1"/>
  </cols>
  <sheetData>
    <row r="1" spans="1:2" ht="19" x14ac:dyDescent="0.25">
      <c r="A1" s="6" t="s">
        <v>18</v>
      </c>
      <c r="B1" s="8">
        <f>ROUNDDOWN(VLOOKUP(B2,Table2[#All],14,FALSE),0)</f>
        <v>4509</v>
      </c>
    </row>
    <row r="2" spans="1:2" ht="19" x14ac:dyDescent="0.25">
      <c r="A2" s="6" t="s">
        <v>0</v>
      </c>
      <c r="B2" s="8">
        <v>51</v>
      </c>
    </row>
    <row r="3" spans="1:2" ht="19" x14ac:dyDescent="0.25">
      <c r="A3" s="6" t="s">
        <v>13</v>
      </c>
      <c r="B3" s="8">
        <f>VLOOKUP(B2,Table2[#All],10,FALSE)</f>
        <v>5215</v>
      </c>
    </row>
    <row r="4" spans="1:2" ht="19" x14ac:dyDescent="0.25">
      <c r="A4" s="6" t="s">
        <v>6</v>
      </c>
      <c r="B4" s="7">
        <v>6.0596999999999998E-2</v>
      </c>
    </row>
    <row r="5" spans="1:2" ht="19" x14ac:dyDescent="0.25">
      <c r="A5" s="6" t="s">
        <v>4</v>
      </c>
      <c r="B5" s="7">
        <f>(1+B4)^(-1)</f>
        <v>0.94286519761983112</v>
      </c>
    </row>
    <row r="6" spans="1:2" ht="19" x14ac:dyDescent="0.25">
      <c r="A6" s="6" t="s">
        <v>86</v>
      </c>
      <c r="B6" s="7">
        <v>0.01</v>
      </c>
    </row>
    <row r="7" spans="1:2" ht="19" x14ac:dyDescent="0.25">
      <c r="A7" s="6" t="s">
        <v>8</v>
      </c>
      <c r="B7" s="8" t="s">
        <v>9</v>
      </c>
    </row>
    <row r="8" spans="1:2" ht="19" x14ac:dyDescent="0.25">
      <c r="A8" s="6" t="s">
        <v>10</v>
      </c>
      <c r="B8" s="8" t="s">
        <v>49</v>
      </c>
    </row>
    <row r="9" spans="1:2" ht="19" x14ac:dyDescent="0.25">
      <c r="A9" s="6" t="s">
        <v>42</v>
      </c>
      <c r="B9" s="8">
        <f>SUM(AH25:AH44)/SUM(AI25:AI44)</f>
        <v>0.10000001623536713</v>
      </c>
    </row>
    <row r="10" spans="1:2" ht="19" x14ac:dyDescent="0.25">
      <c r="A10" s="6" t="s">
        <v>123</v>
      </c>
      <c r="B10" s="8">
        <v>9283.8010758344608</v>
      </c>
    </row>
    <row r="11" spans="1:2" ht="19" x14ac:dyDescent="0.25">
      <c r="A11" s="6" t="s">
        <v>85</v>
      </c>
      <c r="B11" s="8">
        <v>300</v>
      </c>
    </row>
    <row r="12" spans="1:2" ht="19" x14ac:dyDescent="0.25">
      <c r="A12" s="6" t="s">
        <v>109</v>
      </c>
      <c r="B12" s="29">
        <f>O25+NPV(B4,O26:O44)</f>
        <v>8546.8676631354847</v>
      </c>
    </row>
    <row r="13" spans="1:2" ht="19" x14ac:dyDescent="0.25">
      <c r="A13" s="6" t="s">
        <v>103</v>
      </c>
      <c r="B13" s="29">
        <f>B12*B1</f>
        <v>38537826.293077901</v>
      </c>
    </row>
    <row r="14" spans="1:2" ht="19" x14ac:dyDescent="0.25">
      <c r="A14" s="6" t="s">
        <v>120</v>
      </c>
      <c r="B14" s="8">
        <f>VLOOKUP('Female T20 (after)'!B2,Table3[#All],5,FALSE)</f>
        <v>0</v>
      </c>
    </row>
    <row r="15" spans="1:2" ht="19" x14ac:dyDescent="0.25">
      <c r="A15" s="6" t="s">
        <v>108</v>
      </c>
      <c r="B15" s="8">
        <f>B1-B14</f>
        <v>4509</v>
      </c>
    </row>
    <row r="16" spans="1:2" ht="19" x14ac:dyDescent="0.25">
      <c r="A16" s="6" t="s">
        <v>114</v>
      </c>
      <c r="B16" s="8">
        <v>0.15</v>
      </c>
    </row>
    <row r="17" spans="1:36" ht="19" x14ac:dyDescent="0.25">
      <c r="A17" s="6" t="s">
        <v>113</v>
      </c>
      <c r="B17" s="37">
        <f>SUM(AI25:AI44)*B14+SUM(AJ25:AJ44)*B15</f>
        <v>570806314.55329716</v>
      </c>
    </row>
    <row r="18" spans="1:36" ht="19" x14ac:dyDescent="0.25">
      <c r="A18" s="6" t="s">
        <v>107</v>
      </c>
      <c r="B18" s="37">
        <f>ROUND(B17-B13,0)</f>
        <v>532268488</v>
      </c>
    </row>
    <row r="19" spans="1:36" ht="19" x14ac:dyDescent="0.25">
      <c r="A19" s="6" t="s">
        <v>115</v>
      </c>
      <c r="B19" s="37">
        <f>ROUND(B18-'Female T20 (before)'!B16,0)</f>
        <v>-261448252</v>
      </c>
    </row>
    <row r="20" spans="1:36" ht="19" x14ac:dyDescent="0.25">
      <c r="A20" s="6" t="s">
        <v>124</v>
      </c>
      <c r="B20" s="57">
        <f>B19/'Female T20 (before)'!B16</f>
        <v>-0.32939742709722869</v>
      </c>
    </row>
    <row r="21" spans="1:36" ht="19" x14ac:dyDescent="0.25">
      <c r="A21" s="6" t="s">
        <v>137</v>
      </c>
      <c r="B21" s="29">
        <f>ROUND(B13-'Female T20 (before)'!B14,0)</f>
        <v>11244341</v>
      </c>
    </row>
    <row r="23" spans="1:36" ht="19" x14ac:dyDescent="0.25">
      <c r="A23" s="62" t="s">
        <v>66</v>
      </c>
      <c r="B23" s="62"/>
      <c r="C23" s="62"/>
      <c r="D23" s="62"/>
      <c r="E23" s="62"/>
      <c r="G23" s="62" t="s">
        <v>65</v>
      </c>
      <c r="H23" s="62"/>
      <c r="I23" s="62"/>
      <c r="J23" s="62"/>
      <c r="K23" s="62"/>
      <c r="M23" s="62" t="s">
        <v>67</v>
      </c>
      <c r="N23" s="62"/>
      <c r="O23" s="62"/>
      <c r="P23" s="62"/>
      <c r="Q23" s="62"/>
      <c r="S23" s="62" t="s">
        <v>46</v>
      </c>
      <c r="T23" s="62"/>
      <c r="U23" s="62"/>
      <c r="W23" s="62" t="s">
        <v>68</v>
      </c>
      <c r="X23" s="62"/>
      <c r="Y23" s="62"/>
      <c r="Z23" s="62"/>
      <c r="AA23" s="62"/>
      <c r="AB23" s="62"/>
      <c r="AC23" s="62"/>
      <c r="AD23" s="62"/>
      <c r="AE23" s="62"/>
      <c r="AF23" s="62" t="s">
        <v>69</v>
      </c>
      <c r="AG23" s="62"/>
      <c r="AH23" s="62"/>
      <c r="AI23" s="62"/>
    </row>
    <row r="24" spans="1:36" ht="19" x14ac:dyDescent="0.25">
      <c r="A24" s="11" t="s">
        <v>5</v>
      </c>
      <c r="B24" s="11" t="s">
        <v>1</v>
      </c>
      <c r="C24" s="11" t="s">
        <v>2</v>
      </c>
      <c r="D24" s="11" t="s">
        <v>3</v>
      </c>
      <c r="E24" s="12" t="s">
        <v>7</v>
      </c>
      <c r="G24" s="11" t="s">
        <v>5</v>
      </c>
      <c r="H24" s="14" t="s">
        <v>26</v>
      </c>
      <c r="I24" s="14" t="s">
        <v>47</v>
      </c>
      <c r="J24" s="14" t="s">
        <v>27</v>
      </c>
      <c r="K24" s="15" t="s">
        <v>28</v>
      </c>
      <c r="M24" s="11" t="s">
        <v>34</v>
      </c>
      <c r="N24" s="11" t="s">
        <v>12</v>
      </c>
      <c r="O24" s="11" t="s">
        <v>13</v>
      </c>
      <c r="P24" s="11" t="s">
        <v>14</v>
      </c>
      <c r="Q24" s="12" t="s">
        <v>35</v>
      </c>
      <c r="S24" s="14" t="s">
        <v>34</v>
      </c>
      <c r="T24" s="11" t="s">
        <v>16</v>
      </c>
      <c r="U24" s="12" t="s">
        <v>17</v>
      </c>
      <c r="W24" s="14" t="s">
        <v>34</v>
      </c>
      <c r="X24" s="11" t="s">
        <v>29</v>
      </c>
      <c r="Y24" s="11" t="s">
        <v>30</v>
      </c>
      <c r="Z24" s="11" t="s">
        <v>31</v>
      </c>
      <c r="AA24" s="11" t="s">
        <v>71</v>
      </c>
      <c r="AB24" s="11" t="s">
        <v>33</v>
      </c>
      <c r="AC24" s="11" t="s">
        <v>51</v>
      </c>
      <c r="AD24" s="11" t="s">
        <v>43</v>
      </c>
      <c r="AE24" s="11" t="s">
        <v>44</v>
      </c>
      <c r="AF24" s="11" t="s">
        <v>45</v>
      </c>
      <c r="AG24" s="11" t="s">
        <v>41</v>
      </c>
      <c r="AH24" s="11" t="s">
        <v>38</v>
      </c>
      <c r="AI24" s="12" t="s">
        <v>39</v>
      </c>
      <c r="AJ24" s="56" t="s">
        <v>147</v>
      </c>
    </row>
    <row r="25" spans="1:36" x14ac:dyDescent="0.2">
      <c r="A25">
        <f>B2</f>
        <v>51</v>
      </c>
      <c r="B25">
        <f>VLOOKUP(A25,Table22[#All],3,FALSE)</f>
        <v>1.7703861306689024E-3</v>
      </c>
      <c r="C25">
        <f>1-B25</f>
        <v>0.99822961386933107</v>
      </c>
      <c r="D25">
        <f>$B$5*(B25+C25*D26)</f>
        <v>3.7167866034301507E-2</v>
      </c>
      <c r="E25">
        <f>D25-PRODUCT(C25:C44)*E44*$B$5^(20)</f>
        <v>3.4988422038438535E-2</v>
      </c>
      <c r="G25">
        <f>B2</f>
        <v>51</v>
      </c>
      <c r="H25">
        <f>B25</f>
        <v>1.7703861306689024E-3</v>
      </c>
      <c r="I25">
        <f>Lapses!B2</f>
        <v>9.8600000000000007E-3</v>
      </c>
      <c r="J25">
        <f>1-H25</f>
        <v>0.99822961386933107</v>
      </c>
      <c r="K25">
        <f>1</f>
        <v>1</v>
      </c>
      <c r="M25">
        <v>1</v>
      </c>
      <c r="N25">
        <f>$B$10</f>
        <v>9283.8010758344608</v>
      </c>
      <c r="O25">
        <f>B3</f>
        <v>5215</v>
      </c>
      <c r="P25">
        <f>VLOOKUP(A25,Table1[#All],4,FALSE)</f>
        <v>652059.92509999999</v>
      </c>
      <c r="Q25">
        <f>ABS(MIN(AD26-Q26*J26,0))*$B$5</f>
        <v>0</v>
      </c>
      <c r="S25">
        <v>1</v>
      </c>
      <c r="T25">
        <f>Q25</f>
        <v>0</v>
      </c>
      <c r="U25">
        <f>P25*J25*$B$6</f>
        <v>6509.0552725223788</v>
      </c>
      <c r="W25">
        <v>1</v>
      </c>
      <c r="X25">
        <f>N25</f>
        <v>9283.8010758344608</v>
      </c>
      <c r="Y25">
        <f>-O25</f>
        <v>-5215</v>
      </c>
      <c r="Z25">
        <f>-P25*H25</f>
        <v>-1154.3978477620433</v>
      </c>
      <c r="AA25">
        <f>0</f>
        <v>0</v>
      </c>
      <c r="AB25">
        <f>SUM(X25:Y25)*$B$4</f>
        <v>246.55713879234082</v>
      </c>
      <c r="AC25">
        <f>-U25</f>
        <v>-6509.0552725223788</v>
      </c>
      <c r="AD25">
        <f>SUM(X25:AC25)</f>
        <v>-3348.0949056576201</v>
      </c>
      <c r="AE25">
        <f>-T25*K25</f>
        <v>0</v>
      </c>
      <c r="AF25">
        <f>SUM(AD25:AE25)</f>
        <v>-3348.0949056576201</v>
      </c>
      <c r="AG25">
        <f>$B$5^W25</f>
        <v>0.94286519761983112</v>
      </c>
      <c r="AH25">
        <f>AF25*AG25*K25</f>
        <v>-3156.8021648728218</v>
      </c>
      <c r="AI25">
        <f>B10</f>
        <v>9283.8010758344608</v>
      </c>
      <c r="AJ25">
        <f>AI25*1.15</f>
        <v>10676.371237209629</v>
      </c>
    </row>
    <row r="26" spans="1:36" x14ac:dyDescent="0.2">
      <c r="A26">
        <f>A25+1</f>
        <v>52</v>
      </c>
      <c r="B26">
        <f>VLOOKUP(A26,Table22[#All],3,FALSE)</f>
        <v>1.9239772870031804E-3</v>
      </c>
      <c r="C26">
        <f t="shared" ref="C26:C44" si="0">1-B26</f>
        <v>0.99807602271299678</v>
      </c>
      <c r="D26">
        <f t="shared" ref="D26:D44" si="1">$B$5*(B26+C26*D27)</f>
        <v>3.7716513874774253E-2</v>
      </c>
      <c r="E26">
        <f t="shared" ref="E26:E44" si="2">D26-PRODUCT(C26:C45)*E45*$B$5^(20)</f>
        <v>3.7716513874774253E-2</v>
      </c>
      <c r="G26">
        <f>G25+1</f>
        <v>52</v>
      </c>
      <c r="H26">
        <f t="shared" ref="H26:H44" si="3">B26</f>
        <v>1.9239772870031804E-3</v>
      </c>
      <c r="I26">
        <f>Lapses!B3</f>
        <v>9.92E-3</v>
      </c>
      <c r="J26">
        <f t="shared" ref="J26:J44" si="4">1-H26</f>
        <v>0.99807602271299678</v>
      </c>
      <c r="K26">
        <f>J25*K25</f>
        <v>0.99822961386933107</v>
      </c>
      <c r="M26">
        <v>2</v>
      </c>
      <c r="N26">
        <f t="shared" ref="N26:N44" si="5">$B$10</f>
        <v>9283.8010758344608</v>
      </c>
      <c r="O26">
        <f>$B$11</f>
        <v>300</v>
      </c>
      <c r="P26">
        <f>VLOOKUP(A26,Table1[#All],4,FALSE)</f>
        <v>631749.04940000002</v>
      </c>
      <c r="Q26">
        <f t="shared" ref="Q26:Q43" si="6">ABS(MIN(AD27-Q27*J27,0))*$B$5</f>
        <v>0</v>
      </c>
      <c r="S26">
        <v>2</v>
      </c>
      <c r="T26">
        <f t="shared" ref="T26:T44" si="7">Q26</f>
        <v>0</v>
      </c>
      <c r="U26">
        <f t="shared" ref="U26:U44" si="8">P26*J26*$B$6</f>
        <v>6305.335785778685</v>
      </c>
      <c r="W26">
        <v>2</v>
      </c>
      <c r="X26">
        <f t="shared" ref="X26:X44" si="9">N26</f>
        <v>9283.8010758344608</v>
      </c>
      <c r="Y26">
        <f t="shared" ref="Y26:Y44" si="10">-O26</f>
        <v>-300</v>
      </c>
      <c r="Z26">
        <f t="shared" ref="Z26:Z44" si="11">-P26*H26</f>
        <v>-1215.4708221314502</v>
      </c>
      <c r="AA26">
        <f>0</f>
        <v>0</v>
      </c>
      <c r="AB26">
        <f t="shared" ref="AB26:AB44" si="12">SUM(X26:Y26)*$B$4</f>
        <v>544.39139379234075</v>
      </c>
      <c r="AC26">
        <f t="shared" ref="AC26:AC44" si="13">-U26</f>
        <v>-6305.335785778685</v>
      </c>
      <c r="AD26">
        <f t="shared" ref="AD26:AD44" si="14">SUM(X26:AC26)</f>
        <v>2007.3858617166661</v>
      </c>
      <c r="AE26">
        <f t="shared" ref="AE26:AE44" si="15">-T26*K26</f>
        <v>0</v>
      </c>
      <c r="AF26">
        <f>MAX(AD26:AE26,0)</f>
        <v>2007.3858617166661</v>
      </c>
      <c r="AG26">
        <f t="shared" ref="AG26:AG44" si="16">$B$5^W26</f>
        <v>0.88899478088268324</v>
      </c>
      <c r="AH26">
        <f t="shared" ref="AH26:AH44" si="17">AF26*AG26*K26</f>
        <v>1781.3962018810917</v>
      </c>
      <c r="AI26">
        <f>$B$10*AG25*K26</f>
        <v>8737.87608598734</v>
      </c>
      <c r="AJ26">
        <f t="shared" ref="AJ26:AJ44" si="18">AI26*1.15</f>
        <v>10048.557498885441</v>
      </c>
    </row>
    <row r="27" spans="1:36" x14ac:dyDescent="0.2">
      <c r="A27">
        <f t="shared" ref="A27:A44" si="19">A26+1</f>
        <v>53</v>
      </c>
      <c r="B27">
        <f>VLOOKUP(A27,Table22[#All],3,FALSE)</f>
        <v>2.0851019384413721E-3</v>
      </c>
      <c r="C27">
        <f t="shared" si="0"/>
        <v>0.99791489806155864</v>
      </c>
      <c r="D27">
        <f t="shared" si="1"/>
        <v>3.8151446695950088E-2</v>
      </c>
      <c r="E27">
        <f t="shared" si="2"/>
        <v>3.8151446695950088E-2</v>
      </c>
      <c r="G27">
        <f t="shared" ref="G27:G44" si="20">G26+1</f>
        <v>53</v>
      </c>
      <c r="H27">
        <f t="shared" si="3"/>
        <v>2.0851019384413721E-3</v>
      </c>
      <c r="I27">
        <f>Lapses!B4</f>
        <v>9.9399999999999992E-3</v>
      </c>
      <c r="J27">
        <f t="shared" si="4"/>
        <v>0.99791489806155864</v>
      </c>
      <c r="K27">
        <f t="shared" ref="K27:K44" si="21">J26*K26</f>
        <v>0.99630904276503252</v>
      </c>
      <c r="M27">
        <v>3</v>
      </c>
      <c r="N27">
        <f t="shared" si="5"/>
        <v>9283.8010758344608</v>
      </c>
      <c r="O27">
        <f t="shared" ref="O27:O44" si="22">$B$11</f>
        <v>300</v>
      </c>
      <c r="P27">
        <f>VLOOKUP(A27,Table1[#All],4,FALSE)</f>
        <v>671535.58050000004</v>
      </c>
      <c r="Q27">
        <f t="shared" si="6"/>
        <v>0</v>
      </c>
      <c r="S27">
        <v>3</v>
      </c>
      <c r="T27">
        <f t="shared" si="7"/>
        <v>0</v>
      </c>
      <c r="U27">
        <f t="shared" si="8"/>
        <v>6701.3536035936713</v>
      </c>
      <c r="W27">
        <v>3</v>
      </c>
      <c r="X27">
        <f t="shared" si="9"/>
        <v>9283.8010758344608</v>
      </c>
      <c r="Y27">
        <f t="shared" si="10"/>
        <v>-300</v>
      </c>
      <c r="Z27">
        <f t="shared" si="11"/>
        <v>-1400.2201406329023</v>
      </c>
      <c r="AA27">
        <f>0</f>
        <v>0</v>
      </c>
      <c r="AB27">
        <f t="shared" si="12"/>
        <v>544.39139379234075</v>
      </c>
      <c r="AC27">
        <f t="shared" si="13"/>
        <v>-6701.3536035936713</v>
      </c>
      <c r="AD27">
        <f t="shared" si="14"/>
        <v>1426.618725400228</v>
      </c>
      <c r="AE27">
        <f t="shared" si="15"/>
        <v>0</v>
      </c>
      <c r="AF27">
        <f t="shared" ref="AF27:AF44" si="23">MAX(AD27:AE27,0)</f>
        <v>1426.618725400228</v>
      </c>
      <c r="AG27">
        <f t="shared" si="16"/>
        <v>0.83820223975994956</v>
      </c>
      <c r="AH27">
        <f t="shared" si="17"/>
        <v>1191.3813826668847</v>
      </c>
      <c r="AI27">
        <f t="shared" ref="AI27:AI44" si="24">$B$10*AG26*K27</f>
        <v>8222.7883077750103</v>
      </c>
      <c r="AJ27">
        <f t="shared" si="18"/>
        <v>9456.2065539412615</v>
      </c>
    </row>
    <row r="28" spans="1:36" x14ac:dyDescent="0.2">
      <c r="A28">
        <f t="shared" si="19"/>
        <v>54</v>
      </c>
      <c r="B28">
        <f>VLOOKUP(A28,Table22[#All],3,FALSE)</f>
        <v>2.2534300227968684E-3</v>
      </c>
      <c r="C28">
        <f t="shared" si="0"/>
        <v>0.99774656997720312</v>
      </c>
      <c r="D28">
        <f t="shared" si="1"/>
        <v>3.8458397652437651E-2</v>
      </c>
      <c r="E28">
        <f t="shared" si="2"/>
        <v>3.8458397652437651E-2</v>
      </c>
      <c r="G28">
        <f t="shared" si="20"/>
        <v>54</v>
      </c>
      <c r="H28">
        <f t="shared" si="3"/>
        <v>2.2534300227968684E-3</v>
      </c>
      <c r="I28">
        <f>Lapses!B5</f>
        <v>1.0019999999999999E-2</v>
      </c>
      <c r="J28">
        <f t="shared" si="4"/>
        <v>0.99774656997720312</v>
      </c>
      <c r="K28">
        <f t="shared" si="21"/>
        <v>0.99423163684867644</v>
      </c>
      <c r="M28">
        <v>4</v>
      </c>
      <c r="N28">
        <f t="shared" si="5"/>
        <v>9283.8010758344608</v>
      </c>
      <c r="O28">
        <f t="shared" si="22"/>
        <v>300</v>
      </c>
      <c r="P28">
        <f>VLOOKUP(A28,Table1[#All],4,FALSE)</f>
        <v>650617.28399999999</v>
      </c>
      <c r="Q28">
        <f t="shared" si="6"/>
        <v>0</v>
      </c>
      <c r="S28">
        <v>4</v>
      </c>
      <c r="T28">
        <f t="shared" si="7"/>
        <v>0</v>
      </c>
      <c r="U28">
        <f t="shared" si="8"/>
        <v>6491.5116347888379</v>
      </c>
      <c r="W28">
        <v>4</v>
      </c>
      <c r="X28">
        <f t="shared" si="9"/>
        <v>9283.8010758344608</v>
      </c>
      <c r="Y28">
        <f t="shared" si="10"/>
        <v>-300</v>
      </c>
      <c r="Z28">
        <f t="shared" si="11"/>
        <v>-1466.1205211161566</v>
      </c>
      <c r="AA28">
        <f>0</f>
        <v>0</v>
      </c>
      <c r="AB28">
        <f t="shared" si="12"/>
        <v>544.39139379234075</v>
      </c>
      <c r="AC28">
        <f t="shared" si="13"/>
        <v>-6491.5116347888379</v>
      </c>
      <c r="AD28">
        <f t="shared" si="14"/>
        <v>1570.5603137218068</v>
      </c>
      <c r="AE28">
        <f t="shared" si="15"/>
        <v>0</v>
      </c>
      <c r="AF28">
        <f t="shared" si="23"/>
        <v>1570.5603137218068</v>
      </c>
      <c r="AG28">
        <f t="shared" si="16"/>
        <v>0.79031172043664999</v>
      </c>
      <c r="AH28">
        <f t="shared" si="17"/>
        <v>1234.072345366231</v>
      </c>
      <c r="AI28">
        <f t="shared" si="24"/>
        <v>7736.8151672454997</v>
      </c>
      <c r="AJ28">
        <f t="shared" si="18"/>
        <v>8897.3374423323239</v>
      </c>
    </row>
    <row r="29" spans="1:36" x14ac:dyDescent="0.2">
      <c r="A29">
        <f t="shared" si="19"/>
        <v>55</v>
      </c>
      <c r="B29">
        <f>VLOOKUP(A29,Table22[#All],3,FALSE)</f>
        <v>2.4286314764213773E-3</v>
      </c>
      <c r="C29">
        <f t="shared" si="0"/>
        <v>0.99757136852357864</v>
      </c>
      <c r="D29">
        <f t="shared" si="1"/>
        <v>3.8622464172506268E-2</v>
      </c>
      <c r="E29">
        <f t="shared" si="2"/>
        <v>3.8622464172506268E-2</v>
      </c>
      <c r="G29">
        <f t="shared" si="20"/>
        <v>55</v>
      </c>
      <c r="H29">
        <f t="shared" si="3"/>
        <v>2.4286314764213773E-3</v>
      </c>
      <c r="I29">
        <f>Lapses!B6</f>
        <v>9.8499999999999994E-3</v>
      </c>
      <c r="J29">
        <f t="shared" si="4"/>
        <v>0.99757136852357864</v>
      </c>
      <c r="K29">
        <f t="shared" si="21"/>
        <v>0.9919912054285871</v>
      </c>
      <c r="M29">
        <v>5</v>
      </c>
      <c r="N29">
        <f t="shared" si="5"/>
        <v>9283.8010758344608</v>
      </c>
      <c r="O29">
        <f t="shared" si="22"/>
        <v>300</v>
      </c>
      <c r="P29">
        <f>VLOOKUP(A29,Table1[#All],4,FALSE)</f>
        <v>630430.52839999995</v>
      </c>
      <c r="Q29">
        <f t="shared" si="6"/>
        <v>0</v>
      </c>
      <c r="S29">
        <v>5</v>
      </c>
      <c r="T29">
        <f t="shared" si="7"/>
        <v>0</v>
      </c>
      <c r="U29">
        <f t="shared" si="8"/>
        <v>6288.9944497503075</v>
      </c>
      <c r="W29">
        <v>5</v>
      </c>
      <c r="X29">
        <f t="shared" si="9"/>
        <v>9283.8010758344608</v>
      </c>
      <c r="Y29">
        <f t="shared" si="10"/>
        <v>-300</v>
      </c>
      <c r="Z29">
        <f t="shared" si="11"/>
        <v>-1531.0834249692009</v>
      </c>
      <c r="AA29">
        <f>0</f>
        <v>0</v>
      </c>
      <c r="AB29">
        <f t="shared" si="12"/>
        <v>544.39139379234075</v>
      </c>
      <c r="AC29">
        <f t="shared" si="13"/>
        <v>-6288.9944497503075</v>
      </c>
      <c r="AD29">
        <f t="shared" si="14"/>
        <v>1708.1145949072934</v>
      </c>
      <c r="AE29">
        <f t="shared" si="15"/>
        <v>0</v>
      </c>
      <c r="AF29">
        <f t="shared" si="23"/>
        <v>1708.1145949072934</v>
      </c>
      <c r="AG29">
        <f t="shared" si="16"/>
        <v>0.74515741647077072</v>
      </c>
      <c r="AH29">
        <f t="shared" si="17"/>
        <v>1262.6205506526264</v>
      </c>
      <c r="AI29">
        <f t="shared" si="24"/>
        <v>7278.3354994091051</v>
      </c>
      <c r="AJ29">
        <f t="shared" si="18"/>
        <v>8370.0858243204693</v>
      </c>
    </row>
    <row r="30" spans="1:36" x14ac:dyDescent="0.2">
      <c r="A30">
        <f t="shared" si="19"/>
        <v>56</v>
      </c>
      <c r="B30">
        <f>VLOOKUP(A30,Table22[#All],3,FALSE)</f>
        <v>2.6103762371282894E-3</v>
      </c>
      <c r="C30">
        <f t="shared" si="0"/>
        <v>0.99738962376287166</v>
      </c>
      <c r="D30">
        <f t="shared" si="1"/>
        <v>3.8628051459192875E-2</v>
      </c>
      <c r="E30">
        <f t="shared" si="2"/>
        <v>3.8628051459192875E-2</v>
      </c>
      <c r="G30">
        <f t="shared" si="20"/>
        <v>56</v>
      </c>
      <c r="H30">
        <f t="shared" si="3"/>
        <v>2.6103762371282894E-3</v>
      </c>
      <c r="I30">
        <f>Lapses!B7</f>
        <v>9.7599999999999996E-3</v>
      </c>
      <c r="J30">
        <f t="shared" si="4"/>
        <v>0.99738962376287166</v>
      </c>
      <c r="K30">
        <f t="shared" si="21"/>
        <v>0.98958202436275011</v>
      </c>
      <c r="M30">
        <v>6</v>
      </c>
      <c r="N30">
        <f t="shared" si="5"/>
        <v>9283.8010758344608</v>
      </c>
      <c r="O30">
        <f t="shared" si="22"/>
        <v>300</v>
      </c>
      <c r="P30">
        <f>VLOOKUP(A30,Table1[#All],4,FALSE)</f>
        <v>594594.59459999995</v>
      </c>
      <c r="Q30">
        <f t="shared" si="6"/>
        <v>0</v>
      </c>
      <c r="S30">
        <v>6</v>
      </c>
      <c r="T30">
        <f t="shared" si="7"/>
        <v>0</v>
      </c>
      <c r="U30">
        <f t="shared" si="8"/>
        <v>5930.4247899953116</v>
      </c>
      <c r="W30">
        <v>6</v>
      </c>
      <c r="X30">
        <f t="shared" si="9"/>
        <v>9283.8010758344608</v>
      </c>
      <c r="Y30">
        <f t="shared" si="10"/>
        <v>-300</v>
      </c>
      <c r="Z30">
        <f t="shared" si="11"/>
        <v>-1552.1156004687687</v>
      </c>
      <c r="AA30">
        <f>0</f>
        <v>0</v>
      </c>
      <c r="AB30">
        <f t="shared" si="12"/>
        <v>544.39139379234075</v>
      </c>
      <c r="AC30">
        <f t="shared" si="13"/>
        <v>-5930.4247899953116</v>
      </c>
      <c r="AD30">
        <f t="shared" si="14"/>
        <v>2045.6520791627208</v>
      </c>
      <c r="AE30">
        <f t="shared" si="15"/>
        <v>0</v>
      </c>
      <c r="AF30">
        <f t="shared" si="23"/>
        <v>2045.6520791627208</v>
      </c>
      <c r="AG30">
        <f t="shared" si="16"/>
        <v>0.70258299473859609</v>
      </c>
      <c r="AH30">
        <f t="shared" si="17"/>
        <v>1422.2672288746539</v>
      </c>
      <c r="AI30">
        <f t="shared" si="24"/>
        <v>6845.8227816213748</v>
      </c>
      <c r="AJ30">
        <f t="shared" si="18"/>
        <v>7872.6961988645808</v>
      </c>
    </row>
    <row r="31" spans="1:36" x14ac:dyDescent="0.2">
      <c r="A31">
        <f t="shared" si="19"/>
        <v>57</v>
      </c>
      <c r="B31">
        <f>VLOOKUP(A31,Table22[#All],3,FALSE)</f>
        <v>2.7983342412693135E-3</v>
      </c>
      <c r="C31">
        <f t="shared" si="0"/>
        <v>0.9972016657587307</v>
      </c>
      <c r="D31">
        <f t="shared" si="1"/>
        <v>3.8458811223262709E-2</v>
      </c>
      <c r="E31">
        <f t="shared" si="2"/>
        <v>3.8458811223262709E-2</v>
      </c>
      <c r="G31">
        <f t="shared" si="20"/>
        <v>57</v>
      </c>
      <c r="H31">
        <f t="shared" si="3"/>
        <v>2.7983342412693135E-3</v>
      </c>
      <c r="I31">
        <f>Lapses!B8</f>
        <v>1.026E-2</v>
      </c>
      <c r="J31">
        <f t="shared" si="4"/>
        <v>0.9972016657587307</v>
      </c>
      <c r="K31">
        <f t="shared" si="21"/>
        <v>0.98699884296166418</v>
      </c>
      <c r="M31">
        <v>7</v>
      </c>
      <c r="N31">
        <f t="shared" si="5"/>
        <v>9283.8010758344608</v>
      </c>
      <c r="O31">
        <f t="shared" si="22"/>
        <v>300</v>
      </c>
      <c r="P31">
        <f>VLOOKUP(A31,Table1[#All],4,FALSE)</f>
        <v>594594.59459999995</v>
      </c>
      <c r="Q31">
        <f t="shared" si="6"/>
        <v>0</v>
      </c>
      <c r="S31">
        <v>7</v>
      </c>
      <c r="T31">
        <f t="shared" si="7"/>
        <v>0</v>
      </c>
      <c r="U31">
        <f t="shared" si="8"/>
        <v>5929.3072018625717</v>
      </c>
      <c r="W31">
        <v>7</v>
      </c>
      <c r="X31">
        <f t="shared" si="9"/>
        <v>9283.8010758344608</v>
      </c>
      <c r="Y31">
        <f t="shared" si="10"/>
        <v>-300</v>
      </c>
      <c r="Z31">
        <f t="shared" si="11"/>
        <v>-1663.8744137428259</v>
      </c>
      <c r="AA31">
        <f>0</f>
        <v>0</v>
      </c>
      <c r="AB31">
        <f t="shared" si="12"/>
        <v>544.39139379234075</v>
      </c>
      <c r="AC31">
        <f t="shared" si="13"/>
        <v>-5929.3072018625717</v>
      </c>
      <c r="AD31">
        <f t="shared" si="14"/>
        <v>1935.0108540214042</v>
      </c>
      <c r="AE31">
        <f t="shared" si="15"/>
        <v>0</v>
      </c>
      <c r="AF31">
        <f t="shared" si="23"/>
        <v>1935.0108540214042</v>
      </c>
      <c r="AG31">
        <f t="shared" si="16"/>
        <v>0.66244105417853916</v>
      </c>
      <c r="AH31">
        <f t="shared" si="17"/>
        <v>1265.1653486678724</v>
      </c>
      <c r="AI31">
        <f t="shared" si="24"/>
        <v>6437.8388855603398</v>
      </c>
      <c r="AJ31">
        <f t="shared" si="18"/>
        <v>7403.51471839439</v>
      </c>
    </row>
    <row r="32" spans="1:36" x14ac:dyDescent="0.2">
      <c r="A32">
        <f t="shared" si="19"/>
        <v>58</v>
      </c>
      <c r="B32">
        <f>VLOOKUP(A32,Table22[#All],3,FALSE)</f>
        <v>2.9921754259269991E-3</v>
      </c>
      <c r="C32">
        <f t="shared" si="0"/>
        <v>0.997007824574073</v>
      </c>
      <c r="D32">
        <f t="shared" si="1"/>
        <v>3.8097575315203309E-2</v>
      </c>
      <c r="E32">
        <f t="shared" si="2"/>
        <v>3.8097575315203309E-2</v>
      </c>
      <c r="G32">
        <f t="shared" si="20"/>
        <v>58</v>
      </c>
      <c r="H32">
        <f t="shared" si="3"/>
        <v>2.9921754259269991E-3</v>
      </c>
      <c r="I32">
        <f>Lapses!B9</f>
        <v>9.9500000000000005E-3</v>
      </c>
      <c r="J32">
        <f t="shared" si="4"/>
        <v>0.997007824574073</v>
      </c>
      <c r="K32">
        <f t="shared" si="21"/>
        <v>0.98423689030331141</v>
      </c>
      <c r="M32">
        <v>8</v>
      </c>
      <c r="N32">
        <f t="shared" si="5"/>
        <v>9283.8010758344608</v>
      </c>
      <c r="O32">
        <f t="shared" si="22"/>
        <v>300</v>
      </c>
      <c r="P32">
        <f>VLOOKUP(A32,Table1[#All],4,FALSE)</f>
        <v>594594.59459999995</v>
      </c>
      <c r="Q32">
        <f t="shared" si="6"/>
        <v>0</v>
      </c>
      <c r="S32">
        <v>8</v>
      </c>
      <c r="T32">
        <f t="shared" si="7"/>
        <v>0</v>
      </c>
      <c r="U32">
        <f t="shared" si="8"/>
        <v>5928.1546326564885</v>
      </c>
      <c r="W32">
        <v>8</v>
      </c>
      <c r="X32">
        <f t="shared" si="9"/>
        <v>9283.8010758344608</v>
      </c>
      <c r="Y32">
        <f t="shared" si="10"/>
        <v>-300</v>
      </c>
      <c r="Z32">
        <f t="shared" si="11"/>
        <v>-1779.1313343511463</v>
      </c>
      <c r="AA32">
        <f>0</f>
        <v>0</v>
      </c>
      <c r="AB32">
        <f t="shared" si="12"/>
        <v>544.39139379234075</v>
      </c>
      <c r="AC32">
        <f t="shared" si="13"/>
        <v>-5928.1546326564885</v>
      </c>
      <c r="AD32">
        <f t="shared" si="14"/>
        <v>1820.9065026191665</v>
      </c>
      <c r="AE32">
        <f t="shared" si="15"/>
        <v>0</v>
      </c>
      <c r="AF32">
        <f t="shared" si="23"/>
        <v>1820.9065026191665</v>
      </c>
      <c r="AG32">
        <f t="shared" si="16"/>
        <v>0.62459261545953759</v>
      </c>
      <c r="AH32">
        <f t="shared" si="17"/>
        <v>1119.396980104704</v>
      </c>
      <c r="AI32">
        <f t="shared" si="24"/>
        <v>6053.0283044050675</v>
      </c>
      <c r="AJ32">
        <f t="shared" si="18"/>
        <v>6960.9825500658271</v>
      </c>
    </row>
    <row r="33" spans="1:36" x14ac:dyDescent="0.2">
      <c r="A33">
        <f t="shared" si="19"/>
        <v>59</v>
      </c>
      <c r="B33">
        <f>VLOOKUP(A33,Table22[#All],3,FALSE)</f>
        <v>3.1915697281838956E-3</v>
      </c>
      <c r="C33">
        <f t="shared" si="0"/>
        <v>0.99680843027181609</v>
      </c>
      <c r="D33">
        <f t="shared" si="1"/>
        <v>3.7526283885119097E-2</v>
      </c>
      <c r="E33">
        <f t="shared" si="2"/>
        <v>3.7526283885119097E-2</v>
      </c>
      <c r="G33">
        <f t="shared" si="20"/>
        <v>59</v>
      </c>
      <c r="H33">
        <f t="shared" si="3"/>
        <v>3.1915697281838956E-3</v>
      </c>
      <c r="I33">
        <f>Lapses!B10</f>
        <v>0.01</v>
      </c>
      <c r="J33">
        <f t="shared" si="4"/>
        <v>0.99680843027181609</v>
      </c>
      <c r="K33">
        <f t="shared" si="21"/>
        <v>0.98129188086685504</v>
      </c>
      <c r="M33">
        <v>9</v>
      </c>
      <c r="N33">
        <f t="shared" si="5"/>
        <v>9283.8010758344608</v>
      </c>
      <c r="O33">
        <f t="shared" si="22"/>
        <v>300</v>
      </c>
      <c r="P33">
        <f>VLOOKUP(A33,Table1[#All],4,FALSE)</f>
        <v>594594.59459999995</v>
      </c>
      <c r="Q33">
        <f t="shared" si="6"/>
        <v>0</v>
      </c>
      <c r="S33">
        <v>9</v>
      </c>
      <c r="T33">
        <f t="shared" si="7"/>
        <v>0</v>
      </c>
      <c r="U33">
        <f t="shared" si="8"/>
        <v>5926.9690449133286</v>
      </c>
      <c r="W33">
        <v>9</v>
      </c>
      <c r="X33">
        <f t="shared" si="9"/>
        <v>9283.8010758344608</v>
      </c>
      <c r="Y33">
        <f t="shared" si="10"/>
        <v>-300</v>
      </c>
      <c r="Z33">
        <f t="shared" si="11"/>
        <v>-1897.6901086671355</v>
      </c>
      <c r="AA33">
        <f>0</f>
        <v>0</v>
      </c>
      <c r="AB33">
        <f t="shared" si="12"/>
        <v>544.39139379234075</v>
      </c>
      <c r="AC33">
        <f t="shared" si="13"/>
        <v>-5926.9690449133286</v>
      </c>
      <c r="AD33">
        <f t="shared" si="14"/>
        <v>1703.5333160463379</v>
      </c>
      <c r="AE33">
        <f t="shared" si="15"/>
        <v>0</v>
      </c>
      <c r="AF33">
        <f t="shared" si="23"/>
        <v>1703.5333160463379</v>
      </c>
      <c r="AG33">
        <f t="shared" si="16"/>
        <v>0.58890663980714408</v>
      </c>
      <c r="AH33">
        <f t="shared" si="17"/>
        <v>984.45368274491193</v>
      </c>
      <c r="AI33">
        <f t="shared" si="24"/>
        <v>5690.1128155748002</v>
      </c>
      <c r="AJ33">
        <f t="shared" si="18"/>
        <v>6543.6297379110192</v>
      </c>
    </row>
    <row r="34" spans="1:36" x14ac:dyDescent="0.2">
      <c r="A34">
        <f t="shared" si="19"/>
        <v>60</v>
      </c>
      <c r="B34">
        <f>VLOOKUP(A34,Table22[#All],3,FALSE)</f>
        <v>3.3961870851225524E-3</v>
      </c>
      <c r="C34">
        <f t="shared" si="0"/>
        <v>0.99660381291487743</v>
      </c>
      <c r="D34">
        <f t="shared" si="1"/>
        <v>3.6725907676702807E-2</v>
      </c>
      <c r="E34">
        <f t="shared" si="2"/>
        <v>3.6725907676702807E-2</v>
      </c>
      <c r="G34">
        <f t="shared" si="20"/>
        <v>60</v>
      </c>
      <c r="H34">
        <f t="shared" si="3"/>
        <v>3.3961870851225524E-3</v>
      </c>
      <c r="I34">
        <f>Lapses!B11</f>
        <v>1.021E-2</v>
      </c>
      <c r="J34">
        <f t="shared" si="4"/>
        <v>0.99660381291487743</v>
      </c>
      <c r="K34">
        <f t="shared" si="21"/>
        <v>0.97816001940536779</v>
      </c>
      <c r="M34">
        <v>10</v>
      </c>
      <c r="N34">
        <f t="shared" si="5"/>
        <v>9283.8010758344608</v>
      </c>
      <c r="O34">
        <f t="shared" si="22"/>
        <v>300</v>
      </c>
      <c r="P34">
        <f>VLOOKUP(A34,Table1[#All],4,FALSE)</f>
        <v>594594.59459999995</v>
      </c>
      <c r="Q34">
        <f t="shared" si="6"/>
        <v>0</v>
      </c>
      <c r="S34">
        <v>10</v>
      </c>
      <c r="T34">
        <f t="shared" si="7"/>
        <v>0</v>
      </c>
      <c r="U34">
        <f t="shared" si="8"/>
        <v>5925.7524011693567</v>
      </c>
      <c r="W34">
        <v>10</v>
      </c>
      <c r="X34">
        <f t="shared" si="9"/>
        <v>9283.8010758344608</v>
      </c>
      <c r="Y34">
        <f t="shared" si="10"/>
        <v>-300</v>
      </c>
      <c r="Z34">
        <f t="shared" si="11"/>
        <v>-2019.3544830641995</v>
      </c>
      <c r="AA34">
        <f>0</f>
        <v>0</v>
      </c>
      <c r="AB34">
        <f t="shared" si="12"/>
        <v>544.39139379234075</v>
      </c>
      <c r="AC34">
        <f t="shared" si="13"/>
        <v>-5925.7524011693567</v>
      </c>
      <c r="AD34">
        <f t="shared" si="14"/>
        <v>1583.0855853932453</v>
      </c>
      <c r="AE34">
        <f t="shared" si="15"/>
        <v>0</v>
      </c>
      <c r="AF34">
        <f t="shared" si="23"/>
        <v>1583.0855853932453</v>
      </c>
      <c r="AG34">
        <f t="shared" si="16"/>
        <v>0.55525957532139369</v>
      </c>
      <c r="AH34">
        <f t="shared" si="17"/>
        <v>859.82557519287786</v>
      </c>
      <c r="AI34">
        <f t="shared" si="24"/>
        <v>5347.886542921261</v>
      </c>
      <c r="AJ34">
        <f t="shared" si="18"/>
        <v>6150.06952435945</v>
      </c>
    </row>
    <row r="35" spans="1:36" x14ac:dyDescent="0.2">
      <c r="A35">
        <f t="shared" si="19"/>
        <v>61</v>
      </c>
      <c r="B35">
        <f>VLOOKUP(A35,Table22[#All],3,FALSE)</f>
        <v>3.6072449520422449E-3</v>
      </c>
      <c r="C35">
        <f t="shared" si="0"/>
        <v>0.99639275504795777</v>
      </c>
      <c r="D35">
        <f t="shared" si="1"/>
        <v>3.567636402581402E-2</v>
      </c>
      <c r="E35">
        <f t="shared" si="2"/>
        <v>3.567636402581402E-2</v>
      </c>
      <c r="G35">
        <f t="shared" si="20"/>
        <v>61</v>
      </c>
      <c r="H35">
        <f t="shared" si="3"/>
        <v>3.6072449520422449E-3</v>
      </c>
      <c r="I35">
        <f>Lapses!B12</f>
        <v>9.9500000000000005E-3</v>
      </c>
      <c r="J35">
        <f t="shared" si="4"/>
        <v>0.99639275504795777</v>
      </c>
      <c r="K35">
        <f t="shared" si="21"/>
        <v>0.97483800498028006</v>
      </c>
      <c r="M35">
        <v>11</v>
      </c>
      <c r="N35">
        <f t="shared" si="5"/>
        <v>9283.8010758344608</v>
      </c>
      <c r="O35">
        <f t="shared" si="22"/>
        <v>300</v>
      </c>
      <c r="P35">
        <f>VLOOKUP(A35,Table1[#All],4,FALSE)</f>
        <v>594594.59459999995</v>
      </c>
      <c r="Q35">
        <f t="shared" si="6"/>
        <v>0</v>
      </c>
      <c r="S35">
        <v>11</v>
      </c>
      <c r="T35">
        <f t="shared" si="7"/>
        <v>0</v>
      </c>
      <c r="U35">
        <f t="shared" si="8"/>
        <v>5924.4974625011755</v>
      </c>
      <c r="W35">
        <v>11</v>
      </c>
      <c r="X35">
        <f t="shared" si="9"/>
        <v>9283.8010758344608</v>
      </c>
      <c r="Y35">
        <f t="shared" si="10"/>
        <v>-300</v>
      </c>
      <c r="Z35">
        <f t="shared" si="11"/>
        <v>-2144.8483498824548</v>
      </c>
      <c r="AA35">
        <f>0</f>
        <v>0</v>
      </c>
      <c r="AB35">
        <f t="shared" si="12"/>
        <v>544.39139379234075</v>
      </c>
      <c r="AC35">
        <f t="shared" si="13"/>
        <v>-5924.4974625011755</v>
      </c>
      <c r="AD35">
        <f t="shared" si="14"/>
        <v>1458.8466572431707</v>
      </c>
      <c r="AE35">
        <f t="shared" si="15"/>
        <v>0</v>
      </c>
      <c r="AF35">
        <f t="shared" si="23"/>
        <v>1458.8466572431707</v>
      </c>
      <c r="AG35">
        <f t="shared" si="16"/>
        <v>0.52353492921570932</v>
      </c>
      <c r="AH35">
        <f t="shared" si="17"/>
        <v>744.53952704080007</v>
      </c>
      <c r="AI35">
        <f t="shared" si="24"/>
        <v>5025.2113853909568</v>
      </c>
      <c r="AJ35">
        <f t="shared" si="18"/>
        <v>5778.9930931995996</v>
      </c>
    </row>
    <row r="36" spans="1:36" x14ac:dyDescent="0.2">
      <c r="A36">
        <f t="shared" si="19"/>
        <v>62</v>
      </c>
      <c r="B36">
        <f>VLOOKUP(A36,Table22[#All],3,FALSE)</f>
        <v>3.8321508600325082E-3</v>
      </c>
      <c r="C36">
        <f t="shared" si="0"/>
        <v>0.99616784913996748</v>
      </c>
      <c r="D36">
        <f t="shared" si="1"/>
        <v>3.4354926339259094E-2</v>
      </c>
      <c r="E36">
        <f t="shared" si="2"/>
        <v>3.4354926339259094E-2</v>
      </c>
      <c r="G36">
        <f t="shared" si="20"/>
        <v>62</v>
      </c>
      <c r="H36">
        <f t="shared" si="3"/>
        <v>3.8321508600325082E-3</v>
      </c>
      <c r="I36">
        <f>Lapses!B13</f>
        <v>0.01</v>
      </c>
      <c r="J36">
        <f t="shared" si="4"/>
        <v>0.99616784913996748</v>
      </c>
      <c r="K36">
        <f t="shared" si="21"/>
        <v>0.97132152550775608</v>
      </c>
      <c r="M36">
        <v>12</v>
      </c>
      <c r="N36">
        <f t="shared" si="5"/>
        <v>9283.8010758344608</v>
      </c>
      <c r="O36">
        <f t="shared" si="22"/>
        <v>300</v>
      </c>
      <c r="P36">
        <f>VLOOKUP(A36,Table1[#All],4,FALSE)</f>
        <v>594594.59459999995</v>
      </c>
      <c r="Q36">
        <f t="shared" si="6"/>
        <v>0</v>
      </c>
      <c r="S36">
        <v>12</v>
      </c>
      <c r="T36">
        <f t="shared" si="7"/>
        <v>0</v>
      </c>
      <c r="U36">
        <f t="shared" si="8"/>
        <v>5923.1601841293286</v>
      </c>
      <c r="W36">
        <v>12</v>
      </c>
      <c r="X36">
        <f t="shared" si="9"/>
        <v>9283.8010758344608</v>
      </c>
      <c r="Y36">
        <f t="shared" si="10"/>
        <v>-300</v>
      </c>
      <c r="Z36">
        <f t="shared" si="11"/>
        <v>-2278.5761870670704</v>
      </c>
      <c r="AA36">
        <f>0</f>
        <v>0</v>
      </c>
      <c r="AB36">
        <f t="shared" si="12"/>
        <v>544.39139379234075</v>
      </c>
      <c r="AC36">
        <f t="shared" si="13"/>
        <v>-5923.1601841293286</v>
      </c>
      <c r="AD36">
        <f t="shared" si="14"/>
        <v>1326.4560984304026</v>
      </c>
      <c r="AE36">
        <f t="shared" si="15"/>
        <v>0</v>
      </c>
      <c r="AF36">
        <f t="shared" si="23"/>
        <v>1326.4560984304026</v>
      </c>
      <c r="AG36">
        <f t="shared" si="16"/>
        <v>0.49362286449585413</v>
      </c>
      <c r="AH36">
        <f t="shared" si="17"/>
        <v>635.991281180226</v>
      </c>
      <c r="AI36">
        <f t="shared" si="24"/>
        <v>4721.0054497495839</v>
      </c>
      <c r="AJ36">
        <f t="shared" si="18"/>
        <v>5429.1562672120208</v>
      </c>
    </row>
    <row r="37" spans="1:36" x14ac:dyDescent="0.2">
      <c r="A37">
        <f t="shared" si="19"/>
        <v>63</v>
      </c>
      <c r="B37">
        <f>VLOOKUP(A37,Table22[#All],3,FALSE)</f>
        <v>4.0798598583996039E-3</v>
      </c>
      <c r="C37">
        <f t="shared" si="0"/>
        <v>0.99592014014160035</v>
      </c>
      <c r="D37">
        <f t="shared" si="1"/>
        <v>3.2730007276138791E-2</v>
      </c>
      <c r="E37">
        <f t="shared" si="2"/>
        <v>3.2730007276138791E-2</v>
      </c>
      <c r="G37">
        <f t="shared" si="20"/>
        <v>63</v>
      </c>
      <c r="H37">
        <f t="shared" si="3"/>
        <v>4.0798598583996039E-3</v>
      </c>
      <c r="I37">
        <f>Lapses!B14</f>
        <v>9.8799999999999999E-3</v>
      </c>
      <c r="J37">
        <f t="shared" si="4"/>
        <v>0.99592014014160035</v>
      </c>
      <c r="K37">
        <f t="shared" si="21"/>
        <v>0.96759927488841346</v>
      </c>
      <c r="M37">
        <v>13</v>
      </c>
      <c r="N37">
        <f t="shared" si="5"/>
        <v>9283.8010758344608</v>
      </c>
      <c r="O37">
        <f t="shared" si="22"/>
        <v>300</v>
      </c>
      <c r="P37">
        <f>VLOOKUP(A37,Table1[#All],4,FALSE)</f>
        <v>594594.59459999995</v>
      </c>
      <c r="Q37">
        <f t="shared" si="6"/>
        <v>0</v>
      </c>
      <c r="S37">
        <v>13</v>
      </c>
      <c r="T37">
        <f t="shared" si="7"/>
        <v>0</v>
      </c>
      <c r="U37">
        <f t="shared" si="8"/>
        <v>5921.6873198147005</v>
      </c>
      <c r="W37">
        <v>13</v>
      </c>
      <c r="X37">
        <f t="shared" si="9"/>
        <v>9283.8010758344608</v>
      </c>
      <c r="Y37">
        <f t="shared" si="10"/>
        <v>-300</v>
      </c>
      <c r="Z37">
        <f t="shared" si="11"/>
        <v>-2425.8626185299258</v>
      </c>
      <c r="AA37">
        <f>0</f>
        <v>0</v>
      </c>
      <c r="AB37">
        <f t="shared" si="12"/>
        <v>544.39139379234075</v>
      </c>
      <c r="AC37">
        <f t="shared" si="13"/>
        <v>-5921.6873198147005</v>
      </c>
      <c r="AD37">
        <f t="shared" si="14"/>
        <v>1180.6425312821757</v>
      </c>
      <c r="AE37">
        <f t="shared" si="15"/>
        <v>0</v>
      </c>
      <c r="AF37">
        <f t="shared" si="23"/>
        <v>1180.6425312821757</v>
      </c>
      <c r="AG37">
        <f t="shared" si="16"/>
        <v>0.46541981968255058</v>
      </c>
      <c r="AH37">
        <f t="shared" si="17"/>
        <v>531.69041591190705</v>
      </c>
      <c r="AI37">
        <f t="shared" si="24"/>
        <v>4434.213791529779</v>
      </c>
      <c r="AJ37">
        <f t="shared" si="18"/>
        <v>5099.3458602592455</v>
      </c>
    </row>
    <row r="38" spans="1:36" x14ac:dyDescent="0.2">
      <c r="A38">
        <f t="shared" si="19"/>
        <v>64</v>
      </c>
      <c r="B38">
        <f>VLOOKUP(A38,Table22[#All],3,FALSE)</f>
        <v>4.3593269957189545E-3</v>
      </c>
      <c r="C38">
        <f t="shared" si="0"/>
        <v>0.99564067300428105</v>
      </c>
      <c r="D38">
        <f t="shared" si="1"/>
        <v>3.0758979996424095E-2</v>
      </c>
      <c r="E38">
        <f t="shared" si="2"/>
        <v>3.0758979996424095E-2</v>
      </c>
      <c r="G38">
        <f t="shared" si="20"/>
        <v>64</v>
      </c>
      <c r="H38">
        <f t="shared" si="3"/>
        <v>4.3593269957189545E-3</v>
      </c>
      <c r="I38">
        <f>Lapses!B15</f>
        <v>9.9699999999999997E-3</v>
      </c>
      <c r="J38">
        <f t="shared" si="4"/>
        <v>0.99564067300428105</v>
      </c>
      <c r="K38">
        <f t="shared" si="21"/>
        <v>0.96365160544777961</v>
      </c>
      <c r="M38">
        <v>14</v>
      </c>
      <c r="N38">
        <f t="shared" si="5"/>
        <v>9283.8010758344608</v>
      </c>
      <c r="O38">
        <f t="shared" si="22"/>
        <v>300</v>
      </c>
      <c r="P38">
        <f>VLOOKUP(A38,Table1[#All],4,FALSE)</f>
        <v>594594.59459999995</v>
      </c>
      <c r="Q38">
        <f t="shared" si="6"/>
        <v>0</v>
      </c>
      <c r="S38">
        <v>14</v>
      </c>
      <c r="T38">
        <f t="shared" si="7"/>
        <v>0</v>
      </c>
      <c r="U38">
        <f t="shared" si="8"/>
        <v>5920.0256233225155</v>
      </c>
      <c r="W38">
        <v>14</v>
      </c>
      <c r="X38">
        <f t="shared" si="9"/>
        <v>9283.8010758344608</v>
      </c>
      <c r="Y38">
        <f t="shared" si="10"/>
        <v>-300</v>
      </c>
      <c r="Z38">
        <f t="shared" si="11"/>
        <v>-2592.0322677483473</v>
      </c>
      <c r="AA38">
        <f>0</f>
        <v>0</v>
      </c>
      <c r="AB38">
        <f t="shared" si="12"/>
        <v>544.39139379234075</v>
      </c>
      <c r="AC38">
        <f t="shared" si="13"/>
        <v>-5920.0256233225155</v>
      </c>
      <c r="AD38">
        <f t="shared" si="14"/>
        <v>1016.1345785559388</v>
      </c>
      <c r="AE38">
        <f t="shared" si="15"/>
        <v>0</v>
      </c>
      <c r="AF38">
        <f t="shared" si="23"/>
        <v>1016.1345785559388</v>
      </c>
      <c r="AG38">
        <f t="shared" si="16"/>
        <v>0.43882815026117428</v>
      </c>
      <c r="AH38">
        <f t="shared" si="17"/>
        <v>429.70040097586173</v>
      </c>
      <c r="AI38">
        <f t="shared" si="24"/>
        <v>4163.8085160321534</v>
      </c>
      <c r="AJ38">
        <f t="shared" si="18"/>
        <v>4788.3797934369759</v>
      </c>
    </row>
    <row r="39" spans="1:36" x14ac:dyDescent="0.2">
      <c r="A39">
        <f t="shared" si="19"/>
        <v>65</v>
      </c>
      <c r="B39">
        <f>VLOOKUP(A39,Table22[#All],3,FALSE)</f>
        <v>4.6795073227585016E-3</v>
      </c>
      <c r="C39">
        <f t="shared" si="0"/>
        <v>0.99532049267724154</v>
      </c>
      <c r="D39">
        <f t="shared" si="1"/>
        <v>2.8387304454191305E-2</v>
      </c>
      <c r="E39">
        <f t="shared" si="2"/>
        <v>2.8387304454191305E-2</v>
      </c>
      <c r="G39">
        <f t="shared" si="20"/>
        <v>65</v>
      </c>
      <c r="H39">
        <f t="shared" si="3"/>
        <v>4.6795073227585016E-3</v>
      </c>
      <c r="I39">
        <f>Lapses!B16</f>
        <v>1.0149999999999999E-2</v>
      </c>
      <c r="J39">
        <f t="shared" si="4"/>
        <v>0.99532049267724154</v>
      </c>
      <c r="K39">
        <f t="shared" si="21"/>
        <v>0.9594507329896832</v>
      </c>
      <c r="M39">
        <v>15</v>
      </c>
      <c r="N39">
        <f t="shared" si="5"/>
        <v>9283.8010758344608</v>
      </c>
      <c r="O39">
        <f t="shared" si="22"/>
        <v>300</v>
      </c>
      <c r="P39">
        <f>VLOOKUP(A39,Table1[#All],4,FALSE)</f>
        <v>594594.59459999995</v>
      </c>
      <c r="Q39">
        <f t="shared" si="6"/>
        <v>128.33065176744373</v>
      </c>
      <c r="S39">
        <v>15</v>
      </c>
      <c r="T39">
        <f t="shared" si="7"/>
        <v>128.33065176744373</v>
      </c>
      <c r="U39">
        <f t="shared" si="8"/>
        <v>5918.1218484049668</v>
      </c>
      <c r="W39">
        <v>15</v>
      </c>
      <c r="X39">
        <f t="shared" si="9"/>
        <v>9283.8010758344608</v>
      </c>
      <c r="Y39">
        <f t="shared" si="10"/>
        <v>-300</v>
      </c>
      <c r="Z39">
        <f t="shared" si="11"/>
        <v>-2782.4097595033222</v>
      </c>
      <c r="AA39">
        <f>0</f>
        <v>0</v>
      </c>
      <c r="AB39">
        <f t="shared" si="12"/>
        <v>544.39139379234075</v>
      </c>
      <c r="AC39">
        <f t="shared" si="13"/>
        <v>-5918.1218484049668</v>
      </c>
      <c r="AD39">
        <f t="shared" si="14"/>
        <v>827.66086171851293</v>
      </c>
      <c r="AE39">
        <f t="shared" si="15"/>
        <v>-123.12693790331767</v>
      </c>
      <c r="AF39">
        <f t="shared" si="23"/>
        <v>827.66086171851293</v>
      </c>
      <c r="AG39">
        <f t="shared" si="16"/>
        <v>0.41375579061714701</v>
      </c>
      <c r="AH39">
        <f t="shared" si="17"/>
        <v>328.56339903620386</v>
      </c>
      <c r="AI39">
        <f t="shared" si="24"/>
        <v>3908.7958132666895</v>
      </c>
      <c r="AJ39">
        <f t="shared" si="18"/>
        <v>4495.1151852566927</v>
      </c>
    </row>
    <row r="40" spans="1:36" x14ac:dyDescent="0.2">
      <c r="A40">
        <f t="shared" si="19"/>
        <v>66</v>
      </c>
      <c r="B40">
        <f>VLOOKUP(A40,Table22[#All],3,FALSE)</f>
        <v>5.0493558873628266E-3</v>
      </c>
      <c r="C40">
        <f t="shared" si="0"/>
        <v>0.99495064411263723</v>
      </c>
      <c r="D40">
        <f t="shared" si="1"/>
        <v>2.5547532484784394E-2</v>
      </c>
      <c r="E40">
        <f t="shared" si="2"/>
        <v>2.5547532484784394E-2</v>
      </c>
      <c r="G40">
        <f t="shared" si="20"/>
        <v>66</v>
      </c>
      <c r="H40">
        <f t="shared" si="3"/>
        <v>5.0493558873628266E-3</v>
      </c>
      <c r="I40">
        <f>Lapses!B17</f>
        <v>9.9600000000000001E-3</v>
      </c>
      <c r="J40">
        <f t="shared" si="4"/>
        <v>0.99495064411263723</v>
      </c>
      <c r="K40">
        <f t="shared" si="21"/>
        <v>0.95496097625883203</v>
      </c>
      <c r="M40">
        <v>16</v>
      </c>
      <c r="N40">
        <f t="shared" si="5"/>
        <v>9283.8010758344608</v>
      </c>
      <c r="O40">
        <f t="shared" si="22"/>
        <v>300</v>
      </c>
      <c r="P40">
        <f>VLOOKUP(A40,Table1[#All],4,FALSE)</f>
        <v>594594.59459999995</v>
      </c>
      <c r="Q40">
        <f t="shared" si="6"/>
        <v>749.84333408370583</v>
      </c>
      <c r="S40">
        <v>16</v>
      </c>
      <c r="T40">
        <f t="shared" si="7"/>
        <v>749.84333408370583</v>
      </c>
      <c r="U40">
        <f t="shared" si="8"/>
        <v>5915.9227488316237</v>
      </c>
      <c r="W40">
        <v>16</v>
      </c>
      <c r="X40">
        <f t="shared" si="9"/>
        <v>9283.8010758344608</v>
      </c>
      <c r="Y40">
        <f t="shared" si="10"/>
        <v>-300</v>
      </c>
      <c r="Z40">
        <f t="shared" si="11"/>
        <v>-3002.3197168376228</v>
      </c>
      <c r="AA40">
        <f>0</f>
        <v>0</v>
      </c>
      <c r="AB40">
        <f t="shared" si="12"/>
        <v>544.39139379234075</v>
      </c>
      <c r="AC40">
        <f t="shared" si="13"/>
        <v>-5915.9227488316237</v>
      </c>
      <c r="AD40">
        <f t="shared" si="14"/>
        <v>609.95000395755505</v>
      </c>
      <c r="AE40">
        <f t="shared" si="15"/>
        <v>-716.07112235775321</v>
      </c>
      <c r="AF40">
        <f t="shared" si="23"/>
        <v>609.95000395755505</v>
      </c>
      <c r="AG40">
        <f t="shared" si="16"/>
        <v>0.39011593528658578</v>
      </c>
      <c r="AH40">
        <f t="shared" si="17"/>
        <v>227.23412579304576</v>
      </c>
      <c r="AI40">
        <f t="shared" si="24"/>
        <v>3668.221364604407</v>
      </c>
      <c r="AJ40">
        <f t="shared" si="18"/>
        <v>4218.4545692950678</v>
      </c>
    </row>
    <row r="41" spans="1:36" x14ac:dyDescent="0.2">
      <c r="A41">
        <f t="shared" si="19"/>
        <v>67</v>
      </c>
      <c r="B41">
        <f>VLOOKUP(A41,Table22[#All],3,FALSE)</f>
        <v>5.4778277402998694E-3</v>
      </c>
      <c r="C41">
        <f t="shared" si="0"/>
        <v>0.99452217225970008</v>
      </c>
      <c r="D41">
        <f t="shared" si="1"/>
        <v>2.2158164883710769E-2</v>
      </c>
      <c r="E41">
        <f t="shared" si="2"/>
        <v>2.2158164883710769E-2</v>
      </c>
      <c r="G41">
        <f t="shared" si="20"/>
        <v>67</v>
      </c>
      <c r="H41">
        <f t="shared" si="3"/>
        <v>5.4778277402998694E-3</v>
      </c>
      <c r="I41">
        <f>Lapses!B18</f>
        <v>9.9399999999999992E-3</v>
      </c>
      <c r="J41">
        <f t="shared" si="4"/>
        <v>0.99452217225970008</v>
      </c>
      <c r="K41">
        <f t="shared" si="21"/>
        <v>0.95013903843115777</v>
      </c>
      <c r="M41">
        <v>17</v>
      </c>
      <c r="N41">
        <f t="shared" si="5"/>
        <v>9283.8010758344608</v>
      </c>
      <c r="O41">
        <f t="shared" si="22"/>
        <v>300</v>
      </c>
      <c r="P41">
        <f>VLOOKUP(A41,Table1[#All],4,FALSE)</f>
        <v>594594.59459999995</v>
      </c>
      <c r="Q41">
        <f t="shared" si="6"/>
        <v>1159.3630081863869</v>
      </c>
      <c r="S41">
        <v>17</v>
      </c>
      <c r="T41">
        <f t="shared" si="7"/>
        <v>1159.3630081863869</v>
      </c>
      <c r="U41">
        <f t="shared" si="8"/>
        <v>5913.3750783546775</v>
      </c>
      <c r="W41">
        <v>17</v>
      </c>
      <c r="X41">
        <f t="shared" si="9"/>
        <v>9283.8010758344608</v>
      </c>
      <c r="Y41">
        <f t="shared" si="10"/>
        <v>-300</v>
      </c>
      <c r="Z41">
        <f t="shared" si="11"/>
        <v>-3257.0867645322346</v>
      </c>
      <c r="AA41">
        <f>0</f>
        <v>0</v>
      </c>
      <c r="AB41">
        <f t="shared" si="12"/>
        <v>544.39139379234075</v>
      </c>
      <c r="AC41">
        <f t="shared" si="13"/>
        <v>-5913.3750783546775</v>
      </c>
      <c r="AD41">
        <f t="shared" si="14"/>
        <v>357.73062673988989</v>
      </c>
      <c r="AE41">
        <f t="shared" si="15"/>
        <v>-1101.5560537908682</v>
      </c>
      <c r="AF41">
        <f t="shared" si="23"/>
        <v>357.73062673988989</v>
      </c>
      <c r="AG41">
        <f t="shared" si="16"/>
        <v>0.36782673841863195</v>
      </c>
      <c r="AH41">
        <f t="shared" si="17"/>
        <v>125.02204026142378</v>
      </c>
      <c r="AI41">
        <f t="shared" si="24"/>
        <v>3441.1743663812849</v>
      </c>
      <c r="AJ41">
        <f t="shared" si="18"/>
        <v>3957.3505213384774</v>
      </c>
    </row>
    <row r="42" spans="1:36" x14ac:dyDescent="0.2">
      <c r="A42">
        <f t="shared" si="19"/>
        <v>68</v>
      </c>
      <c r="B42">
        <f>VLOOKUP(A42,Table22[#All],3,FALSE)</f>
        <v>5.9738779301450528E-3</v>
      </c>
      <c r="C42">
        <f t="shared" si="0"/>
        <v>0.99402612206985497</v>
      </c>
      <c r="D42">
        <f t="shared" si="1"/>
        <v>1.8122326443379438E-2</v>
      </c>
      <c r="E42">
        <f t="shared" si="2"/>
        <v>1.8122326443379438E-2</v>
      </c>
      <c r="G42">
        <f t="shared" si="20"/>
        <v>68</v>
      </c>
      <c r="H42">
        <f t="shared" si="3"/>
        <v>5.9738779301450528E-3</v>
      </c>
      <c r="I42">
        <f>Lapses!B19</f>
        <v>9.8499999999999994E-3</v>
      </c>
      <c r="J42">
        <f t="shared" si="4"/>
        <v>0.99402612206985497</v>
      </c>
      <c r="K42">
        <f t="shared" si="21"/>
        <v>0.94493434044929769</v>
      </c>
      <c r="M42">
        <v>18</v>
      </c>
      <c r="N42">
        <f t="shared" si="5"/>
        <v>9283.8010758344608</v>
      </c>
      <c r="O42">
        <f t="shared" si="22"/>
        <v>300</v>
      </c>
      <c r="P42">
        <f>VLOOKUP(A42,Table1[#All],4,FALSE)</f>
        <v>594594.59459999995</v>
      </c>
      <c r="Q42">
        <f t="shared" si="6"/>
        <v>1303.1330389176519</v>
      </c>
      <c r="S42">
        <v>18</v>
      </c>
      <c r="T42">
        <f t="shared" si="7"/>
        <v>1303.1330389176519</v>
      </c>
      <c r="U42">
        <f t="shared" si="8"/>
        <v>5910.4255907393554</v>
      </c>
      <c r="W42">
        <v>18</v>
      </c>
      <c r="X42">
        <f t="shared" si="9"/>
        <v>9283.8010758344608</v>
      </c>
      <c r="Y42">
        <f t="shared" si="10"/>
        <v>-300</v>
      </c>
      <c r="Z42">
        <f t="shared" si="11"/>
        <v>-3552.0355260644847</v>
      </c>
      <c r="AA42">
        <f>0</f>
        <v>0</v>
      </c>
      <c r="AB42">
        <f t="shared" si="12"/>
        <v>544.39139379234075</v>
      </c>
      <c r="AC42">
        <f t="shared" si="13"/>
        <v>-5910.4255907393554</v>
      </c>
      <c r="AD42">
        <f t="shared" si="14"/>
        <v>65.731352822961526</v>
      </c>
      <c r="AE42">
        <f t="shared" si="15"/>
        <v>-1231.3751586473404</v>
      </c>
      <c r="AF42">
        <f t="shared" si="23"/>
        <v>65.731352822961526</v>
      </c>
      <c r="AG42">
        <f t="shared" si="16"/>
        <v>0.34681103040894135</v>
      </c>
      <c r="AH42">
        <f t="shared" si="17"/>
        <v>21.541061702918949</v>
      </c>
      <c r="AI42">
        <f t="shared" si="24"/>
        <v>3226.7903887884963</v>
      </c>
      <c r="AJ42">
        <f t="shared" si="18"/>
        <v>3710.8089471067706</v>
      </c>
    </row>
    <row r="43" spans="1:36" x14ac:dyDescent="0.2">
      <c r="A43">
        <f t="shared" si="19"/>
        <v>69</v>
      </c>
      <c r="B43">
        <f>VLOOKUP(A43,Table22[#All],3,FALSE)</f>
        <v>6.5464615062046389E-3</v>
      </c>
      <c r="C43">
        <f t="shared" si="0"/>
        <v>0.99345353849379536</v>
      </c>
      <c r="D43">
        <f t="shared" si="1"/>
        <v>1.3326216318279962E-2</v>
      </c>
      <c r="E43">
        <f t="shared" si="2"/>
        <v>1.3326216318279962E-2</v>
      </c>
      <c r="G43">
        <f t="shared" si="20"/>
        <v>69</v>
      </c>
      <c r="H43">
        <f t="shared" si="3"/>
        <v>6.5464615062046389E-3</v>
      </c>
      <c r="I43">
        <f>Lapses!B20</f>
        <v>9.8399999999999998E-3</v>
      </c>
      <c r="J43">
        <f t="shared" si="4"/>
        <v>0.99345353849379536</v>
      </c>
      <c r="K43">
        <f t="shared" si="21"/>
        <v>0.93928941804745147</v>
      </c>
      <c r="M43">
        <v>19</v>
      </c>
      <c r="N43">
        <f t="shared" si="5"/>
        <v>9283.8010758344608</v>
      </c>
      <c r="O43">
        <f t="shared" si="22"/>
        <v>300</v>
      </c>
      <c r="P43">
        <f>VLOOKUP(A43,Table1[#All],4,FALSE)</f>
        <v>594594.59459999995</v>
      </c>
      <c r="Q43">
        <f t="shared" si="6"/>
        <v>1118.0993908331561</v>
      </c>
      <c r="S43">
        <v>19</v>
      </c>
      <c r="T43">
        <f t="shared" si="7"/>
        <v>1118.0993908331561</v>
      </c>
      <c r="U43">
        <f t="shared" si="8"/>
        <v>5907.021039746538</v>
      </c>
      <c r="W43">
        <v>19</v>
      </c>
      <c r="X43">
        <f t="shared" si="9"/>
        <v>9283.8010758344608</v>
      </c>
      <c r="Y43">
        <f t="shared" si="10"/>
        <v>-300</v>
      </c>
      <c r="Z43">
        <f t="shared" si="11"/>
        <v>-3892.4906253462523</v>
      </c>
      <c r="AA43">
        <f>0</f>
        <v>0</v>
      </c>
      <c r="AB43">
        <f t="shared" si="12"/>
        <v>544.39139379234075</v>
      </c>
      <c r="AC43">
        <f t="shared" si="13"/>
        <v>-5907.021039746538</v>
      </c>
      <c r="AD43">
        <f t="shared" si="14"/>
        <v>-271.31919546598874</v>
      </c>
      <c r="AE43">
        <f t="shared" si="15"/>
        <v>-1050.2189261348851</v>
      </c>
      <c r="AF43">
        <f t="shared" si="23"/>
        <v>0</v>
      </c>
      <c r="AG43">
        <f t="shared" si="16"/>
        <v>0.32699605072326376</v>
      </c>
      <c r="AH43">
        <f t="shared" si="17"/>
        <v>0</v>
      </c>
      <c r="AI43">
        <f t="shared" si="24"/>
        <v>3024.2532619833059</v>
      </c>
      <c r="AJ43">
        <f t="shared" si="18"/>
        <v>3477.8912512808015</v>
      </c>
    </row>
    <row r="44" spans="1:36" x14ac:dyDescent="0.2">
      <c r="A44">
        <f t="shared" si="19"/>
        <v>70</v>
      </c>
      <c r="B44">
        <f>VLOOKUP(A44,Table22[#All],3,FALSE)</f>
        <v>8.1000770054411551E-3</v>
      </c>
      <c r="C44">
        <f t="shared" si="0"/>
        <v>0.99189992299455887</v>
      </c>
      <c r="D44">
        <f t="shared" si="1"/>
        <v>7.6372807064711244E-3</v>
      </c>
      <c r="E44">
        <f t="shared" si="2"/>
        <v>7.6372807064711244E-3</v>
      </c>
      <c r="G44">
        <f t="shared" si="20"/>
        <v>70</v>
      </c>
      <c r="H44">
        <f t="shared" si="3"/>
        <v>8.1000770054411551E-3</v>
      </c>
      <c r="I44">
        <f>Lapses!B21</f>
        <v>0</v>
      </c>
      <c r="J44">
        <f t="shared" si="4"/>
        <v>0.99189992299455887</v>
      </c>
      <c r="K44">
        <f t="shared" si="21"/>
        <v>0.93314039602901844</v>
      </c>
      <c r="M44">
        <v>20</v>
      </c>
      <c r="N44">
        <f t="shared" si="5"/>
        <v>9283.8010758344608</v>
      </c>
      <c r="O44">
        <f t="shared" si="22"/>
        <v>300</v>
      </c>
      <c r="P44">
        <f>VLOOKUP(A44,Table1[#All],4,FALSE)</f>
        <v>594594.59459999995</v>
      </c>
      <c r="Q44">
        <v>0</v>
      </c>
      <c r="S44">
        <v>20</v>
      </c>
      <c r="T44">
        <f t="shared" si="7"/>
        <v>0</v>
      </c>
      <c r="U44">
        <f t="shared" si="8"/>
        <v>5897.7833259672088</v>
      </c>
      <c r="W44">
        <v>20</v>
      </c>
      <c r="X44">
        <f t="shared" si="9"/>
        <v>9283.8010758344608</v>
      </c>
      <c r="Y44">
        <f t="shared" si="10"/>
        <v>-300</v>
      </c>
      <c r="Z44">
        <f t="shared" si="11"/>
        <v>-4816.2620032790655</v>
      </c>
      <c r="AA44">
        <f>0</f>
        <v>0</v>
      </c>
      <c r="AB44">
        <f t="shared" si="12"/>
        <v>544.39139379234075</v>
      </c>
      <c r="AC44">
        <f t="shared" si="13"/>
        <v>-5897.7833259672088</v>
      </c>
      <c r="AD44">
        <f t="shared" si="14"/>
        <v>-1185.8528596194728</v>
      </c>
      <c r="AE44">
        <f t="shared" si="15"/>
        <v>0</v>
      </c>
      <c r="AF44">
        <f t="shared" si="23"/>
        <v>0</v>
      </c>
      <c r="AG44">
        <f t="shared" si="16"/>
        <v>0.30831319598609441</v>
      </c>
      <c r="AH44">
        <f t="shared" si="17"/>
        <v>0</v>
      </c>
      <c r="AI44">
        <f t="shared" si="24"/>
        <v>2832.7961557676658</v>
      </c>
      <c r="AJ44">
        <f t="shared" si="18"/>
        <v>3257.7155791328155</v>
      </c>
    </row>
  </sheetData>
  <mergeCells count="6">
    <mergeCell ref="AF23:AI23"/>
    <mergeCell ref="A23:E23"/>
    <mergeCell ref="G23:K23"/>
    <mergeCell ref="M23:Q23"/>
    <mergeCell ref="S23:U23"/>
    <mergeCell ref="W23:AE23"/>
  </mergeCells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47C9288-2F09-1F40-A542-E818DCC8279A}">
          <x14:formula1>
            <xm:f>'Female Lifetable'!$A$2:$A$71</xm:f>
          </x14:formula1>
          <xm:sqref>B2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6247D-D114-4F4A-8B13-34FB29F7E476}">
  <dimension ref="A1:AM74"/>
  <sheetViews>
    <sheetView workbookViewId="0">
      <selection activeCell="E2" sqref="E2"/>
    </sheetView>
  </sheetViews>
  <sheetFormatPr baseColWidth="10" defaultRowHeight="16" x14ac:dyDescent="0.2"/>
  <cols>
    <col min="1" max="4" width="16.6640625" customWidth="1"/>
    <col min="5" max="5" width="24.1640625" customWidth="1"/>
  </cols>
  <sheetData>
    <row r="1" spans="1:5" ht="19" x14ac:dyDescent="0.25">
      <c r="A1" s="6" t="s">
        <v>18</v>
      </c>
      <c r="B1" s="6"/>
      <c r="C1" s="6"/>
      <c r="D1" s="6"/>
      <c r="E1" s="8">
        <f>ROUNDDOWN(VLOOKUP(E2,Table2[#All],14,FALSE),0)</f>
        <v>1248</v>
      </c>
    </row>
    <row r="2" spans="1:5" ht="19" x14ac:dyDescent="0.25">
      <c r="A2" s="6" t="s">
        <v>0</v>
      </c>
      <c r="B2" s="6"/>
      <c r="C2" s="6"/>
      <c r="D2" s="6"/>
      <c r="E2" s="8">
        <v>30</v>
      </c>
    </row>
    <row r="3" spans="1:5" ht="19" x14ac:dyDescent="0.25">
      <c r="A3" s="6" t="s">
        <v>13</v>
      </c>
      <c r="B3" s="6"/>
      <c r="C3" s="6"/>
      <c r="D3" s="6"/>
      <c r="E3" s="8">
        <f>VLOOKUP(E2,Table2[#All],10,FALSE)</f>
        <v>3470</v>
      </c>
    </row>
    <row r="4" spans="1:5" ht="19" x14ac:dyDescent="0.25">
      <c r="A4" s="6" t="s">
        <v>6</v>
      </c>
      <c r="B4" s="6"/>
      <c r="C4" s="6"/>
      <c r="D4" s="6"/>
      <c r="E4" s="7">
        <v>6.0596999999999998E-2</v>
      </c>
    </row>
    <row r="5" spans="1:5" ht="19" x14ac:dyDescent="0.25">
      <c r="A5" s="6" t="s">
        <v>4</v>
      </c>
      <c r="B5" s="6"/>
      <c r="C5" s="6"/>
      <c r="D5" s="6"/>
      <c r="E5" s="7">
        <f>(1+E4)^(-1)</f>
        <v>0.94286519761983112</v>
      </c>
    </row>
    <row r="6" spans="1:5" ht="19" x14ac:dyDescent="0.25">
      <c r="A6" s="6" t="s">
        <v>86</v>
      </c>
      <c r="B6" s="6"/>
      <c r="C6" s="6"/>
      <c r="D6" s="6"/>
      <c r="E6" s="7">
        <v>0.01</v>
      </c>
    </row>
    <row r="7" spans="1:5" ht="19" x14ac:dyDescent="0.25">
      <c r="A7" s="6" t="s">
        <v>8</v>
      </c>
      <c r="B7" s="6"/>
      <c r="C7" s="6"/>
      <c r="D7" s="6"/>
      <c r="E7" s="8" t="s">
        <v>9</v>
      </c>
    </row>
    <row r="8" spans="1:5" ht="19" x14ac:dyDescent="0.25">
      <c r="A8" s="6" t="s">
        <v>10</v>
      </c>
      <c r="B8" s="6"/>
      <c r="C8" s="6"/>
      <c r="D8" s="6"/>
      <c r="E8" s="8" t="s">
        <v>49</v>
      </c>
    </row>
    <row r="9" spans="1:5" ht="19" x14ac:dyDescent="0.25">
      <c r="A9" s="6" t="s">
        <v>142</v>
      </c>
      <c r="B9" s="6"/>
      <c r="C9" s="6"/>
      <c r="D9" s="6"/>
      <c r="E9" s="8">
        <f>SUM(AK24:AK44)/SUM(AL24:AL44)</f>
        <v>0.10000022629116534</v>
      </c>
    </row>
    <row r="10" spans="1:5" ht="19" x14ac:dyDescent="0.25">
      <c r="A10" s="6" t="s">
        <v>123</v>
      </c>
      <c r="B10" s="6"/>
      <c r="C10" s="6"/>
      <c r="D10" s="6"/>
      <c r="E10" s="8">
        <v>7213.6839428391067</v>
      </c>
    </row>
    <row r="11" spans="1:5" ht="19" x14ac:dyDescent="0.25">
      <c r="A11" s="6" t="s">
        <v>85</v>
      </c>
      <c r="B11" s="6"/>
      <c r="C11" s="6"/>
      <c r="D11" s="6"/>
      <c r="E11" s="8">
        <v>300</v>
      </c>
    </row>
    <row r="12" spans="1:5" ht="19" x14ac:dyDescent="0.25">
      <c r="A12" s="6" t="s">
        <v>109</v>
      </c>
      <c r="B12" s="6"/>
      <c r="C12" s="6"/>
      <c r="D12" s="6"/>
      <c r="E12" s="29">
        <f>NPV(E4,AB25:AB44)+AB24</f>
        <v>-6894.3616219313126</v>
      </c>
    </row>
    <row r="13" spans="1:5" ht="19" x14ac:dyDescent="0.25">
      <c r="A13" s="6" t="s">
        <v>103</v>
      </c>
      <c r="B13" s="6"/>
      <c r="C13" s="6"/>
      <c r="D13" s="6"/>
      <c r="E13" s="29">
        <f>E12*E1</f>
        <v>-8604163.3041702788</v>
      </c>
    </row>
    <row r="14" spans="1:5" ht="19" x14ac:dyDescent="0.25">
      <c r="A14" s="6" t="s">
        <v>120</v>
      </c>
      <c r="B14" s="6"/>
      <c r="C14" s="6"/>
      <c r="D14" s="6"/>
      <c r="E14" s="8">
        <f>VLOOKUP(E2,Table3[#All],3,FALSE)</f>
        <v>25</v>
      </c>
    </row>
    <row r="15" spans="1:5" ht="19" x14ac:dyDescent="0.25">
      <c r="A15" s="6" t="s">
        <v>108</v>
      </c>
      <c r="B15" s="6"/>
      <c r="C15" s="6"/>
      <c r="D15" s="6"/>
      <c r="E15" s="8">
        <f>E1-E14</f>
        <v>1223</v>
      </c>
    </row>
    <row r="16" spans="1:5" ht="19" x14ac:dyDescent="0.25">
      <c r="A16" s="6" t="s">
        <v>114</v>
      </c>
      <c r="B16" s="6"/>
      <c r="C16" s="6"/>
      <c r="D16" s="6"/>
      <c r="E16" s="8">
        <v>0.15</v>
      </c>
    </row>
    <row r="17" spans="1:39" ht="19" x14ac:dyDescent="0.25">
      <c r="A17" s="6" t="s">
        <v>113</v>
      </c>
      <c r="B17" s="6"/>
      <c r="C17" s="6"/>
      <c r="D17" s="6"/>
      <c r="E17" s="37">
        <f>SUM(AL24:AL44)*E14+SUM(AM24:AM44)*E15</f>
        <v>94858895.496852815</v>
      </c>
    </row>
    <row r="18" spans="1:39" ht="19" x14ac:dyDescent="0.25">
      <c r="A18" s="6" t="s">
        <v>107</v>
      </c>
      <c r="B18" s="6"/>
      <c r="C18" s="6"/>
      <c r="D18" s="6"/>
      <c r="E18" s="37">
        <f>E17+E13</f>
        <v>86254732.192682534</v>
      </c>
    </row>
    <row r="19" spans="1:39" ht="19" x14ac:dyDescent="0.25">
      <c r="A19" s="6" t="s">
        <v>115</v>
      </c>
      <c r="B19" s="6"/>
      <c r="C19" s="6"/>
      <c r="D19" s="6"/>
      <c r="E19" s="8">
        <f>(E18-'Female T20 (before)'!B16)/'Female T20 (before)'!B16</f>
        <v>-0.89132806724892499</v>
      </c>
    </row>
    <row r="20" spans="1:39" ht="19" x14ac:dyDescent="0.25">
      <c r="A20" s="6"/>
      <c r="B20" s="6"/>
      <c r="C20" s="6"/>
      <c r="D20" s="6"/>
    </row>
    <row r="22" spans="1:39" ht="19" x14ac:dyDescent="0.25">
      <c r="A22" s="62" t="s">
        <v>66</v>
      </c>
      <c r="B22" s="62"/>
      <c r="C22" s="62"/>
      <c r="D22" s="62"/>
      <c r="E22" s="62"/>
      <c r="F22" s="62"/>
      <c r="G22" s="62"/>
      <c r="H22" s="62"/>
      <c r="J22" s="62" t="s">
        <v>65</v>
      </c>
      <c r="K22" s="62"/>
      <c r="L22" s="62"/>
      <c r="M22" s="62"/>
      <c r="N22" s="62"/>
      <c r="P22" s="62" t="s">
        <v>67</v>
      </c>
      <c r="Q22" s="62"/>
      <c r="R22" s="62"/>
      <c r="S22" s="62"/>
      <c r="T22" s="62"/>
      <c r="V22" s="62" t="s">
        <v>46</v>
      </c>
      <c r="W22" s="62"/>
      <c r="X22" s="62"/>
      <c r="Z22" s="62" t="s">
        <v>68</v>
      </c>
      <c r="AA22" s="62"/>
      <c r="AB22" s="62"/>
      <c r="AC22" s="62"/>
      <c r="AD22" s="62"/>
      <c r="AE22" s="62"/>
      <c r="AF22" s="62"/>
      <c r="AG22" s="62"/>
      <c r="AH22" s="62"/>
      <c r="AI22" s="62" t="s">
        <v>69</v>
      </c>
      <c r="AJ22" s="62"/>
      <c r="AK22" s="62"/>
      <c r="AL22" s="62"/>
    </row>
    <row r="23" spans="1:39" ht="19" x14ac:dyDescent="0.25">
      <c r="A23" s="11" t="s">
        <v>5</v>
      </c>
      <c r="B23" s="11" t="s">
        <v>131</v>
      </c>
      <c r="C23" s="11" t="s">
        <v>132</v>
      </c>
      <c r="D23" s="11" t="s">
        <v>133</v>
      </c>
      <c r="E23" s="11" t="s">
        <v>1</v>
      </c>
      <c r="F23" s="11" t="s">
        <v>2</v>
      </c>
      <c r="G23" s="11" t="s">
        <v>3</v>
      </c>
      <c r="H23" s="12" t="s">
        <v>7</v>
      </c>
      <c r="J23" s="11" t="s">
        <v>5</v>
      </c>
      <c r="K23" s="14" t="s">
        <v>26</v>
      </c>
      <c r="L23" s="14" t="s">
        <v>47</v>
      </c>
      <c r="M23" s="14" t="s">
        <v>27</v>
      </c>
      <c r="N23" s="15" t="s">
        <v>28</v>
      </c>
      <c r="P23" s="11" t="s">
        <v>34</v>
      </c>
      <c r="Q23" s="11" t="s">
        <v>12</v>
      </c>
      <c r="R23" s="11" t="s">
        <v>13</v>
      </c>
      <c r="S23" s="11" t="s">
        <v>14</v>
      </c>
      <c r="T23" s="12" t="s">
        <v>35</v>
      </c>
      <c r="V23" s="14" t="s">
        <v>34</v>
      </c>
      <c r="W23" s="11" t="s">
        <v>16</v>
      </c>
      <c r="X23" s="12" t="s">
        <v>17</v>
      </c>
      <c r="Z23" s="14" t="s">
        <v>34</v>
      </c>
      <c r="AA23" s="11" t="s">
        <v>29</v>
      </c>
      <c r="AB23" s="11" t="s">
        <v>30</v>
      </c>
      <c r="AC23" s="11" t="s">
        <v>31</v>
      </c>
      <c r="AD23" s="11" t="s">
        <v>71</v>
      </c>
      <c r="AE23" s="11" t="s">
        <v>33</v>
      </c>
      <c r="AF23" s="11" t="s">
        <v>51</v>
      </c>
      <c r="AG23" s="11" t="s">
        <v>43</v>
      </c>
      <c r="AH23" s="11" t="s">
        <v>44</v>
      </c>
      <c r="AI23" s="11" t="s">
        <v>45</v>
      </c>
      <c r="AJ23" s="11" t="s">
        <v>41</v>
      </c>
      <c r="AK23" s="11" t="s">
        <v>38</v>
      </c>
      <c r="AL23" s="12" t="s">
        <v>39</v>
      </c>
      <c r="AM23" s="56" t="s">
        <v>140</v>
      </c>
    </row>
    <row r="24" spans="1:39" x14ac:dyDescent="0.2">
      <c r="A24">
        <f>E2</f>
        <v>30</v>
      </c>
      <c r="B24">
        <f>VLOOKUP(A24,Table22[#All],2,FALSE)</f>
        <v>6.4188391279999997E-4</v>
      </c>
      <c r="C24">
        <v>0.1</v>
      </c>
      <c r="D24">
        <v>0.15</v>
      </c>
      <c r="E24">
        <f>B24*(1-C24)*(1-D24)</f>
        <v>4.9104119329199992E-4</v>
      </c>
      <c r="F24">
        <f>1-E24</f>
        <v>0.99950895880670798</v>
      </c>
      <c r="G24">
        <f>$E$5*(E24+F24*G25)</f>
        <v>8.7745780478708253E-3</v>
      </c>
      <c r="H24">
        <f>G24-PRODUCT(F24:F44)*H44*$E$5^(20)</f>
        <v>8.2891287958157239E-3</v>
      </c>
      <c r="J24">
        <f>E2</f>
        <v>30</v>
      </c>
      <c r="K24">
        <f>E24</f>
        <v>4.9104119329199992E-4</v>
      </c>
      <c r="L24">
        <f>Lapses!B2</f>
        <v>9.8600000000000007E-3</v>
      </c>
      <c r="M24">
        <f>1-K24</f>
        <v>0.99950895880670798</v>
      </c>
      <c r="N24">
        <f>1</f>
        <v>1</v>
      </c>
      <c r="P24">
        <v>1</v>
      </c>
      <c r="Q24">
        <f>$E$10</f>
        <v>7213.6839428391067</v>
      </c>
      <c r="R24">
        <f>E3</f>
        <v>3470</v>
      </c>
      <c r="S24">
        <f>VLOOKUP(A24,Table1[#All],4,FALSE)</f>
        <v>513905.32539999997</v>
      </c>
      <c r="T24">
        <f>ABS(MIN(AG25-T25*M25,0))*$E$5</f>
        <v>0</v>
      </c>
      <c r="V24">
        <v>1</v>
      </c>
      <c r="W24">
        <f>T24</f>
        <v>0</v>
      </c>
      <c r="X24">
        <f>S24*M24*$E$6</f>
        <v>5136.5297671577646</v>
      </c>
      <c r="Z24">
        <v>1</v>
      </c>
      <c r="AA24">
        <f>Q24</f>
        <v>7213.6839428391067</v>
      </c>
      <c r="AB24">
        <f>-R24</f>
        <v>-3470</v>
      </c>
      <c r="AC24">
        <f>-S24*K24</f>
        <v>-252.34868422352952</v>
      </c>
      <c r="AD24">
        <f>0</f>
        <v>0</v>
      </c>
      <c r="AE24">
        <f>SUM(AA24:AB24)*$E$4</f>
        <v>226.85601588422134</v>
      </c>
      <c r="AF24">
        <f>-X24</f>
        <v>-5136.5297671577646</v>
      </c>
      <c r="AG24">
        <f>SUM(AA24:AF24)</f>
        <v>-1418.3384926579661</v>
      </c>
      <c r="AH24">
        <f>-W24*M24</f>
        <v>0</v>
      </c>
      <c r="AI24">
        <f>SUM(AG24:AH24)</f>
        <v>-1418.3384926579661</v>
      </c>
      <c r="AJ24">
        <f>$E$5^Z24</f>
        <v>0.94286519761983112</v>
      </c>
      <c r="AK24">
        <f>AI24*AJ24*N24</f>
        <v>-1337.3020031717665</v>
      </c>
      <c r="AL24">
        <f>E10</f>
        <v>7213.6839428391067</v>
      </c>
      <c r="AM24">
        <f>AL24*0.85</f>
        <v>6131.6313514132407</v>
      </c>
    </row>
    <row r="25" spans="1:39" x14ac:dyDescent="0.2">
      <c r="A25">
        <f>A24+1</f>
        <v>31</v>
      </c>
      <c r="B25">
        <f>VLOOKUP(A25,Table22[#All],2,FALSE)</f>
        <v>6.7980683010000005E-4</v>
      </c>
      <c r="C25">
        <f>C24</f>
        <v>0.1</v>
      </c>
      <c r="D25">
        <f>D24</f>
        <v>0.15</v>
      </c>
      <c r="E25">
        <f t="shared" ref="E25:E44" si="0">B25*(1-C25)*(1-D25)</f>
        <v>5.2005222502650005E-4</v>
      </c>
      <c r="F25">
        <f t="shared" ref="F25:F44" si="1">1-E25</f>
        <v>0.99947994777497351</v>
      </c>
      <c r="G25">
        <f t="shared" ref="G25:G44" si="2">$E$5*(E25+F25*G26)</f>
        <v>8.8195807379955748E-3</v>
      </c>
      <c r="H25">
        <f t="shared" ref="H25:H44" si="3">G25-PRODUCT(F25:F45)*H45*$E$5^(20)</f>
        <v>8.8195807379955748E-3</v>
      </c>
      <c r="J25">
        <f>J24+1</f>
        <v>31</v>
      </c>
      <c r="K25">
        <f t="shared" ref="K25:K44" si="4">E25</f>
        <v>5.2005222502650005E-4</v>
      </c>
      <c r="L25">
        <f>Lapses!B3</f>
        <v>9.92E-3</v>
      </c>
      <c r="M25">
        <f t="shared" ref="M25:M44" si="5">1-K25</f>
        <v>0.99947994777497351</v>
      </c>
      <c r="N25">
        <f>M24*N24</f>
        <v>0.99950895880670798</v>
      </c>
      <c r="P25">
        <v>2</v>
      </c>
      <c r="Q25">
        <f t="shared" ref="Q25:Q44" si="6">$E$10</f>
        <v>7213.6839428391067</v>
      </c>
      <c r="R25">
        <f>$E$11</f>
        <v>300</v>
      </c>
      <c r="S25">
        <f>VLOOKUP(A25,Table1[#All],4,FALSE)</f>
        <v>534652.50970000005</v>
      </c>
      <c r="T25">
        <f t="shared" ref="T25:T43" si="7">ABS(MIN(AG26-T26*M26,0))*$E$5</f>
        <v>0</v>
      </c>
      <c r="V25">
        <v>2</v>
      </c>
      <c r="W25">
        <f t="shared" ref="W25:W44" si="8">T25</f>
        <v>0</v>
      </c>
      <c r="X25">
        <f t="shared" ref="X25:X44" si="9">S25*M25*$E$6</f>
        <v>5343.7446247271464</v>
      </c>
      <c r="Z25">
        <v>2</v>
      </c>
      <c r="AA25">
        <f t="shared" ref="AA25:AA44" si="10">Q25</f>
        <v>7213.6839428391067</v>
      </c>
      <c r="AB25">
        <f t="shared" ref="AB25:AB44" si="11">-R25</f>
        <v>-300</v>
      </c>
      <c r="AC25">
        <f t="shared" ref="AC25:AC44" si="12">-S25*K25</f>
        <v>-278.04722728548745</v>
      </c>
      <c r="AD25">
        <f>0</f>
        <v>0</v>
      </c>
      <c r="AE25">
        <f t="shared" ref="AE25:AE44" si="13">SUM(AA25:AB25)*$E$4</f>
        <v>418.94850588422133</v>
      </c>
      <c r="AF25">
        <f t="shared" ref="AF25:AF44" si="14">-X25</f>
        <v>-5343.7446247271464</v>
      </c>
      <c r="AG25">
        <f t="shared" ref="AG25:AG44" si="15">SUM(AA25:AF25)</f>
        <v>1710.8405967106937</v>
      </c>
      <c r="AH25">
        <f t="shared" ref="AH25:AH44" si="16">-W25*M25</f>
        <v>0</v>
      </c>
      <c r="AI25">
        <f t="shared" ref="AI25:AI44" si="17">SUM(AG25:AH25)</f>
        <v>1710.8405967106937</v>
      </c>
      <c r="AJ25">
        <f t="shared" ref="AJ25:AJ44" si="18">$E$5^Z25</f>
        <v>0.88899478088268324</v>
      </c>
      <c r="AK25">
        <f t="shared" ref="AK25:AK44" si="19">AI25*AJ25*N25</f>
        <v>1520.1815229205297</v>
      </c>
      <c r="AL25">
        <f>$E$10*AJ24*N25</f>
        <v>6798.1917041701836</v>
      </c>
      <c r="AM25">
        <f t="shared" ref="AM25:AM44" si="20">AL25*0.85</f>
        <v>5778.4629485446558</v>
      </c>
    </row>
    <row r="26" spans="1:39" x14ac:dyDescent="0.2">
      <c r="A26">
        <f t="shared" ref="A26:A44" si="21">A25+1</f>
        <v>32</v>
      </c>
      <c r="B26">
        <f>VLOOKUP(A26,Table22[#All],2,FALSE)</f>
        <v>7.0791975890000002E-4</v>
      </c>
      <c r="C26">
        <f t="shared" ref="C26:C44" si="22">C25</f>
        <v>0.1</v>
      </c>
      <c r="D26">
        <f t="shared" ref="D26:D44" si="23">D25</f>
        <v>0.15</v>
      </c>
      <c r="E26">
        <f t="shared" si="0"/>
        <v>5.4155861555850004E-4</v>
      </c>
      <c r="F26">
        <f t="shared" si="1"/>
        <v>0.99945844138444151</v>
      </c>
      <c r="G26">
        <f t="shared" si="2"/>
        <v>8.8385651624281556E-3</v>
      </c>
      <c r="H26">
        <f t="shared" si="3"/>
        <v>8.8385651624281556E-3</v>
      </c>
      <c r="J26">
        <f t="shared" ref="J26:J44" si="24">J25+1</f>
        <v>32</v>
      </c>
      <c r="K26">
        <f t="shared" si="4"/>
        <v>5.4155861555850004E-4</v>
      </c>
      <c r="L26">
        <f>Lapses!B4</f>
        <v>9.9399999999999992E-3</v>
      </c>
      <c r="M26">
        <f t="shared" si="5"/>
        <v>0.99945844138444151</v>
      </c>
      <c r="N26">
        <f t="shared" ref="N26:N44" si="25">M25*N25</f>
        <v>0.99898916194874665</v>
      </c>
      <c r="P26">
        <v>3</v>
      </c>
      <c r="Q26">
        <f t="shared" si="6"/>
        <v>7213.6839428391067</v>
      </c>
      <c r="R26">
        <f t="shared" ref="R26:R44" si="26">$E$11</f>
        <v>300</v>
      </c>
      <c r="S26">
        <f>VLOOKUP(A26,Table1[#All],4,FALSE)</f>
        <v>561089.49419999996</v>
      </c>
      <c r="T26">
        <f t="shared" si="7"/>
        <v>0</v>
      </c>
      <c r="V26">
        <v>3</v>
      </c>
      <c r="W26">
        <f t="shared" si="8"/>
        <v>0</v>
      </c>
      <c r="X26">
        <f t="shared" si="9"/>
        <v>5607.8563135031654</v>
      </c>
      <c r="Z26">
        <v>3</v>
      </c>
      <c r="AA26">
        <f t="shared" si="10"/>
        <v>7213.6839428391067</v>
      </c>
      <c r="AB26">
        <f t="shared" si="11"/>
        <v>-300</v>
      </c>
      <c r="AC26">
        <f t="shared" si="12"/>
        <v>-303.862849683371</v>
      </c>
      <c r="AD26">
        <f>0</f>
        <v>0</v>
      </c>
      <c r="AE26">
        <f t="shared" si="13"/>
        <v>418.94850588422133</v>
      </c>
      <c r="AF26">
        <f t="shared" si="14"/>
        <v>-5607.8563135031654</v>
      </c>
      <c r="AG26">
        <f t="shared" si="15"/>
        <v>1420.9132855367916</v>
      </c>
      <c r="AH26">
        <f t="shared" si="16"/>
        <v>0</v>
      </c>
      <c r="AI26">
        <f t="shared" si="17"/>
        <v>1420.9132855367916</v>
      </c>
      <c r="AJ26">
        <f t="shared" si="18"/>
        <v>0.83820223975994956</v>
      </c>
      <c r="AK26">
        <f t="shared" si="19"/>
        <v>1189.8087774864966</v>
      </c>
      <c r="AL26">
        <f t="shared" ref="AL26:AL44" si="27">$E$10*AJ25*N26</f>
        <v>6406.4449451094752</v>
      </c>
      <c r="AM26">
        <f t="shared" si="20"/>
        <v>5445.4782033430538</v>
      </c>
    </row>
    <row r="27" spans="1:39" x14ac:dyDescent="0.2">
      <c r="A27">
        <f t="shared" si="21"/>
        <v>33</v>
      </c>
      <c r="B27">
        <f>VLOOKUP(A27,Table22[#All],2,FALSE)</f>
        <v>7.2906019159999999E-4</v>
      </c>
      <c r="C27">
        <f t="shared" si="22"/>
        <v>0.1</v>
      </c>
      <c r="D27">
        <f t="shared" si="23"/>
        <v>0.15</v>
      </c>
      <c r="E27">
        <f t="shared" si="0"/>
        <v>5.5773104657399998E-4</v>
      </c>
      <c r="F27">
        <f t="shared" si="1"/>
        <v>0.99944226895342603</v>
      </c>
      <c r="G27">
        <f t="shared" si="2"/>
        <v>8.8373830409421272E-3</v>
      </c>
      <c r="H27">
        <f t="shared" si="3"/>
        <v>8.8373830409421272E-3</v>
      </c>
      <c r="J27">
        <f t="shared" si="24"/>
        <v>33</v>
      </c>
      <c r="K27">
        <f t="shared" si="4"/>
        <v>5.5773104657399998E-4</v>
      </c>
      <c r="L27">
        <f>Lapses!B5</f>
        <v>1.0019999999999999E-2</v>
      </c>
      <c r="M27">
        <f t="shared" si="5"/>
        <v>0.99944226895342603</v>
      </c>
      <c r="N27">
        <f t="shared" si="25"/>
        <v>0.99844815076124371</v>
      </c>
      <c r="P27">
        <v>4</v>
      </c>
      <c r="Q27">
        <f t="shared" si="6"/>
        <v>7213.6839428391067</v>
      </c>
      <c r="R27">
        <f t="shared" si="26"/>
        <v>300</v>
      </c>
      <c r="S27">
        <f>VLOOKUP(A27,Table1[#All],4,FALSE)</f>
        <v>536176.4706</v>
      </c>
      <c r="T27">
        <f t="shared" si="7"/>
        <v>0</v>
      </c>
      <c r="V27">
        <v>4</v>
      </c>
      <c r="W27">
        <f t="shared" si="8"/>
        <v>0</v>
      </c>
      <c r="X27">
        <f t="shared" si="9"/>
        <v>5358.7742833590391</v>
      </c>
      <c r="Z27">
        <v>4</v>
      </c>
      <c r="AA27">
        <f t="shared" si="10"/>
        <v>7213.6839428391067</v>
      </c>
      <c r="AB27">
        <f t="shared" si="11"/>
        <v>-300</v>
      </c>
      <c r="AC27">
        <f t="shared" si="12"/>
        <v>-299.04226409609151</v>
      </c>
      <c r="AD27">
        <f>0</f>
        <v>0</v>
      </c>
      <c r="AE27">
        <f t="shared" si="13"/>
        <v>418.94850588422133</v>
      </c>
      <c r="AF27">
        <f t="shared" si="14"/>
        <v>-5358.7742833590391</v>
      </c>
      <c r="AG27">
        <f t="shared" si="15"/>
        <v>1674.8159012681972</v>
      </c>
      <c r="AH27">
        <f t="shared" si="16"/>
        <v>0</v>
      </c>
      <c r="AI27">
        <f t="shared" si="17"/>
        <v>1674.8159012681972</v>
      </c>
      <c r="AJ27">
        <f t="shared" si="18"/>
        <v>0.79031172043664999</v>
      </c>
      <c r="AK27">
        <f t="shared" si="19"/>
        <v>1321.5725673579163</v>
      </c>
      <c r="AL27">
        <f t="shared" si="27"/>
        <v>6037.1427409792304</v>
      </c>
      <c r="AM27">
        <f t="shared" si="20"/>
        <v>5131.5713298323453</v>
      </c>
    </row>
    <row r="28" spans="1:39" x14ac:dyDescent="0.2">
      <c r="A28">
        <f t="shared" si="21"/>
        <v>34</v>
      </c>
      <c r="B28">
        <f>VLOOKUP(A28,Table22[#All],2,FALSE)</f>
        <v>7.4606562049999998E-4</v>
      </c>
      <c r="C28">
        <f t="shared" si="22"/>
        <v>0.1</v>
      </c>
      <c r="D28">
        <f t="shared" si="23"/>
        <v>0.15</v>
      </c>
      <c r="E28">
        <f t="shared" si="0"/>
        <v>5.7074019968249995E-4</v>
      </c>
      <c r="F28">
        <f t="shared" si="1"/>
        <v>0.99942925980031749</v>
      </c>
      <c r="G28">
        <f t="shared" si="2"/>
        <v>8.8200901326006276E-3</v>
      </c>
      <c r="H28">
        <f t="shared" si="3"/>
        <v>7.7581690705119562E-3</v>
      </c>
      <c r="J28">
        <f t="shared" si="24"/>
        <v>34</v>
      </c>
      <c r="K28">
        <f t="shared" si="4"/>
        <v>5.7074019968249995E-4</v>
      </c>
      <c r="L28">
        <f>Lapses!B6</f>
        <v>9.8499999999999994E-3</v>
      </c>
      <c r="M28">
        <f t="shared" si="5"/>
        <v>0.99942925980031749</v>
      </c>
      <c r="N28">
        <f t="shared" si="25"/>
        <v>0.99789128522916981</v>
      </c>
      <c r="P28">
        <v>5</v>
      </c>
      <c r="Q28">
        <f t="shared" si="6"/>
        <v>7213.6839428391067</v>
      </c>
      <c r="R28">
        <f t="shared" si="26"/>
        <v>300</v>
      </c>
      <c r="S28">
        <f>VLOOKUP(A28,Table1[#All],4,FALSE)</f>
        <v>579771.78419999999</v>
      </c>
      <c r="T28">
        <f t="shared" si="7"/>
        <v>0</v>
      </c>
      <c r="V28">
        <v>5</v>
      </c>
      <c r="W28">
        <f t="shared" si="8"/>
        <v>0</v>
      </c>
      <c r="X28">
        <f t="shared" si="9"/>
        <v>5794.4088513611541</v>
      </c>
      <c r="Z28">
        <v>5</v>
      </c>
      <c r="AA28">
        <f t="shared" si="10"/>
        <v>7213.6839428391067</v>
      </c>
      <c r="AB28">
        <f t="shared" si="11"/>
        <v>-300</v>
      </c>
      <c r="AC28">
        <f t="shared" si="12"/>
        <v>-330.89906388458729</v>
      </c>
      <c r="AD28">
        <f>0</f>
        <v>0</v>
      </c>
      <c r="AE28">
        <f t="shared" si="13"/>
        <v>418.94850588422133</v>
      </c>
      <c r="AF28">
        <f t="shared" si="14"/>
        <v>-5794.4088513611541</v>
      </c>
      <c r="AG28">
        <f t="shared" si="15"/>
        <v>1207.3245334775866</v>
      </c>
      <c r="AH28">
        <f t="shared" si="16"/>
        <v>0</v>
      </c>
      <c r="AI28">
        <f t="shared" si="17"/>
        <v>1207.3245334775866</v>
      </c>
      <c r="AJ28">
        <f t="shared" si="18"/>
        <v>0.74515741647077072</v>
      </c>
      <c r="AK28">
        <f t="shared" si="19"/>
        <v>897.7497316485468</v>
      </c>
      <c r="AL28">
        <f t="shared" si="27"/>
        <v>5689.0370602971616</v>
      </c>
      <c r="AM28">
        <f t="shared" si="20"/>
        <v>4835.6815012525876</v>
      </c>
    </row>
    <row r="29" spans="1:39" x14ac:dyDescent="0.2">
      <c r="A29">
        <f t="shared" si="21"/>
        <v>35</v>
      </c>
      <c r="B29">
        <f>VLOOKUP(A29,Table22[#All],2,FALSE)</f>
        <v>7.61773538E-4</v>
      </c>
      <c r="C29">
        <f t="shared" si="22"/>
        <v>0.1</v>
      </c>
      <c r="D29">
        <f t="shared" si="23"/>
        <v>0.15</v>
      </c>
      <c r="E29">
        <f t="shared" si="0"/>
        <v>5.8275675656999993E-4</v>
      </c>
      <c r="F29">
        <f t="shared" si="1"/>
        <v>0.99941724324342995</v>
      </c>
      <c r="G29">
        <f t="shared" si="2"/>
        <v>8.7888370773118105E-3</v>
      </c>
      <c r="H29">
        <f t="shared" si="3"/>
        <v>-3.1433689526721501E-3</v>
      </c>
      <c r="J29">
        <f t="shared" si="24"/>
        <v>35</v>
      </c>
      <c r="K29">
        <f t="shared" si="4"/>
        <v>5.8275675656999993E-4</v>
      </c>
      <c r="L29">
        <f>Lapses!B7</f>
        <v>9.7599999999999996E-3</v>
      </c>
      <c r="M29">
        <f t="shared" si="5"/>
        <v>0.99941724324342995</v>
      </c>
      <c r="N29">
        <f t="shared" si="25"/>
        <v>0.99732174855777667</v>
      </c>
      <c r="P29">
        <v>6</v>
      </c>
      <c r="Q29">
        <f t="shared" si="6"/>
        <v>7213.6839428391067</v>
      </c>
      <c r="R29">
        <f t="shared" si="26"/>
        <v>300</v>
      </c>
      <c r="S29">
        <f>VLOOKUP(A29,Table1[#All],4,FALSE)</f>
        <v>594897.95920000004</v>
      </c>
      <c r="T29">
        <f t="shared" si="7"/>
        <v>0</v>
      </c>
      <c r="V29">
        <v>6</v>
      </c>
      <c r="W29">
        <f t="shared" si="8"/>
        <v>0</v>
      </c>
      <c r="X29">
        <f t="shared" si="9"/>
        <v>5945.5127839480656</v>
      </c>
      <c r="Z29">
        <v>6</v>
      </c>
      <c r="AA29">
        <f t="shared" si="10"/>
        <v>7213.6839428391067</v>
      </c>
      <c r="AB29">
        <f t="shared" si="11"/>
        <v>-300</v>
      </c>
      <c r="AC29">
        <f t="shared" si="12"/>
        <v>-346.68080519350417</v>
      </c>
      <c r="AD29">
        <f>0</f>
        <v>0</v>
      </c>
      <c r="AE29">
        <f t="shared" si="13"/>
        <v>418.94850588422133</v>
      </c>
      <c r="AF29">
        <f t="shared" si="14"/>
        <v>-5945.5127839480656</v>
      </c>
      <c r="AG29">
        <f t="shared" si="15"/>
        <v>1040.4388595817582</v>
      </c>
      <c r="AH29">
        <f t="shared" si="16"/>
        <v>0</v>
      </c>
      <c r="AI29">
        <f t="shared" si="17"/>
        <v>1040.4388595817582</v>
      </c>
      <c r="AJ29">
        <f t="shared" si="18"/>
        <v>0.70258299473859609</v>
      </c>
      <c r="AK29">
        <f t="shared" si="19"/>
        <v>729.03686233225721</v>
      </c>
      <c r="AL29">
        <f t="shared" si="27"/>
        <v>5360.933604516481</v>
      </c>
      <c r="AM29">
        <f t="shared" si="20"/>
        <v>4556.793563839009</v>
      </c>
    </row>
    <row r="30" spans="1:39" x14ac:dyDescent="0.2">
      <c r="A30">
        <f t="shared" si="21"/>
        <v>36</v>
      </c>
      <c r="B30">
        <f>VLOOKUP(A30,Table22[#All],2,FALSE)</f>
        <v>7.790214363E-4</v>
      </c>
      <c r="C30">
        <f t="shared" si="22"/>
        <v>0.1</v>
      </c>
      <c r="D30">
        <f t="shared" si="23"/>
        <v>0.15</v>
      </c>
      <c r="E30">
        <f t="shared" si="0"/>
        <v>5.9595139876950001E-4</v>
      </c>
      <c r="F30">
        <f t="shared" si="1"/>
        <v>0.99940404860123055</v>
      </c>
      <c r="G30">
        <f t="shared" si="2"/>
        <v>8.7437529622321937E-3</v>
      </c>
      <c r="H30">
        <f t="shared" si="3"/>
        <v>1.926749108936161E-2</v>
      </c>
      <c r="J30">
        <f t="shared" si="24"/>
        <v>36</v>
      </c>
      <c r="K30">
        <f t="shared" si="4"/>
        <v>5.9595139876950001E-4</v>
      </c>
      <c r="L30">
        <f>Lapses!B8</f>
        <v>1.026E-2</v>
      </c>
      <c r="M30">
        <f t="shared" si="5"/>
        <v>0.99940404860123055</v>
      </c>
      <c r="N30">
        <f t="shared" si="25"/>
        <v>0.99674055257033034</v>
      </c>
      <c r="P30">
        <v>7</v>
      </c>
      <c r="Q30">
        <f t="shared" si="6"/>
        <v>7213.6839428391067</v>
      </c>
      <c r="R30">
        <f t="shared" si="26"/>
        <v>300</v>
      </c>
      <c r="S30">
        <f>VLOOKUP(A30,Table1[#All],4,FALSE)</f>
        <v>555497.9253</v>
      </c>
      <c r="T30">
        <f t="shared" si="7"/>
        <v>0</v>
      </c>
      <c r="V30">
        <v>7</v>
      </c>
      <c r="W30">
        <f t="shared" si="8"/>
        <v>0</v>
      </c>
      <c r="X30">
        <f t="shared" si="9"/>
        <v>5551.6687553440397</v>
      </c>
      <c r="Z30">
        <v>7</v>
      </c>
      <c r="AA30">
        <f t="shared" si="10"/>
        <v>7213.6839428391067</v>
      </c>
      <c r="AB30">
        <f t="shared" si="11"/>
        <v>-300</v>
      </c>
      <c r="AC30">
        <f t="shared" si="12"/>
        <v>-331.04976559609025</v>
      </c>
      <c r="AD30">
        <f>0</f>
        <v>0</v>
      </c>
      <c r="AE30">
        <f t="shared" si="13"/>
        <v>418.94850588422133</v>
      </c>
      <c r="AF30">
        <f t="shared" si="14"/>
        <v>-5551.6687553440397</v>
      </c>
      <c r="AG30">
        <f t="shared" si="15"/>
        <v>1449.9139277831982</v>
      </c>
      <c r="AH30">
        <f t="shared" si="16"/>
        <v>0</v>
      </c>
      <c r="AI30">
        <f t="shared" si="17"/>
        <v>1449.9139277831982</v>
      </c>
      <c r="AJ30">
        <f t="shared" si="18"/>
        <v>0.66244105417853916</v>
      </c>
      <c r="AK30">
        <f t="shared" si="19"/>
        <v>957.35186853781477</v>
      </c>
      <c r="AL30">
        <f t="shared" si="27"/>
        <v>5051.6920981644553</v>
      </c>
      <c r="AM30">
        <f t="shared" si="20"/>
        <v>4293.9382834397866</v>
      </c>
    </row>
    <row r="31" spans="1:39" x14ac:dyDescent="0.2">
      <c r="A31">
        <f t="shared" si="21"/>
        <v>37</v>
      </c>
      <c r="B31">
        <f>VLOOKUP(A31,Table22[#All],2,FALSE)</f>
        <v>8.0064680800000004E-4</v>
      </c>
      <c r="C31">
        <f t="shared" si="22"/>
        <v>0.1</v>
      </c>
      <c r="D31">
        <f t="shared" si="23"/>
        <v>0.15</v>
      </c>
      <c r="E31">
        <f t="shared" si="0"/>
        <v>6.1249480812000006E-4</v>
      </c>
      <c r="F31">
        <f t="shared" si="1"/>
        <v>0.99938750519188002</v>
      </c>
      <c r="G31">
        <f t="shared" si="2"/>
        <v>8.6828213012148034E-3</v>
      </c>
      <c r="H31">
        <f t="shared" si="3"/>
        <v>-6.1946568928846098E-4</v>
      </c>
      <c r="J31">
        <f t="shared" si="24"/>
        <v>37</v>
      </c>
      <c r="K31">
        <f t="shared" si="4"/>
        <v>6.1249480812000006E-4</v>
      </c>
      <c r="L31">
        <f>Lapses!B9</f>
        <v>9.9500000000000005E-3</v>
      </c>
      <c r="M31">
        <f t="shared" si="5"/>
        <v>0.99938750519188002</v>
      </c>
      <c r="N31">
        <f t="shared" si="25"/>
        <v>0.99614654364381583</v>
      </c>
      <c r="P31">
        <v>8</v>
      </c>
      <c r="Q31">
        <f t="shared" si="6"/>
        <v>7213.6839428391067</v>
      </c>
      <c r="R31">
        <f t="shared" si="26"/>
        <v>300</v>
      </c>
      <c r="S31">
        <f>VLOOKUP(A31,Table1[#All],4,FALSE)</f>
        <v>562633.83299999998</v>
      </c>
      <c r="T31">
        <f t="shared" si="7"/>
        <v>0</v>
      </c>
      <c r="V31">
        <v>8</v>
      </c>
      <c r="W31">
        <f t="shared" si="8"/>
        <v>0</v>
      </c>
      <c r="X31">
        <f t="shared" si="9"/>
        <v>5622.8922269841487</v>
      </c>
      <c r="Z31">
        <v>8</v>
      </c>
      <c r="AA31">
        <f t="shared" si="10"/>
        <v>7213.6839428391067</v>
      </c>
      <c r="AB31">
        <f t="shared" si="11"/>
        <v>-300</v>
      </c>
      <c r="AC31">
        <f t="shared" si="12"/>
        <v>-344.61030158515513</v>
      </c>
      <c r="AD31">
        <f>0</f>
        <v>0</v>
      </c>
      <c r="AE31">
        <f t="shared" si="13"/>
        <v>418.94850588422133</v>
      </c>
      <c r="AF31">
        <f t="shared" si="14"/>
        <v>-5622.8922269841487</v>
      </c>
      <c r="AG31">
        <f t="shared" si="15"/>
        <v>1365.1299201540241</v>
      </c>
      <c r="AH31">
        <f t="shared" si="16"/>
        <v>0</v>
      </c>
      <c r="AI31">
        <f t="shared" si="17"/>
        <v>1365.1299201540241</v>
      </c>
      <c r="AJ31">
        <f t="shared" si="18"/>
        <v>0.62459261545953759</v>
      </c>
      <c r="AK31">
        <f t="shared" si="19"/>
        <v>849.36441744974502</v>
      </c>
      <c r="AL31">
        <f t="shared" si="27"/>
        <v>4760.2261133987759</v>
      </c>
      <c r="AM31">
        <f t="shared" si="20"/>
        <v>4046.1921963889595</v>
      </c>
    </row>
    <row r="32" spans="1:39" x14ac:dyDescent="0.2">
      <c r="A32">
        <f t="shared" si="21"/>
        <v>38</v>
      </c>
      <c r="B32">
        <f>VLOOKUP(A32,Table22[#All],2,FALSE)</f>
        <v>8.2948714519999998E-4</v>
      </c>
      <c r="C32">
        <f t="shared" si="22"/>
        <v>0.1</v>
      </c>
      <c r="D32">
        <f t="shared" si="23"/>
        <v>0.15</v>
      </c>
      <c r="E32">
        <f t="shared" si="0"/>
        <v>6.3455766607799994E-4</v>
      </c>
      <c r="F32">
        <f t="shared" si="1"/>
        <v>0.99936544233392199</v>
      </c>
      <c r="G32">
        <f t="shared" si="2"/>
        <v>8.6017479414394055E-3</v>
      </c>
      <c r="H32">
        <f t="shared" si="3"/>
        <v>1.6842733712641049E-2</v>
      </c>
      <c r="J32">
        <f t="shared" si="24"/>
        <v>38</v>
      </c>
      <c r="K32">
        <f t="shared" si="4"/>
        <v>6.3455766607799994E-4</v>
      </c>
      <c r="L32">
        <f>Lapses!B10</f>
        <v>0.01</v>
      </c>
      <c r="M32">
        <f t="shared" si="5"/>
        <v>0.99936544233392199</v>
      </c>
      <c r="N32">
        <f t="shared" si="25"/>
        <v>0.99553640905770735</v>
      </c>
      <c r="P32">
        <v>9</v>
      </c>
      <c r="Q32">
        <f t="shared" si="6"/>
        <v>7213.6839428391067</v>
      </c>
      <c r="R32">
        <f t="shared" si="26"/>
        <v>300</v>
      </c>
      <c r="S32">
        <f>VLOOKUP(A32,Table1[#All],4,FALSE)</f>
        <v>620616.57030000002</v>
      </c>
      <c r="T32">
        <f t="shared" si="7"/>
        <v>0</v>
      </c>
      <c r="V32">
        <v>9</v>
      </c>
      <c r="W32">
        <f t="shared" si="8"/>
        <v>0</v>
      </c>
      <c r="X32">
        <f t="shared" si="9"/>
        <v>6202.2275329762115</v>
      </c>
      <c r="Z32">
        <v>9</v>
      </c>
      <c r="AA32">
        <f t="shared" si="10"/>
        <v>7213.6839428391067</v>
      </c>
      <c r="AB32">
        <f t="shared" si="11"/>
        <v>-300</v>
      </c>
      <c r="AC32">
        <f t="shared" si="12"/>
        <v>-393.81700237890101</v>
      </c>
      <c r="AD32">
        <f>0</f>
        <v>0</v>
      </c>
      <c r="AE32">
        <f t="shared" si="13"/>
        <v>418.94850588422133</v>
      </c>
      <c r="AF32">
        <f t="shared" si="14"/>
        <v>-6202.2275329762115</v>
      </c>
      <c r="AG32">
        <f t="shared" si="15"/>
        <v>736.5879133682156</v>
      </c>
      <c r="AH32">
        <f t="shared" si="16"/>
        <v>0</v>
      </c>
      <c r="AI32">
        <f t="shared" si="17"/>
        <v>736.5879133682156</v>
      </c>
      <c r="AJ32">
        <f t="shared" si="18"/>
        <v>0.58890663980714408</v>
      </c>
      <c r="AK32">
        <f t="shared" si="19"/>
        <v>431.84528975194115</v>
      </c>
      <c r="AL32">
        <f t="shared" si="27"/>
        <v>4485.5025043620171</v>
      </c>
      <c r="AM32">
        <f t="shared" si="20"/>
        <v>3812.6771287077145</v>
      </c>
    </row>
    <row r="33" spans="1:39" x14ac:dyDescent="0.2">
      <c r="A33">
        <f t="shared" si="21"/>
        <v>39</v>
      </c>
      <c r="B33">
        <f>VLOOKUP(A33,Table22[#All],2,FALSE)</f>
        <v>8.6837994030000004E-4</v>
      </c>
      <c r="C33">
        <f t="shared" si="22"/>
        <v>0.1</v>
      </c>
      <c r="D33">
        <f t="shared" si="23"/>
        <v>0.15</v>
      </c>
      <c r="E33">
        <f t="shared" si="0"/>
        <v>6.6431065432949997E-4</v>
      </c>
      <c r="F33">
        <f t="shared" si="1"/>
        <v>0.99933568934567052</v>
      </c>
      <c r="G33">
        <f t="shared" si="2"/>
        <v>8.4938202140999557E-3</v>
      </c>
      <c r="H33">
        <f t="shared" si="3"/>
        <v>1.1767269220418555E-3</v>
      </c>
      <c r="J33">
        <f t="shared" si="24"/>
        <v>39</v>
      </c>
      <c r="K33">
        <f t="shared" si="4"/>
        <v>6.6431065432949997E-4</v>
      </c>
      <c r="L33">
        <f>Lapses!B11</f>
        <v>1.021E-2</v>
      </c>
      <c r="M33">
        <f t="shared" si="5"/>
        <v>0.99933568934567052</v>
      </c>
      <c r="N33">
        <f t="shared" si="25"/>
        <v>0.99490468379747998</v>
      </c>
      <c r="P33">
        <v>10</v>
      </c>
      <c r="Q33">
        <f t="shared" si="6"/>
        <v>7213.6839428391067</v>
      </c>
      <c r="R33">
        <f t="shared" si="26"/>
        <v>300</v>
      </c>
      <c r="S33">
        <f>VLOOKUP(A33,Table1[#All],4,FALSE)</f>
        <v>587360.59479999996</v>
      </c>
      <c r="T33">
        <f t="shared" si="7"/>
        <v>0</v>
      </c>
      <c r="V33">
        <v>10</v>
      </c>
      <c r="W33">
        <f t="shared" si="8"/>
        <v>0</v>
      </c>
      <c r="X33">
        <f t="shared" si="9"/>
        <v>5869.7040489894107</v>
      </c>
      <c r="Z33">
        <v>10</v>
      </c>
      <c r="AA33">
        <f t="shared" si="10"/>
        <v>7213.6839428391067</v>
      </c>
      <c r="AB33">
        <f t="shared" si="11"/>
        <v>-300</v>
      </c>
      <c r="AC33">
        <f t="shared" si="12"/>
        <v>-390.18990105895227</v>
      </c>
      <c r="AD33">
        <f>0</f>
        <v>0</v>
      </c>
      <c r="AE33">
        <f t="shared" si="13"/>
        <v>418.94850588422133</v>
      </c>
      <c r="AF33">
        <f t="shared" si="14"/>
        <v>-5869.7040489894107</v>
      </c>
      <c r="AG33">
        <f t="shared" si="15"/>
        <v>1072.7384986749648</v>
      </c>
      <c r="AH33">
        <f t="shared" si="16"/>
        <v>0</v>
      </c>
      <c r="AI33">
        <f t="shared" si="17"/>
        <v>1072.7384986749648</v>
      </c>
      <c r="AJ33">
        <f t="shared" si="18"/>
        <v>0.55525957532139369</v>
      </c>
      <c r="AK33">
        <f t="shared" si="19"/>
        <v>592.61330665293917</v>
      </c>
      <c r="AL33">
        <f t="shared" si="27"/>
        <v>4226.5405185585687</v>
      </c>
      <c r="AM33">
        <f t="shared" si="20"/>
        <v>3592.5594407747831</v>
      </c>
    </row>
    <row r="34" spans="1:39" x14ac:dyDescent="0.2">
      <c r="A34">
        <f t="shared" si="21"/>
        <v>40</v>
      </c>
      <c r="B34">
        <f>VLOOKUP(A34,Table22[#All],2,FALSE)</f>
        <v>9.2016268579999999E-4</v>
      </c>
      <c r="C34">
        <f t="shared" si="22"/>
        <v>0.1</v>
      </c>
      <c r="D34">
        <f t="shared" si="23"/>
        <v>0.15</v>
      </c>
      <c r="E34">
        <f t="shared" si="0"/>
        <v>7.039244546369999E-4</v>
      </c>
      <c r="F34">
        <f t="shared" si="1"/>
        <v>0.99929607554536304</v>
      </c>
      <c r="G34">
        <f t="shared" si="2"/>
        <v>8.3497564154320966E-3</v>
      </c>
      <c r="H34">
        <f t="shared" si="3"/>
        <v>1.4861079422774197E-2</v>
      </c>
      <c r="J34">
        <f t="shared" si="24"/>
        <v>40</v>
      </c>
      <c r="K34">
        <f t="shared" si="4"/>
        <v>7.039244546369999E-4</v>
      </c>
      <c r="L34">
        <f>Lapses!B12</f>
        <v>9.9500000000000005E-3</v>
      </c>
      <c r="M34">
        <f t="shared" si="5"/>
        <v>0.99929607554536304</v>
      </c>
      <c r="N34">
        <f t="shared" si="25"/>
        <v>0.99424375801599096</v>
      </c>
      <c r="P34">
        <v>11</v>
      </c>
      <c r="Q34">
        <f t="shared" si="6"/>
        <v>7213.6839428391067</v>
      </c>
      <c r="R34">
        <f t="shared" si="26"/>
        <v>300</v>
      </c>
      <c r="S34">
        <f>VLOOKUP(A34,Table1[#All],4,FALSE)</f>
        <v>593373.49399999995</v>
      </c>
      <c r="T34">
        <f t="shared" si="7"/>
        <v>0</v>
      </c>
      <c r="V34">
        <v>11</v>
      </c>
      <c r="W34">
        <f t="shared" si="8"/>
        <v>0</v>
      </c>
      <c r="X34">
        <f t="shared" si="9"/>
        <v>5929.5580388684002</v>
      </c>
      <c r="Z34">
        <v>11</v>
      </c>
      <c r="AA34">
        <f t="shared" si="10"/>
        <v>7213.6839428391067</v>
      </c>
      <c r="AB34">
        <f t="shared" si="11"/>
        <v>-300</v>
      </c>
      <c r="AC34">
        <f t="shared" si="12"/>
        <v>-417.69011316000109</v>
      </c>
      <c r="AD34">
        <f>0</f>
        <v>0</v>
      </c>
      <c r="AE34">
        <f t="shared" si="13"/>
        <v>418.94850588422133</v>
      </c>
      <c r="AF34">
        <f t="shared" si="14"/>
        <v>-5929.5580388684002</v>
      </c>
      <c r="AG34">
        <f t="shared" si="15"/>
        <v>985.38429669492689</v>
      </c>
      <c r="AH34">
        <f t="shared" si="16"/>
        <v>0</v>
      </c>
      <c r="AI34">
        <f t="shared" si="17"/>
        <v>985.38429669492689</v>
      </c>
      <c r="AJ34">
        <f t="shared" si="18"/>
        <v>0.52353492921570932</v>
      </c>
      <c r="AK34">
        <f t="shared" si="19"/>
        <v>512.91355007278401</v>
      </c>
      <c r="AL34">
        <f t="shared" si="27"/>
        <v>3982.4106448171506</v>
      </c>
      <c r="AM34">
        <f t="shared" si="20"/>
        <v>3385.0490480945778</v>
      </c>
    </row>
    <row r="35" spans="1:39" x14ac:dyDescent="0.2">
      <c r="A35">
        <f t="shared" si="21"/>
        <v>41</v>
      </c>
      <c r="B35">
        <f>VLOOKUP(A35,Table22[#All],2,FALSE)</f>
        <v>9.8712468829999993E-4</v>
      </c>
      <c r="C35">
        <f t="shared" si="22"/>
        <v>0.1</v>
      </c>
      <c r="D35">
        <f t="shared" si="23"/>
        <v>0.15</v>
      </c>
      <c r="E35">
        <f t="shared" si="0"/>
        <v>7.5515038654949999E-4</v>
      </c>
      <c r="F35">
        <f t="shared" si="1"/>
        <v>0.9992448496134505</v>
      </c>
      <c r="G35">
        <f t="shared" si="2"/>
        <v>8.1575444453258882E-3</v>
      </c>
      <c r="H35">
        <f t="shared" si="3"/>
        <v>2.3502575447815824E-3</v>
      </c>
      <c r="J35">
        <f t="shared" si="24"/>
        <v>41</v>
      </c>
      <c r="K35">
        <f t="shared" si="4"/>
        <v>7.5515038654949999E-4</v>
      </c>
      <c r="L35">
        <f>Lapses!B13</f>
        <v>0.01</v>
      </c>
      <c r="M35">
        <f t="shared" si="5"/>
        <v>0.9992448496134505</v>
      </c>
      <c r="N35">
        <f t="shared" si="25"/>
        <v>0.99354388552085338</v>
      </c>
      <c r="P35">
        <v>12</v>
      </c>
      <c r="Q35">
        <f t="shared" si="6"/>
        <v>7213.6839428391067</v>
      </c>
      <c r="R35">
        <f t="shared" si="26"/>
        <v>300</v>
      </c>
      <c r="S35">
        <f>VLOOKUP(A35,Table1[#All],4,FALSE)</f>
        <v>647064.05689999997</v>
      </c>
      <c r="T35">
        <f t="shared" si="7"/>
        <v>0</v>
      </c>
      <c r="V35">
        <v>12</v>
      </c>
      <c r="W35">
        <f t="shared" si="8"/>
        <v>0</v>
      </c>
      <c r="X35">
        <f t="shared" si="9"/>
        <v>6465.7542622730962</v>
      </c>
      <c r="Z35">
        <v>12</v>
      </c>
      <c r="AA35">
        <f t="shared" si="10"/>
        <v>7213.6839428391067</v>
      </c>
      <c r="AB35">
        <f t="shared" si="11"/>
        <v>-300</v>
      </c>
      <c r="AC35">
        <f t="shared" si="12"/>
        <v>-488.63067269032263</v>
      </c>
      <c r="AD35">
        <f>0</f>
        <v>0</v>
      </c>
      <c r="AE35">
        <f t="shared" si="13"/>
        <v>418.94850588422133</v>
      </c>
      <c r="AF35">
        <f t="shared" si="14"/>
        <v>-6465.7542622730962</v>
      </c>
      <c r="AG35">
        <f t="shared" si="15"/>
        <v>378.24751375990945</v>
      </c>
      <c r="AH35">
        <f t="shared" si="16"/>
        <v>0</v>
      </c>
      <c r="AI35">
        <f t="shared" si="17"/>
        <v>378.24751375990945</v>
      </c>
      <c r="AJ35">
        <f t="shared" si="18"/>
        <v>0.49362286449585413</v>
      </c>
      <c r="AK35">
        <f t="shared" si="19"/>
        <v>185.50618962934968</v>
      </c>
      <c r="AL35">
        <f t="shared" si="27"/>
        <v>3752.2332503070029</v>
      </c>
      <c r="AM35">
        <f t="shared" si="20"/>
        <v>3189.3982627609525</v>
      </c>
    </row>
    <row r="36" spans="1:39" x14ac:dyDescent="0.2">
      <c r="A36">
        <f t="shared" si="21"/>
        <v>42</v>
      </c>
      <c r="B36">
        <f>VLOOKUP(A36,Table22[#All],2,FALSE)</f>
        <v>1.069362512E-3</v>
      </c>
      <c r="C36">
        <f t="shared" si="22"/>
        <v>0.1</v>
      </c>
      <c r="D36">
        <f t="shared" si="23"/>
        <v>0.15</v>
      </c>
      <c r="E36">
        <f t="shared" si="0"/>
        <v>8.1806232168000006E-4</v>
      </c>
      <c r="F36">
        <f t="shared" si="1"/>
        <v>0.99918193767831998</v>
      </c>
      <c r="G36">
        <f t="shared" si="2"/>
        <v>7.9026844947808119E-3</v>
      </c>
      <c r="H36">
        <f t="shared" si="3"/>
        <v>1.3093716005135201E-2</v>
      </c>
      <c r="J36">
        <f t="shared" si="24"/>
        <v>42</v>
      </c>
      <c r="K36">
        <f t="shared" si="4"/>
        <v>8.1806232168000006E-4</v>
      </c>
      <c r="L36">
        <f>Lapses!B14</f>
        <v>9.8799999999999999E-3</v>
      </c>
      <c r="M36">
        <f t="shared" si="5"/>
        <v>0.99918193767831998</v>
      </c>
      <c r="N36">
        <f t="shared" si="25"/>
        <v>0.99279361047164838</v>
      </c>
      <c r="P36">
        <v>13</v>
      </c>
      <c r="Q36">
        <f t="shared" si="6"/>
        <v>7213.6839428391067</v>
      </c>
      <c r="R36">
        <f t="shared" si="26"/>
        <v>300</v>
      </c>
      <c r="S36">
        <f>VLOOKUP(A36,Table1[#All],4,FALSE)</f>
        <v>543871.59530000004</v>
      </c>
      <c r="T36">
        <f t="shared" si="7"/>
        <v>0</v>
      </c>
      <c r="V36">
        <v>13</v>
      </c>
      <c r="W36">
        <f t="shared" si="8"/>
        <v>0</v>
      </c>
      <c r="X36">
        <f t="shared" si="9"/>
        <v>5434.266744400531</v>
      </c>
      <c r="Z36">
        <v>13</v>
      </c>
      <c r="AA36">
        <f t="shared" si="10"/>
        <v>7213.6839428391067</v>
      </c>
      <c r="AB36">
        <f t="shared" si="11"/>
        <v>-300</v>
      </c>
      <c r="AC36">
        <f t="shared" si="12"/>
        <v>-444.92085994692343</v>
      </c>
      <c r="AD36">
        <f>0</f>
        <v>0</v>
      </c>
      <c r="AE36">
        <f t="shared" si="13"/>
        <v>418.94850588422133</v>
      </c>
      <c r="AF36">
        <f t="shared" si="14"/>
        <v>-5434.266744400531</v>
      </c>
      <c r="AG36">
        <f t="shared" si="15"/>
        <v>1453.4448443758729</v>
      </c>
      <c r="AH36">
        <f t="shared" si="16"/>
        <v>0</v>
      </c>
      <c r="AI36">
        <f t="shared" si="17"/>
        <v>1453.4448443758729</v>
      </c>
      <c r="AJ36">
        <f t="shared" si="18"/>
        <v>0.46541981968255058</v>
      </c>
      <c r="AK36">
        <f t="shared" si="19"/>
        <v>671.58718844539158</v>
      </c>
      <c r="AL36">
        <f t="shared" si="27"/>
        <v>3535.1785361618126</v>
      </c>
      <c r="AM36">
        <f t="shared" si="20"/>
        <v>3004.9017557375405</v>
      </c>
    </row>
    <row r="37" spans="1:39" x14ac:dyDescent="0.2">
      <c r="A37">
        <f t="shared" si="21"/>
        <v>43</v>
      </c>
      <c r="B37">
        <f>VLOOKUP(A37,Table22[#All],2,FALSE)</f>
        <v>1.1664245369999999E-3</v>
      </c>
      <c r="C37">
        <f t="shared" si="22"/>
        <v>0.1</v>
      </c>
      <c r="D37">
        <f t="shared" si="23"/>
        <v>0.15</v>
      </c>
      <c r="E37">
        <f t="shared" si="0"/>
        <v>8.9231477080499986E-4</v>
      </c>
      <c r="F37">
        <f t="shared" si="1"/>
        <v>0.99910768522919502</v>
      </c>
      <c r="G37">
        <f t="shared" si="2"/>
        <v>7.5696936265736052E-3</v>
      </c>
      <c r="H37">
        <f t="shared" si="3"/>
        <v>2.9190466239564254E-3</v>
      </c>
      <c r="J37">
        <f t="shared" si="24"/>
        <v>43</v>
      </c>
      <c r="K37">
        <f t="shared" si="4"/>
        <v>8.9231477080499986E-4</v>
      </c>
      <c r="L37">
        <f>Lapses!B15</f>
        <v>9.9699999999999997E-3</v>
      </c>
      <c r="M37">
        <f t="shared" si="5"/>
        <v>0.99910768522919502</v>
      </c>
      <c r="N37">
        <f t="shared" si="25"/>
        <v>0.99198144342571681</v>
      </c>
      <c r="P37">
        <v>14</v>
      </c>
      <c r="Q37">
        <f t="shared" si="6"/>
        <v>7213.6839428391067</v>
      </c>
      <c r="R37">
        <f t="shared" si="26"/>
        <v>300</v>
      </c>
      <c r="S37">
        <f>VLOOKUP(A37,Table1[#All],4,FALSE)</f>
        <v>625732.21759999997</v>
      </c>
      <c r="T37">
        <f t="shared" si="7"/>
        <v>0</v>
      </c>
      <c r="V37">
        <v>14</v>
      </c>
      <c r="W37">
        <f t="shared" si="8"/>
        <v>0</v>
      </c>
      <c r="X37">
        <f t="shared" si="9"/>
        <v>6251.7386749966699</v>
      </c>
      <c r="Z37">
        <v>14</v>
      </c>
      <c r="AA37">
        <f t="shared" si="10"/>
        <v>7213.6839428391067</v>
      </c>
      <c r="AB37">
        <f t="shared" si="11"/>
        <v>-300</v>
      </c>
      <c r="AC37">
        <f t="shared" si="12"/>
        <v>-558.35010033304832</v>
      </c>
      <c r="AD37">
        <f>0</f>
        <v>0</v>
      </c>
      <c r="AE37">
        <f t="shared" si="13"/>
        <v>418.94850588422133</v>
      </c>
      <c r="AF37">
        <f t="shared" si="14"/>
        <v>-6251.7386749966699</v>
      </c>
      <c r="AG37">
        <f t="shared" si="15"/>
        <v>522.54367339360942</v>
      </c>
      <c r="AH37">
        <f t="shared" si="16"/>
        <v>0</v>
      </c>
      <c r="AI37">
        <f t="shared" si="17"/>
        <v>522.54367339360942</v>
      </c>
      <c r="AJ37">
        <f t="shared" si="18"/>
        <v>0.43882815026117428</v>
      </c>
      <c r="AK37">
        <f t="shared" si="19"/>
        <v>227.46816348695475</v>
      </c>
      <c r="AL37">
        <f t="shared" si="27"/>
        <v>3330.4700463993076</v>
      </c>
      <c r="AM37">
        <f t="shared" si="20"/>
        <v>2830.8995394394115</v>
      </c>
    </row>
    <row r="38" spans="1:39" x14ac:dyDescent="0.2">
      <c r="A38">
        <f t="shared" si="21"/>
        <v>44</v>
      </c>
      <c r="B38">
        <f>VLOOKUP(A38,Table22[#All],2,FALSE)</f>
        <v>1.27785914E-3</v>
      </c>
      <c r="C38">
        <f t="shared" si="22"/>
        <v>0.1</v>
      </c>
      <c r="D38">
        <f t="shared" si="23"/>
        <v>0.15</v>
      </c>
      <c r="E38">
        <f t="shared" si="0"/>
        <v>9.7756224210000017E-4</v>
      </c>
      <c r="F38">
        <f t="shared" si="1"/>
        <v>0.99902243775790001</v>
      </c>
      <c r="G38">
        <f t="shared" si="2"/>
        <v>7.1424528966775695E-3</v>
      </c>
      <c r="H38">
        <f t="shared" si="3"/>
        <v>1.1318402651362365E-2</v>
      </c>
      <c r="J38">
        <f t="shared" si="24"/>
        <v>44</v>
      </c>
      <c r="K38">
        <f t="shared" si="4"/>
        <v>9.7756224210000017E-4</v>
      </c>
      <c r="L38">
        <f>Lapses!B16</f>
        <v>1.0149999999999999E-2</v>
      </c>
      <c r="M38">
        <f t="shared" si="5"/>
        <v>0.99902243775790001</v>
      </c>
      <c r="N38">
        <f t="shared" si="25"/>
        <v>0.99109628373138359</v>
      </c>
      <c r="P38">
        <v>15</v>
      </c>
      <c r="Q38">
        <f t="shared" si="6"/>
        <v>7213.6839428391067</v>
      </c>
      <c r="R38">
        <f t="shared" si="26"/>
        <v>300</v>
      </c>
      <c r="S38">
        <f>VLOOKUP(A38,Table1[#All],4,FALSE)</f>
        <v>619626.16819999996</v>
      </c>
      <c r="T38">
        <f t="shared" si="7"/>
        <v>0</v>
      </c>
      <c r="V38">
        <v>15</v>
      </c>
      <c r="W38">
        <f t="shared" si="8"/>
        <v>0</v>
      </c>
      <c r="X38">
        <f t="shared" si="9"/>
        <v>6190.2044505375052</v>
      </c>
      <c r="Z38">
        <v>15</v>
      </c>
      <c r="AA38">
        <f t="shared" si="10"/>
        <v>7213.6839428391067</v>
      </c>
      <c r="AB38">
        <f t="shared" si="11"/>
        <v>-300</v>
      </c>
      <c r="AC38">
        <f t="shared" si="12"/>
        <v>-605.72314624942373</v>
      </c>
      <c r="AD38">
        <f>0</f>
        <v>0</v>
      </c>
      <c r="AE38">
        <f t="shared" si="13"/>
        <v>418.94850588422133</v>
      </c>
      <c r="AF38">
        <f t="shared" si="14"/>
        <v>-6190.2044505375052</v>
      </c>
      <c r="AG38">
        <f t="shared" si="15"/>
        <v>536.70485193639888</v>
      </c>
      <c r="AH38">
        <f t="shared" si="16"/>
        <v>0</v>
      </c>
      <c r="AI38">
        <f t="shared" si="17"/>
        <v>536.70485193639888</v>
      </c>
      <c r="AJ38">
        <f t="shared" si="18"/>
        <v>0.41375579061714701</v>
      </c>
      <c r="AK38">
        <f t="shared" si="19"/>
        <v>220.08753889974329</v>
      </c>
      <c r="AL38">
        <f t="shared" si="27"/>
        <v>3137.382265632642</v>
      </c>
      <c r="AM38">
        <f t="shared" si="20"/>
        <v>2666.7749257877458</v>
      </c>
    </row>
    <row r="39" spans="1:39" x14ac:dyDescent="0.2">
      <c r="A39">
        <f t="shared" si="21"/>
        <v>45</v>
      </c>
      <c r="B39">
        <f>VLOOKUP(A39,Table22[#All],2,FALSE)</f>
        <v>1.4032147020000001E-3</v>
      </c>
      <c r="C39">
        <f t="shared" si="22"/>
        <v>0.1</v>
      </c>
      <c r="D39">
        <f t="shared" si="23"/>
        <v>0.15</v>
      </c>
      <c r="E39">
        <f t="shared" si="0"/>
        <v>1.0734592470300001E-3</v>
      </c>
      <c r="F39">
        <f t="shared" si="1"/>
        <v>0.99892654075297005</v>
      </c>
      <c r="G39">
        <f t="shared" si="2"/>
        <v>6.6041578481107217E-3</v>
      </c>
      <c r="H39">
        <f t="shared" si="3"/>
        <v>6.6041578481107217E-3</v>
      </c>
      <c r="J39">
        <f t="shared" si="24"/>
        <v>45</v>
      </c>
      <c r="K39">
        <f t="shared" si="4"/>
        <v>1.0734592470300001E-3</v>
      </c>
      <c r="L39">
        <f>Lapses!B17</f>
        <v>9.9600000000000001E-3</v>
      </c>
      <c r="M39">
        <f t="shared" si="5"/>
        <v>0.99892654075297005</v>
      </c>
      <c r="N39">
        <f t="shared" si="25"/>
        <v>0.9901274254261222</v>
      </c>
      <c r="P39">
        <v>16</v>
      </c>
      <c r="Q39">
        <f t="shared" si="6"/>
        <v>7213.6839428391067</v>
      </c>
      <c r="R39">
        <f t="shared" si="26"/>
        <v>300</v>
      </c>
      <c r="S39">
        <f>VLOOKUP(A39,Table1[#All],4,FALSE)</f>
        <v>636585.36589999998</v>
      </c>
      <c r="T39">
        <f t="shared" si="7"/>
        <v>0</v>
      </c>
      <c r="V39">
        <v>16</v>
      </c>
      <c r="W39">
        <f t="shared" si="8"/>
        <v>0</v>
      </c>
      <c r="X39">
        <f t="shared" si="9"/>
        <v>6359.0201745245067</v>
      </c>
      <c r="Z39">
        <v>16</v>
      </c>
      <c r="AA39">
        <f t="shared" si="10"/>
        <v>7213.6839428391067</v>
      </c>
      <c r="AB39">
        <f t="shared" si="11"/>
        <v>-300</v>
      </c>
      <c r="AC39">
        <f t="shared" si="12"/>
        <v>-683.34844754933113</v>
      </c>
      <c r="AD39">
        <f>0</f>
        <v>0</v>
      </c>
      <c r="AE39">
        <f t="shared" si="13"/>
        <v>418.94850588422133</v>
      </c>
      <c r="AF39">
        <f t="shared" si="14"/>
        <v>-6359.0201745245067</v>
      </c>
      <c r="AG39">
        <f t="shared" si="15"/>
        <v>290.2638266494896</v>
      </c>
      <c r="AH39">
        <f t="shared" si="16"/>
        <v>0</v>
      </c>
      <c r="AI39">
        <f t="shared" si="17"/>
        <v>290.2638266494896</v>
      </c>
      <c r="AJ39">
        <f t="shared" si="18"/>
        <v>0.39011593528658578</v>
      </c>
      <c r="AK39">
        <f t="shared" si="19"/>
        <v>112.11860798599572</v>
      </c>
      <c r="AL39">
        <f t="shared" si="27"/>
        <v>2955.236795117019</v>
      </c>
      <c r="AM39">
        <f t="shared" si="20"/>
        <v>2511.9512758494661</v>
      </c>
    </row>
    <row r="40" spans="1:39" x14ac:dyDescent="0.2">
      <c r="A40">
        <f t="shared" si="21"/>
        <v>46</v>
      </c>
      <c r="B40">
        <f>VLOOKUP(A40,Table22[#All],2,FALSE)</f>
        <v>1.5420396E-3</v>
      </c>
      <c r="C40">
        <f t="shared" si="22"/>
        <v>0.1</v>
      </c>
      <c r="D40">
        <f t="shared" si="23"/>
        <v>0.15</v>
      </c>
      <c r="E40">
        <f t="shared" si="0"/>
        <v>1.179660294E-3</v>
      </c>
      <c r="F40">
        <f t="shared" si="1"/>
        <v>0.99882033970600004</v>
      </c>
      <c r="G40">
        <f t="shared" si="2"/>
        <v>5.9372641653230125E-3</v>
      </c>
      <c r="H40">
        <f t="shared" si="3"/>
        <v>5.9372641653230125E-3</v>
      </c>
      <c r="J40">
        <f t="shared" si="24"/>
        <v>46</v>
      </c>
      <c r="K40">
        <f t="shared" si="4"/>
        <v>1.179660294E-3</v>
      </c>
      <c r="L40">
        <f>Lapses!B18</f>
        <v>9.9399999999999992E-3</v>
      </c>
      <c r="M40">
        <f t="shared" si="5"/>
        <v>0.99882033970600004</v>
      </c>
      <c r="N40">
        <f t="shared" si="25"/>
        <v>0.98906456398556053</v>
      </c>
      <c r="P40">
        <v>17</v>
      </c>
      <c r="Q40">
        <f t="shared" si="6"/>
        <v>7213.6839428391067</v>
      </c>
      <c r="R40">
        <f t="shared" si="26"/>
        <v>300</v>
      </c>
      <c r="S40">
        <f>VLOOKUP(A40,Table1[#All],4,FALSE)</f>
        <v>620352.25049999997</v>
      </c>
      <c r="T40">
        <f t="shared" si="7"/>
        <v>0</v>
      </c>
      <c r="V40">
        <v>17</v>
      </c>
      <c r="W40">
        <f t="shared" si="8"/>
        <v>0</v>
      </c>
      <c r="X40">
        <f t="shared" si="9"/>
        <v>6196.2044558179159</v>
      </c>
      <c r="Z40">
        <v>17</v>
      </c>
      <c r="AA40">
        <f t="shared" si="10"/>
        <v>7213.6839428391067</v>
      </c>
      <c r="AB40">
        <f t="shared" si="11"/>
        <v>-300</v>
      </c>
      <c r="AC40">
        <f t="shared" si="12"/>
        <v>-731.80491820839165</v>
      </c>
      <c r="AD40">
        <f>0</f>
        <v>0</v>
      </c>
      <c r="AE40">
        <f t="shared" si="13"/>
        <v>418.94850588422133</v>
      </c>
      <c r="AF40">
        <f t="shared" si="14"/>
        <v>-6196.2044558179159</v>
      </c>
      <c r="AG40">
        <f t="shared" si="15"/>
        <v>404.62307469702046</v>
      </c>
      <c r="AH40">
        <f t="shared" si="16"/>
        <v>0</v>
      </c>
      <c r="AI40">
        <f t="shared" si="17"/>
        <v>404.62307469702046</v>
      </c>
      <c r="AJ40">
        <f t="shared" si="18"/>
        <v>0.36782673841863195</v>
      </c>
      <c r="AK40">
        <f t="shared" si="19"/>
        <v>147.20365194485603</v>
      </c>
      <c r="AL40">
        <f t="shared" si="27"/>
        <v>2783.3988488107525</v>
      </c>
      <c r="AM40">
        <f t="shared" si="20"/>
        <v>2365.8890214891394</v>
      </c>
    </row>
    <row r="41" spans="1:39" x14ac:dyDescent="0.2">
      <c r="A41">
        <f t="shared" si="21"/>
        <v>47</v>
      </c>
      <c r="B41">
        <f>VLOOKUP(A41,Table22[#All],2,FALSE)</f>
        <v>1.6938822140000001E-3</v>
      </c>
      <c r="C41">
        <f t="shared" si="22"/>
        <v>0.1</v>
      </c>
      <c r="D41">
        <f t="shared" si="23"/>
        <v>0.15</v>
      </c>
      <c r="E41">
        <f t="shared" si="0"/>
        <v>1.29581989371E-3</v>
      </c>
      <c r="F41">
        <f t="shared" si="1"/>
        <v>0.99870418010629003</v>
      </c>
      <c r="G41">
        <f t="shared" si="2"/>
        <v>5.1234281727336253E-3</v>
      </c>
      <c r="H41">
        <f t="shared" si="3"/>
        <v>5.0217370839362148E-3</v>
      </c>
      <c r="J41">
        <f t="shared" si="24"/>
        <v>47</v>
      </c>
      <c r="K41">
        <f t="shared" si="4"/>
        <v>1.29581989371E-3</v>
      </c>
      <c r="L41">
        <f>Lapses!B19</f>
        <v>9.8499999999999994E-3</v>
      </c>
      <c r="M41">
        <f t="shared" si="5"/>
        <v>0.99870418010629003</v>
      </c>
      <c r="N41">
        <f t="shared" si="25"/>
        <v>0.98789780379122438</v>
      </c>
      <c r="P41">
        <v>18</v>
      </c>
      <c r="Q41">
        <f t="shared" si="6"/>
        <v>7213.6839428391067</v>
      </c>
      <c r="R41">
        <f t="shared" si="26"/>
        <v>300</v>
      </c>
      <c r="S41">
        <f>VLOOKUP(A41,Table1[#All],4,FALSE)</f>
        <v>615125.24080000003</v>
      </c>
      <c r="T41">
        <f t="shared" si="7"/>
        <v>300.55203260641355</v>
      </c>
      <c r="V41">
        <v>18</v>
      </c>
      <c r="W41">
        <f t="shared" si="8"/>
        <v>300.55203260641355</v>
      </c>
      <c r="X41">
        <f t="shared" si="9"/>
        <v>6143.2814927584832</v>
      </c>
      <c r="Z41">
        <v>18</v>
      </c>
      <c r="AA41">
        <f t="shared" si="10"/>
        <v>7213.6839428391067</v>
      </c>
      <c r="AB41">
        <f t="shared" si="11"/>
        <v>-300</v>
      </c>
      <c r="AC41">
        <f t="shared" si="12"/>
        <v>-797.09152415179426</v>
      </c>
      <c r="AD41">
        <f>0</f>
        <v>0</v>
      </c>
      <c r="AE41">
        <f t="shared" si="13"/>
        <v>418.94850588422133</v>
      </c>
      <c r="AF41">
        <f t="shared" si="14"/>
        <v>-6143.2814927584832</v>
      </c>
      <c r="AG41">
        <f t="shared" si="15"/>
        <v>392.25943181305047</v>
      </c>
      <c r="AH41">
        <f t="shared" si="16"/>
        <v>-300.16257130346719</v>
      </c>
      <c r="AI41">
        <f t="shared" si="17"/>
        <v>92.09686050958328</v>
      </c>
      <c r="AJ41">
        <f t="shared" si="18"/>
        <v>0.34681103040894135</v>
      </c>
      <c r="AK41">
        <f t="shared" si="19"/>
        <v>31.553660437595848</v>
      </c>
      <c r="AL41">
        <f t="shared" si="27"/>
        <v>2621.2740406643097</v>
      </c>
      <c r="AM41">
        <f t="shared" si="20"/>
        <v>2228.082934564663</v>
      </c>
    </row>
    <row r="42" spans="1:39" x14ac:dyDescent="0.2">
      <c r="A42">
        <f t="shared" si="21"/>
        <v>48</v>
      </c>
      <c r="B42">
        <f>VLOOKUP(A42,Table22[#All],2,FALSE)</f>
        <v>1.8582909230000001E-3</v>
      </c>
      <c r="C42">
        <f t="shared" si="22"/>
        <v>0.1</v>
      </c>
      <c r="D42">
        <f t="shared" si="23"/>
        <v>0.15</v>
      </c>
      <c r="E42">
        <f t="shared" si="0"/>
        <v>1.4215925560950001E-3</v>
      </c>
      <c r="F42">
        <f t="shared" si="1"/>
        <v>0.99857840744390503</v>
      </c>
      <c r="G42">
        <f t="shared" si="2"/>
        <v>4.1434418103330232E-3</v>
      </c>
      <c r="H42">
        <f t="shared" si="3"/>
        <v>4.1380093788374725E-3</v>
      </c>
      <c r="J42">
        <f t="shared" si="24"/>
        <v>48</v>
      </c>
      <c r="K42">
        <f t="shared" si="4"/>
        <v>1.4215925560950001E-3</v>
      </c>
      <c r="L42">
        <f>Lapses!B20</f>
        <v>9.8399999999999998E-3</v>
      </c>
      <c r="M42">
        <f t="shared" si="5"/>
        <v>0.99857840744390503</v>
      </c>
      <c r="N42">
        <f t="shared" si="25"/>
        <v>0.98661766616411928</v>
      </c>
      <c r="P42">
        <v>19</v>
      </c>
      <c r="Q42">
        <f t="shared" si="6"/>
        <v>7213.6839428391067</v>
      </c>
      <c r="R42">
        <f t="shared" si="26"/>
        <v>300</v>
      </c>
      <c r="S42">
        <f>VLOOKUP(A42,Table1[#All],4,FALSE)</f>
        <v>631627.05669999996</v>
      </c>
      <c r="T42">
        <f t="shared" si="7"/>
        <v>446.82450943349806</v>
      </c>
      <c r="V42">
        <v>19</v>
      </c>
      <c r="W42">
        <f t="shared" si="8"/>
        <v>446.82450943349806</v>
      </c>
      <c r="X42">
        <f t="shared" si="9"/>
        <v>6307.2914037796709</v>
      </c>
      <c r="Z42">
        <v>19</v>
      </c>
      <c r="AA42">
        <f t="shared" si="10"/>
        <v>7213.6839428391067</v>
      </c>
      <c r="AB42">
        <f t="shared" si="11"/>
        <v>-300</v>
      </c>
      <c r="AC42">
        <f t="shared" si="12"/>
        <v>-897.91632203291454</v>
      </c>
      <c r="AD42">
        <f>0</f>
        <v>0</v>
      </c>
      <c r="AE42">
        <f t="shared" si="13"/>
        <v>418.94850588422133</v>
      </c>
      <c r="AF42">
        <f t="shared" si="14"/>
        <v>-6307.2914037796709</v>
      </c>
      <c r="AG42">
        <f t="shared" si="15"/>
        <v>127.42472291074228</v>
      </c>
      <c r="AH42">
        <f t="shared" si="16"/>
        <v>-446.18930703700664</v>
      </c>
      <c r="AI42">
        <f t="shared" si="17"/>
        <v>-318.76458412626437</v>
      </c>
      <c r="AJ42">
        <f t="shared" si="18"/>
        <v>0.32699605072326376</v>
      </c>
      <c r="AK42">
        <f t="shared" si="19"/>
        <v>-102.83985576250682</v>
      </c>
      <c r="AL42">
        <f t="shared" si="27"/>
        <v>2468.3054370468253</v>
      </c>
      <c r="AM42">
        <f t="shared" si="20"/>
        <v>2098.0596214898014</v>
      </c>
    </row>
    <row r="43" spans="1:39" x14ac:dyDescent="0.2">
      <c r="A43">
        <f t="shared" si="21"/>
        <v>49</v>
      </c>
      <c r="B43">
        <f>VLOOKUP(A43,Table22[#All],2,FALSE)</f>
        <v>2.0348141049999998E-3</v>
      </c>
      <c r="C43">
        <f t="shared" si="22"/>
        <v>0.1</v>
      </c>
      <c r="D43">
        <f t="shared" si="23"/>
        <v>0.15</v>
      </c>
      <c r="E43">
        <f t="shared" si="0"/>
        <v>1.5566327903249997E-3</v>
      </c>
      <c r="F43">
        <f t="shared" si="1"/>
        <v>0.99844336720967497</v>
      </c>
      <c r="G43">
        <f t="shared" si="2"/>
        <v>2.9771617085419277E-3</v>
      </c>
      <c r="H43">
        <f t="shared" si="3"/>
        <v>2.9766352074771943E-3</v>
      </c>
      <c r="J43">
        <f t="shared" si="24"/>
        <v>49</v>
      </c>
      <c r="K43">
        <f t="shared" si="4"/>
        <v>1.5566327903249997E-3</v>
      </c>
      <c r="L43">
        <f>Lapses!B21</f>
        <v>0</v>
      </c>
      <c r="M43">
        <f t="shared" si="5"/>
        <v>0.99844336720967497</v>
      </c>
      <c r="N43">
        <f t="shared" si="25"/>
        <v>0.98521509783418859</v>
      </c>
      <c r="P43">
        <v>20</v>
      </c>
      <c r="Q43">
        <f t="shared" si="6"/>
        <v>7213.6839428391067</v>
      </c>
      <c r="R43">
        <f t="shared" si="26"/>
        <v>300</v>
      </c>
      <c r="S43">
        <f>VLOOKUP(A43,Table1[#All],4,FALSE)</f>
        <v>646990.29130000004</v>
      </c>
      <c r="T43">
        <f t="shared" si="7"/>
        <v>340.10464856816151</v>
      </c>
      <c r="V43">
        <v>20</v>
      </c>
      <c r="W43">
        <f t="shared" si="8"/>
        <v>340.10464856816151</v>
      </c>
      <c r="X43">
        <f t="shared" si="9"/>
        <v>6459.8316499754055</v>
      </c>
      <c r="Z43">
        <v>20</v>
      </c>
      <c r="AA43">
        <f t="shared" si="10"/>
        <v>7213.6839428391067</v>
      </c>
      <c r="AB43">
        <f t="shared" si="11"/>
        <v>-300</v>
      </c>
      <c r="AC43">
        <f t="shared" si="12"/>
        <v>-1007.1263024595034</v>
      </c>
      <c r="AD43">
        <f>0</f>
        <v>0</v>
      </c>
      <c r="AE43">
        <f t="shared" si="13"/>
        <v>418.94850588422133</v>
      </c>
      <c r="AF43">
        <f t="shared" si="14"/>
        <v>-6459.8316499754055</v>
      </c>
      <c r="AG43">
        <f t="shared" si="15"/>
        <v>-134.3255037115814</v>
      </c>
      <c r="AH43">
        <f t="shared" si="16"/>
        <v>-339.57523052005831</v>
      </c>
      <c r="AI43">
        <f t="shared" si="17"/>
        <v>-473.90073423163972</v>
      </c>
      <c r="AJ43">
        <f t="shared" si="18"/>
        <v>0.30831319598609441</v>
      </c>
      <c r="AK43">
        <f t="shared" si="19"/>
        <v>-143.94963011412497</v>
      </c>
      <c r="AL43">
        <f t="shared" si="27"/>
        <v>2323.9708507673986</v>
      </c>
      <c r="AM43">
        <f t="shared" si="20"/>
        <v>1975.3752231522888</v>
      </c>
    </row>
    <row r="44" spans="1:39" x14ac:dyDescent="0.2">
      <c r="A44">
        <f t="shared" si="21"/>
        <v>50</v>
      </c>
      <c r="B44">
        <f>VLOOKUP(A44,Table22[#All],2,FALSE)</f>
        <v>2.223000139E-3</v>
      </c>
      <c r="C44">
        <f t="shared" si="22"/>
        <v>0.1</v>
      </c>
      <c r="D44">
        <f t="shared" si="23"/>
        <v>0.15</v>
      </c>
      <c r="E44">
        <f t="shared" si="0"/>
        <v>1.7005951063349999E-3</v>
      </c>
      <c r="F44">
        <f t="shared" si="1"/>
        <v>0.99829940489366498</v>
      </c>
      <c r="G44">
        <f t="shared" si="2"/>
        <v>1.6034319410058674E-3</v>
      </c>
      <c r="H44">
        <f t="shared" si="3"/>
        <v>1.6033798303860798E-3</v>
      </c>
      <c r="J44">
        <f t="shared" si="24"/>
        <v>50</v>
      </c>
      <c r="K44">
        <f t="shared" si="4"/>
        <v>1.7005951063349999E-3</v>
      </c>
      <c r="L44">
        <f>Lapses!B22</f>
        <v>0</v>
      </c>
      <c r="M44">
        <f t="shared" si="5"/>
        <v>0.99829940489366498</v>
      </c>
      <c r="N44">
        <f t="shared" si="25"/>
        <v>0.98368147970737663</v>
      </c>
      <c r="P44">
        <v>21</v>
      </c>
      <c r="Q44">
        <f t="shared" si="6"/>
        <v>7213.6839428391067</v>
      </c>
      <c r="R44">
        <f t="shared" si="26"/>
        <v>300</v>
      </c>
      <c r="S44">
        <f>VLOOKUP(A44,Table1[#All],4,FALSE)</f>
        <v>658474.57629999996</v>
      </c>
      <c r="T44">
        <v>0</v>
      </c>
      <c r="V44">
        <v>21</v>
      </c>
      <c r="W44">
        <f t="shared" si="8"/>
        <v>0</v>
      </c>
      <c r="X44">
        <f t="shared" si="9"/>
        <v>6573.5477765789819</v>
      </c>
      <c r="Z44">
        <v>21</v>
      </c>
      <c r="AA44">
        <f t="shared" si="10"/>
        <v>7213.6839428391067</v>
      </c>
      <c r="AB44">
        <f t="shared" si="11"/>
        <v>-300</v>
      </c>
      <c r="AC44">
        <f t="shared" si="12"/>
        <v>-1119.7986421017924</v>
      </c>
      <c r="AD44">
        <f>0</f>
        <v>0</v>
      </c>
      <c r="AE44">
        <f t="shared" si="13"/>
        <v>418.94850588422133</v>
      </c>
      <c r="AF44">
        <f t="shared" si="14"/>
        <v>-6573.5477765789819</v>
      </c>
      <c r="AG44">
        <f t="shared" si="15"/>
        <v>-360.71396995744635</v>
      </c>
      <c r="AH44">
        <f t="shared" si="16"/>
        <v>0</v>
      </c>
      <c r="AI44">
        <f t="shared" si="17"/>
        <v>-360.71396995744635</v>
      </c>
      <c r="AJ44">
        <f t="shared" si="18"/>
        <v>0.29069778246223066</v>
      </c>
      <c r="AK44">
        <f t="shared" si="19"/>
        <v>-103.14761151095419</v>
      </c>
      <c r="AL44">
        <f t="shared" si="27"/>
        <v>2187.7803553445228</v>
      </c>
      <c r="AM44">
        <f t="shared" si="20"/>
        <v>1859.6133020428445</v>
      </c>
    </row>
    <row r="47" spans="1:39" ht="19" x14ac:dyDescent="0.25">
      <c r="A47" s="64" t="s">
        <v>134</v>
      </c>
      <c r="B47" s="64"/>
      <c r="C47" s="64"/>
    </row>
    <row r="48" spans="1:39" x14ac:dyDescent="0.2">
      <c r="A48">
        <f>E19</f>
        <v>-0.89132806724892499</v>
      </c>
      <c r="B48">
        <v>0.01</v>
      </c>
      <c r="C48">
        <v>0.02</v>
      </c>
      <c r="D48">
        <v>0.03</v>
      </c>
      <c r="E48">
        <v>0.04</v>
      </c>
      <c r="F48">
        <v>0.05</v>
      </c>
      <c r="G48">
        <v>0.06</v>
      </c>
      <c r="H48">
        <v>7.0000000000000007E-2</v>
      </c>
      <c r="I48">
        <v>0.08</v>
      </c>
      <c r="J48">
        <v>0.09</v>
      </c>
      <c r="K48">
        <v>0.1</v>
      </c>
      <c r="L48">
        <v>0.11</v>
      </c>
      <c r="M48">
        <v>0.12</v>
      </c>
      <c r="N48">
        <v>0.13</v>
      </c>
      <c r="O48">
        <v>0.14000000000000001</v>
      </c>
      <c r="P48">
        <v>0.15</v>
      </c>
    </row>
    <row r="49" spans="1:16" x14ac:dyDescent="0.2">
      <c r="A49">
        <v>100</v>
      </c>
      <c r="B49">
        <f t="dataTable" ref="B49:P58" dt2D="1" dtr="1" r1="E4" r2="E11"/>
        <v>-0.82518626316181276</v>
      </c>
      <c r="C49">
        <v>-0.84116139064984874</v>
      </c>
      <c r="D49">
        <v>-0.85506341498511051</v>
      </c>
      <c r="E49">
        <v>-0.86720608654695519</v>
      </c>
      <c r="F49">
        <v>-0.87785075619315645</v>
      </c>
      <c r="G49">
        <v>-0.8872157894913858</v>
      </c>
      <c r="H49">
        <v>-0.89548418713945133</v>
      </c>
      <c r="I49">
        <v>-0.9028097708263384</v>
      </c>
      <c r="J49">
        <v>-0.9093222186299682</v>
      </c>
      <c r="K49">
        <v>-0.91513117524079624</v>
      </c>
      <c r="L49">
        <v>-0.9203296161574519</v>
      </c>
      <c r="M49">
        <v>-0.92499660869466049</v>
      </c>
      <c r="N49">
        <v>-0.92919958399997116</v>
      </c>
      <c r="O49">
        <v>-0.93299621161677226</v>
      </c>
      <c r="P49">
        <v>-0.93643595015898928</v>
      </c>
    </row>
    <row r="50" spans="1:16" x14ac:dyDescent="0.2">
      <c r="A50">
        <v>200</v>
      </c>
      <c r="B50">
        <v>-0.82802365450899607</v>
      </c>
      <c r="C50">
        <v>-0.84373240720848375</v>
      </c>
      <c r="D50">
        <v>-0.85740267377734014</v>
      </c>
      <c r="E50">
        <v>-0.86934296062605299</v>
      </c>
      <c r="F50">
        <v>-0.87981025102597177</v>
      </c>
      <c r="G50">
        <v>-0.88901926180831958</v>
      </c>
      <c r="H50">
        <v>-0.89714993628043638</v>
      </c>
      <c r="I50">
        <v>-0.90435352659549306</v>
      </c>
      <c r="J50">
        <v>-0.9107575449146349</v>
      </c>
      <c r="K50">
        <v>-0.91646980487865148</v>
      </c>
      <c r="L50">
        <v>-0.92158172953614592</v>
      </c>
      <c r="M50">
        <v>-0.92617106617720779</v>
      </c>
      <c r="N50">
        <v>-0.93030412035754162</v>
      </c>
      <c r="O50">
        <v>-0.93403759911836592</v>
      </c>
      <c r="P50">
        <v>-0.93742013573622873</v>
      </c>
    </row>
    <row r="51" spans="1:16" x14ac:dyDescent="0.2">
      <c r="A51">
        <v>300</v>
      </c>
      <c r="B51">
        <v>-0.83086104585617937</v>
      </c>
      <c r="C51">
        <v>-0.84630342376711865</v>
      </c>
      <c r="D51">
        <v>-0.85974193256956977</v>
      </c>
      <c r="E51">
        <v>-0.87147983470515067</v>
      </c>
      <c r="F51">
        <v>-0.88176974585878698</v>
      </c>
      <c r="G51">
        <v>-0.89082273412525337</v>
      </c>
      <c r="H51">
        <v>-0.89881568542142132</v>
      </c>
      <c r="I51">
        <v>-0.90589728236464784</v>
      </c>
      <c r="J51">
        <v>-0.91219287119930159</v>
      </c>
      <c r="K51">
        <v>-0.91780843451650684</v>
      </c>
      <c r="L51">
        <v>-0.92283384291483994</v>
      </c>
      <c r="M51">
        <v>-0.9273455236597552</v>
      </c>
      <c r="N51">
        <v>-0.93140865671511219</v>
      </c>
      <c r="O51">
        <v>-0.93507898661995947</v>
      </c>
      <c r="P51">
        <v>-0.93840432131346807</v>
      </c>
    </row>
    <row r="52" spans="1:16" x14ac:dyDescent="0.2">
      <c r="A52">
        <v>400</v>
      </c>
      <c r="B52">
        <v>-0.83369843720336267</v>
      </c>
      <c r="C52">
        <v>-0.84887444032575354</v>
      </c>
      <c r="D52">
        <v>-0.86208119136179939</v>
      </c>
      <c r="E52">
        <v>-0.87361670878424835</v>
      </c>
      <c r="F52">
        <v>-0.8837292406916023</v>
      </c>
      <c r="G52">
        <v>-0.89262620644218715</v>
      </c>
      <c r="H52">
        <v>-0.90048143456240637</v>
      </c>
      <c r="I52">
        <v>-0.9074410381338025</v>
      </c>
      <c r="J52">
        <v>-0.91362819748396806</v>
      </c>
      <c r="K52">
        <v>-0.91914706415436198</v>
      </c>
      <c r="L52">
        <v>-0.92408595629353396</v>
      </c>
      <c r="M52">
        <v>-0.9285199811423025</v>
      </c>
      <c r="N52">
        <v>-0.93251319307268277</v>
      </c>
      <c r="O52">
        <v>-0.93612037412155313</v>
      </c>
      <c r="P52">
        <v>-0.93938850689070752</v>
      </c>
    </row>
    <row r="53" spans="1:16" x14ac:dyDescent="0.2">
      <c r="A53">
        <v>500</v>
      </c>
      <c r="B53">
        <v>-0.83653582855054609</v>
      </c>
      <c r="C53">
        <v>-0.85144545688438844</v>
      </c>
      <c r="D53">
        <v>-0.86442045015402891</v>
      </c>
      <c r="E53">
        <v>-0.87575358286334615</v>
      </c>
      <c r="F53">
        <v>-0.88568873552441751</v>
      </c>
      <c r="G53">
        <v>-0.89442967875912094</v>
      </c>
      <c r="H53">
        <v>-0.90214718370339131</v>
      </c>
      <c r="I53">
        <v>-0.90898479390295717</v>
      </c>
      <c r="J53">
        <v>-0.91506352376863476</v>
      </c>
      <c r="K53">
        <v>-0.92048569379221723</v>
      </c>
      <c r="L53">
        <v>-0.92533806967222787</v>
      </c>
      <c r="M53">
        <v>-0.92969443862484991</v>
      </c>
      <c r="N53">
        <v>-0.93361772943025334</v>
      </c>
      <c r="O53">
        <v>-0.93716176162314679</v>
      </c>
      <c r="P53">
        <v>-0.94037269246794686</v>
      </c>
    </row>
    <row r="54" spans="1:16" x14ac:dyDescent="0.2">
      <c r="A54">
        <v>600</v>
      </c>
      <c r="B54">
        <v>-0.83937321989772928</v>
      </c>
      <c r="C54">
        <v>-0.85401647344302334</v>
      </c>
      <c r="D54">
        <v>-0.86675970894625853</v>
      </c>
      <c r="E54">
        <v>-0.87789045694244394</v>
      </c>
      <c r="F54">
        <v>-0.88764823035723284</v>
      </c>
      <c r="G54">
        <v>-0.89623315107605483</v>
      </c>
      <c r="H54">
        <v>-0.90381293284437636</v>
      </c>
      <c r="I54">
        <v>-0.91052854967211205</v>
      </c>
      <c r="J54">
        <v>-0.91649885005330145</v>
      </c>
      <c r="K54">
        <v>-0.92182432343007248</v>
      </c>
      <c r="L54">
        <v>-0.926590183050922</v>
      </c>
      <c r="M54">
        <v>-0.9308688961073972</v>
      </c>
      <c r="N54">
        <v>-0.93472226578782402</v>
      </c>
      <c r="O54">
        <v>-0.93820314912474057</v>
      </c>
      <c r="P54">
        <v>-0.94135687804518631</v>
      </c>
    </row>
    <row r="55" spans="1:16" x14ac:dyDescent="0.2">
      <c r="A55">
        <v>700</v>
      </c>
      <c r="B55">
        <v>-0.8422106112449127</v>
      </c>
      <c r="C55">
        <v>-0.85658749000165824</v>
      </c>
      <c r="D55">
        <v>-0.86909896773848816</v>
      </c>
      <c r="E55">
        <v>-0.88002733102154163</v>
      </c>
      <c r="F55">
        <v>-0.88960772519004816</v>
      </c>
      <c r="G55">
        <v>-0.89803662339298851</v>
      </c>
      <c r="H55">
        <v>-0.90547868198536141</v>
      </c>
      <c r="I55">
        <v>-0.91207230544126672</v>
      </c>
      <c r="J55">
        <v>-0.91793417633796814</v>
      </c>
      <c r="K55">
        <v>-0.92316295306792784</v>
      </c>
      <c r="L55">
        <v>-0.92784229642961602</v>
      </c>
      <c r="M55">
        <v>-0.93204335358994461</v>
      </c>
      <c r="N55">
        <v>-0.9358268021453946</v>
      </c>
      <c r="O55">
        <v>-0.93924453662633423</v>
      </c>
      <c r="P55">
        <v>-0.94234106362242553</v>
      </c>
    </row>
    <row r="56" spans="1:16" x14ac:dyDescent="0.2">
      <c r="A56">
        <v>800</v>
      </c>
      <c r="B56">
        <v>-0.84504800259209611</v>
      </c>
      <c r="C56">
        <v>-0.85915850656029313</v>
      </c>
      <c r="D56">
        <v>-0.87143822653071801</v>
      </c>
      <c r="E56">
        <v>-0.88216420510063942</v>
      </c>
      <c r="F56">
        <v>-0.89156722002286337</v>
      </c>
      <c r="G56">
        <v>-0.89984009570992241</v>
      </c>
      <c r="H56">
        <v>-0.90714443112634635</v>
      </c>
      <c r="I56">
        <v>-0.91361606121042149</v>
      </c>
      <c r="J56">
        <v>-0.91936950262263473</v>
      </c>
      <c r="K56">
        <v>-0.92450158270578309</v>
      </c>
      <c r="L56">
        <v>-0.92909440980830993</v>
      </c>
      <c r="M56">
        <v>-0.93321781107249191</v>
      </c>
      <c r="N56">
        <v>-0.93693133850296517</v>
      </c>
      <c r="O56">
        <v>-0.94028592412792789</v>
      </c>
      <c r="P56">
        <v>-0.94332524919966498</v>
      </c>
    </row>
    <row r="57" spans="1:16" x14ac:dyDescent="0.2">
      <c r="A57">
        <v>900</v>
      </c>
      <c r="B57">
        <v>-0.84788539393927931</v>
      </c>
      <c r="C57">
        <v>-0.86172952311892803</v>
      </c>
      <c r="D57">
        <v>-0.87377748532294752</v>
      </c>
      <c r="E57">
        <v>-0.88430107917973721</v>
      </c>
      <c r="F57">
        <v>-0.89352671485567869</v>
      </c>
      <c r="G57">
        <v>-0.90164356802685608</v>
      </c>
      <c r="H57">
        <v>-0.9088101802673314</v>
      </c>
      <c r="I57">
        <v>-0.91515981697957616</v>
      </c>
      <c r="J57">
        <v>-0.92080482890730142</v>
      </c>
      <c r="K57">
        <v>-0.92584021234363834</v>
      </c>
      <c r="L57">
        <v>-0.93034652318700395</v>
      </c>
      <c r="M57">
        <v>-0.93439226855503921</v>
      </c>
      <c r="N57">
        <v>-0.93803587486053575</v>
      </c>
      <c r="O57">
        <v>-0.94132731162952155</v>
      </c>
      <c r="P57">
        <v>-0.94430943477690432</v>
      </c>
    </row>
    <row r="58" spans="1:16" x14ac:dyDescent="0.2">
      <c r="A58">
        <v>1000</v>
      </c>
      <c r="B58">
        <v>-0.85072278528646272</v>
      </c>
      <c r="C58">
        <v>-0.86430053967756293</v>
      </c>
      <c r="D58">
        <v>-0.87611674411517715</v>
      </c>
      <c r="E58">
        <v>-0.88643795325883501</v>
      </c>
      <c r="F58">
        <v>-0.89548620968849402</v>
      </c>
      <c r="G58">
        <v>-0.90344704034378998</v>
      </c>
      <c r="H58">
        <v>-0.91047592940831645</v>
      </c>
      <c r="I58">
        <v>-0.91670357274873082</v>
      </c>
      <c r="J58">
        <v>-0.922240155191968</v>
      </c>
      <c r="K58">
        <v>-0.9271788419814937</v>
      </c>
      <c r="L58">
        <v>-0.93159863656569797</v>
      </c>
      <c r="M58">
        <v>-0.93556672603758662</v>
      </c>
      <c r="N58">
        <v>-0.93914041121810632</v>
      </c>
      <c r="O58">
        <v>-0.94236869913111521</v>
      </c>
      <c r="P58">
        <v>-0.94529362035414377</v>
      </c>
    </row>
    <row r="60" spans="1:16" ht="19" x14ac:dyDescent="0.25">
      <c r="A60" s="64" t="s">
        <v>135</v>
      </c>
      <c r="B60" s="64"/>
      <c r="C60" s="64"/>
    </row>
    <row r="61" spans="1:16" x14ac:dyDescent="0.2">
      <c r="A61">
        <f>E9</f>
        <v>0.10000022629116534</v>
      </c>
      <c r="B61">
        <f>0.05</f>
        <v>0.05</v>
      </c>
      <c r="C61">
        <v>7.0000000000000007E-2</v>
      </c>
      <c r="D61">
        <v>0.09</v>
      </c>
      <c r="E61">
        <v>0.11</v>
      </c>
      <c r="F61">
        <v>0.13</v>
      </c>
      <c r="G61">
        <v>0.15</v>
      </c>
      <c r="H61">
        <v>0.17</v>
      </c>
      <c r="I61">
        <v>0.19</v>
      </c>
      <c r="J61">
        <v>0.21</v>
      </c>
      <c r="K61">
        <v>0.23</v>
      </c>
      <c r="L61">
        <v>0.25</v>
      </c>
      <c r="M61">
        <v>0.27</v>
      </c>
      <c r="N61">
        <v>0.28999999999999998</v>
      </c>
    </row>
    <row r="62" spans="1:16" x14ac:dyDescent="0.2">
      <c r="A62">
        <v>0.05</v>
      </c>
      <c r="B62">
        <f t="dataTable" ref="B62:N74" dt2D="1" dtr="1" r1="C24" r2="D24" ca="1"/>
        <v>8.2828116919171024E-2</v>
      </c>
      <c r="C62">
        <v>8.5667810506760936E-2</v>
      </c>
      <c r="D62">
        <v>8.8342333781301727E-2</v>
      </c>
      <c r="E62">
        <v>9.0711888582831718E-2</v>
      </c>
      <c r="F62">
        <v>9.2986833627924287E-2</v>
      </c>
      <c r="G62">
        <v>9.5262342139975059E-2</v>
      </c>
      <c r="H62">
        <v>9.7538414256500311E-2</v>
      </c>
      <c r="I62">
        <v>9.953861865987533E-2</v>
      </c>
      <c r="J62">
        <v>0.10148778573465479</v>
      </c>
      <c r="K62">
        <v>0.10343736451565236</v>
      </c>
      <c r="L62">
        <v>0.10538735510287196</v>
      </c>
      <c r="M62">
        <v>0.10733775759632394</v>
      </c>
      <c r="N62">
        <v>0.10923920684467911</v>
      </c>
    </row>
    <row r="63" spans="1:16" x14ac:dyDescent="0.2">
      <c r="A63">
        <v>7.0000000000000007E-2</v>
      </c>
      <c r="B63">
        <v>8.5667810506760936E-2</v>
      </c>
      <c r="C63">
        <v>8.8286020432465528E-2</v>
      </c>
      <c r="D63">
        <v>9.0616113782919103E-2</v>
      </c>
      <c r="E63">
        <v>9.2843136219794647E-2</v>
      </c>
      <c r="F63">
        <v>9.507069864011683E-2</v>
      </c>
      <c r="G63">
        <v>9.7298801172897589E-2</v>
      </c>
      <c r="H63">
        <v>9.9292437363990738E-2</v>
      </c>
      <c r="I63">
        <v>0.10120051419723684</v>
      </c>
      <c r="J63">
        <v>0.10310898557005323</v>
      </c>
      <c r="K63">
        <v>0.10501785157625881</v>
      </c>
      <c r="L63">
        <v>0.10692711230967834</v>
      </c>
      <c r="M63">
        <v>0.10883676786414279</v>
      </c>
      <c r="N63">
        <v>0.11050836112896963</v>
      </c>
    </row>
    <row r="64" spans="1:16" x14ac:dyDescent="0.2">
      <c r="A64">
        <v>0.09</v>
      </c>
      <c r="B64">
        <v>8.8342333781301727E-2</v>
      </c>
      <c r="C64">
        <v>9.0616113782919103E-2</v>
      </c>
      <c r="D64">
        <v>9.2795237583217671E-2</v>
      </c>
      <c r="E64">
        <v>9.4974878388944112E-2</v>
      </c>
      <c r="F64">
        <v>9.7155036320964561E-2</v>
      </c>
      <c r="G64">
        <v>9.9128320148555063E-2</v>
      </c>
      <c r="H64">
        <v>0.10099532571597104</v>
      </c>
      <c r="I64">
        <v>0.10286270902632218</v>
      </c>
      <c r="J64">
        <v>0.10473047016750291</v>
      </c>
      <c r="K64">
        <v>0.10659860922741342</v>
      </c>
      <c r="L64">
        <v>0.1084671262939591</v>
      </c>
      <c r="M64">
        <v>0.11015083668487416</v>
      </c>
      <c r="N64">
        <v>0.11177767550151627</v>
      </c>
    </row>
    <row r="65" spans="1:14" x14ac:dyDescent="0.2">
      <c r="A65">
        <v>0.11</v>
      </c>
      <c r="B65">
        <v>9.0711888582831718E-2</v>
      </c>
      <c r="C65">
        <v>9.2843136219794647E-2</v>
      </c>
      <c r="D65">
        <v>9.4974878388944112E-2</v>
      </c>
      <c r="E65">
        <v>9.7107115203350677E-2</v>
      </c>
      <c r="F65">
        <v>9.9046262635361121E-2</v>
      </c>
      <c r="G65">
        <v>0.10087221481676878</v>
      </c>
      <c r="H65">
        <v>0.10269852831394581</v>
      </c>
      <c r="I65">
        <v>0.10452520320911753</v>
      </c>
      <c r="J65">
        <v>0.10635223958451435</v>
      </c>
      <c r="K65">
        <v>0.10817963752237178</v>
      </c>
      <c r="L65">
        <v>0.10986482627526863</v>
      </c>
      <c r="M65">
        <v>0.111455862341849</v>
      </c>
      <c r="N65">
        <v>0.11304714998994007</v>
      </c>
    </row>
    <row r="66" spans="1:14" x14ac:dyDescent="0.2">
      <c r="A66">
        <v>0.13</v>
      </c>
      <c r="B66">
        <v>9.2986833627924287E-2</v>
      </c>
      <c r="C66">
        <v>9.5070698640116844E-2</v>
      </c>
      <c r="D66">
        <v>9.7155036320964561E-2</v>
      </c>
      <c r="E66">
        <v>9.9046262635361121E-2</v>
      </c>
      <c r="F66">
        <v>0.10083117821528863</v>
      </c>
      <c r="G66">
        <v>0.10261643905276857</v>
      </c>
      <c r="H66">
        <v>0.1044020452246065</v>
      </c>
      <c r="I66">
        <v>0.10618799680761254</v>
      </c>
      <c r="J66">
        <v>0.10797429387860151</v>
      </c>
      <c r="K66">
        <v>0.10965032380283167</v>
      </c>
      <c r="L66">
        <v>0.11120557033222471</v>
      </c>
      <c r="M66">
        <v>0.11276105725496194</v>
      </c>
      <c r="N66">
        <v>0.11431678462186282</v>
      </c>
    </row>
    <row r="67" spans="1:14" x14ac:dyDescent="0.2">
      <c r="A67">
        <v>0.15</v>
      </c>
      <c r="B67">
        <v>9.5262342139975059E-2</v>
      </c>
      <c r="C67">
        <v>9.7298801172897589E-2</v>
      </c>
      <c r="D67">
        <v>9.9128320148555063E-2</v>
      </c>
      <c r="E67">
        <v>0.10087221481676878</v>
      </c>
      <c r="F67">
        <v>0.10261643905276857</v>
      </c>
      <c r="G67">
        <v>0.10436099292818381</v>
      </c>
      <c r="H67">
        <v>0.10610587651464845</v>
      </c>
      <c r="I67">
        <v>0.10785108988380011</v>
      </c>
      <c r="J67">
        <v>0.10950732469483157</v>
      </c>
      <c r="K67">
        <v>0.11102679413659279</v>
      </c>
      <c r="L67">
        <v>0.11254649304059582</v>
      </c>
      <c r="M67">
        <v>0.1140664214542353</v>
      </c>
      <c r="N67">
        <v>0.11558657942490817</v>
      </c>
    </row>
    <row r="68" spans="1:14" x14ac:dyDescent="0.2">
      <c r="A68">
        <v>0.17</v>
      </c>
      <c r="B68">
        <v>9.7538414256500311E-2</v>
      </c>
      <c r="C68">
        <v>9.9292437363990738E-2</v>
      </c>
      <c r="D68">
        <v>0.10099532571597103</v>
      </c>
      <c r="E68">
        <v>0.10269852831394581</v>
      </c>
      <c r="F68">
        <v>0.1044020452246065</v>
      </c>
      <c r="G68">
        <v>0.10610587651464844</v>
      </c>
      <c r="H68">
        <v>0.10781002225077092</v>
      </c>
      <c r="I68">
        <v>0.10943582590290404</v>
      </c>
      <c r="J68">
        <v>0.11091952994367367</v>
      </c>
      <c r="K68">
        <v>0.11240345277230986</v>
      </c>
      <c r="L68">
        <v>0.11388759443293985</v>
      </c>
      <c r="M68">
        <v>0.11537195496969288</v>
      </c>
      <c r="N68">
        <v>0.11685653442670059</v>
      </c>
    </row>
    <row r="69" spans="1:14" x14ac:dyDescent="0.2">
      <c r="A69">
        <v>0.19</v>
      </c>
      <c r="B69">
        <v>9.953861865987533E-2</v>
      </c>
      <c r="C69">
        <v>0.10120051419723684</v>
      </c>
      <c r="D69">
        <v>0.10286270902632218</v>
      </c>
      <c r="E69">
        <v>0.10452520320911753</v>
      </c>
      <c r="F69">
        <v>0.10618799680761254</v>
      </c>
      <c r="G69">
        <v>0.10785108988380011</v>
      </c>
      <c r="H69">
        <v>0.10943582590290404</v>
      </c>
      <c r="I69">
        <v>0.11088377546677348</v>
      </c>
      <c r="J69">
        <v>0.11233193340053949</v>
      </c>
      <c r="K69">
        <v>0.11378029974521529</v>
      </c>
      <c r="L69">
        <v>0.11522887454181628</v>
      </c>
      <c r="M69">
        <v>0.11667765783136001</v>
      </c>
      <c r="N69">
        <v>0.11801511326869335</v>
      </c>
    </row>
    <row r="70" spans="1:14" x14ac:dyDescent="0.2">
      <c r="A70">
        <v>0.21</v>
      </c>
      <c r="B70">
        <v>0.10148778573465479</v>
      </c>
      <c r="C70">
        <v>0.10310898557005323</v>
      </c>
      <c r="D70">
        <v>0.10473047016750291</v>
      </c>
      <c r="E70">
        <v>0.10635223958451435</v>
      </c>
      <c r="F70">
        <v>0.10797429387860147</v>
      </c>
      <c r="G70">
        <v>0.10950732469483157</v>
      </c>
      <c r="H70">
        <v>0.11091952994367367</v>
      </c>
      <c r="I70">
        <v>0.1123319334005395</v>
      </c>
      <c r="J70">
        <v>0.11374453510347882</v>
      </c>
      <c r="K70">
        <v>0.11515733509054331</v>
      </c>
      <c r="L70">
        <v>0.11657033339978629</v>
      </c>
      <c r="M70">
        <v>0.11788658288927331</v>
      </c>
      <c r="N70">
        <v>0.11915588095917633</v>
      </c>
    </row>
    <row r="71" spans="1:14" x14ac:dyDescent="0.2">
      <c r="A71">
        <v>0.23</v>
      </c>
      <c r="B71">
        <v>0.10343736451565234</v>
      </c>
      <c r="C71">
        <v>0.10501785157625881</v>
      </c>
      <c r="D71">
        <v>0.10659860922741342</v>
      </c>
      <c r="E71">
        <v>0.10817963752237178</v>
      </c>
      <c r="F71">
        <v>0.10965032380283168</v>
      </c>
      <c r="G71">
        <v>0.11102679413659279</v>
      </c>
      <c r="H71">
        <v>0.11240345277230986</v>
      </c>
      <c r="I71">
        <v>0.11378029974521529</v>
      </c>
      <c r="J71">
        <v>0.11515733509054331</v>
      </c>
      <c r="K71">
        <v>0.11653455884352971</v>
      </c>
      <c r="L71">
        <v>0.11782231821789832</v>
      </c>
      <c r="M71">
        <v>0.1190594738438225</v>
      </c>
      <c r="N71">
        <v>0.12029675753940217</v>
      </c>
    </row>
    <row r="72" spans="1:14" x14ac:dyDescent="0.2">
      <c r="A72">
        <v>0.25</v>
      </c>
      <c r="B72">
        <v>0.10538735510287196</v>
      </c>
      <c r="C72">
        <v>0.10692711230967834</v>
      </c>
      <c r="D72">
        <v>0.1084671262939591</v>
      </c>
      <c r="E72">
        <v>0.10986482627526863</v>
      </c>
      <c r="F72">
        <v>0.11120557033222471</v>
      </c>
      <c r="G72">
        <v>0.11254649304059577</v>
      </c>
      <c r="H72">
        <v>0.11388759443293985</v>
      </c>
      <c r="I72">
        <v>0.11522887454181628</v>
      </c>
      <c r="J72">
        <v>0.11657033339978629</v>
      </c>
      <c r="K72">
        <v>0.11782231821789836</v>
      </c>
      <c r="L72">
        <v>0.11902733831150944</v>
      </c>
      <c r="M72">
        <v>0.12023247990769774</v>
      </c>
      <c r="N72">
        <v>0.12143774302564074</v>
      </c>
    </row>
    <row r="73" spans="1:14" x14ac:dyDescent="0.2">
      <c r="A73">
        <v>0.27</v>
      </c>
      <c r="B73">
        <v>0.10733775759632394</v>
      </c>
      <c r="C73">
        <v>0.10883676786414279</v>
      </c>
      <c r="D73">
        <v>0.11015083668487416</v>
      </c>
      <c r="E73">
        <v>0.111455862341849</v>
      </c>
      <c r="F73">
        <v>0.11276105725496194</v>
      </c>
      <c r="G73">
        <v>0.1140664214542353</v>
      </c>
      <c r="H73">
        <v>0.11537195496969288</v>
      </c>
      <c r="I73">
        <v>0.11667765783136001</v>
      </c>
      <c r="J73">
        <v>0.11788658288927331</v>
      </c>
      <c r="K73">
        <v>0.1190594738438225</v>
      </c>
      <c r="L73">
        <v>0.12023247990769774</v>
      </c>
      <c r="M73">
        <v>0.12140560109858287</v>
      </c>
      <c r="N73">
        <v>0.12257883743416201</v>
      </c>
    </row>
    <row r="74" spans="1:14" x14ac:dyDescent="0.2">
      <c r="A74">
        <v>0.28999999999999998</v>
      </c>
      <c r="B74">
        <v>0.10923920684467911</v>
      </c>
      <c r="C74">
        <v>0.11050836112896963</v>
      </c>
      <c r="D74">
        <v>0.11177767550151631</v>
      </c>
      <c r="E74">
        <v>0.11304714998994006</v>
      </c>
      <c r="F74">
        <v>0.11431678462186282</v>
      </c>
      <c r="G74">
        <v>0.11558657942490817</v>
      </c>
      <c r="H74">
        <v>0.11685653442670058</v>
      </c>
      <c r="I74">
        <v>0.11801511326869335</v>
      </c>
      <c r="J74">
        <v>0.11915588095917633</v>
      </c>
      <c r="K74">
        <v>0.12029675753940217</v>
      </c>
      <c r="L74">
        <v>0.12143774302564074</v>
      </c>
      <c r="M74">
        <v>0.12257883743416201</v>
      </c>
      <c r="N74">
        <v>0.12366408179567145</v>
      </c>
    </row>
  </sheetData>
  <mergeCells count="8">
    <mergeCell ref="Z22:AH22"/>
    <mergeCell ref="AI22:AL22"/>
    <mergeCell ref="A60:C60"/>
    <mergeCell ref="A47:C47"/>
    <mergeCell ref="A22:H22"/>
    <mergeCell ref="J22:N22"/>
    <mergeCell ref="P22:T22"/>
    <mergeCell ref="V22:X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84A5FCF-F7CA-6A4D-945C-EB8B9E270622}">
          <x14:formula1>
            <xm:f>'Female Lifetable'!$A$2:$A$71</xm:f>
          </x14:formula1>
          <xm:sqref>E2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FE98C-5427-EB41-B873-CEDC6B0E3018}">
  <dimension ref="A1:AG62"/>
  <sheetViews>
    <sheetView tabSelected="1" topLeftCell="P30" workbookViewId="0">
      <selection activeCell="AE46" sqref="AE46"/>
    </sheetView>
  </sheetViews>
  <sheetFormatPr baseColWidth="10" defaultRowHeight="16" x14ac:dyDescent="0.2"/>
  <sheetData>
    <row r="1" spans="1:33" x14ac:dyDescent="0.2">
      <c r="A1" s="1" t="s">
        <v>55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1" t="s">
        <v>56</v>
      </c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</row>
    <row r="2" spans="1:33" x14ac:dyDescent="0.2">
      <c r="A2" s="1" t="s">
        <v>148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1" t="s">
        <v>148</v>
      </c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</row>
    <row r="3" spans="1:33" x14ac:dyDescent="0.2">
      <c r="A3" s="1" t="s">
        <v>11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1" t="s">
        <v>11</v>
      </c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</row>
    <row r="4" spans="1:33" ht="19" x14ac:dyDescent="0.25">
      <c r="A4" s="61" t="s">
        <v>149</v>
      </c>
      <c r="B4" s="61"/>
      <c r="C4" s="61"/>
      <c r="D4" s="61"/>
      <c r="E4" s="2"/>
      <c r="F4" s="2"/>
      <c r="G4" s="2"/>
      <c r="H4" s="2"/>
      <c r="I4" s="2"/>
      <c r="J4" s="2"/>
      <c r="K4" s="2"/>
      <c r="L4" s="2"/>
      <c r="M4" s="6"/>
      <c r="N4" s="2"/>
      <c r="O4" s="2"/>
      <c r="P4" s="2"/>
      <c r="Q4" s="2"/>
      <c r="R4" s="67" t="s">
        <v>150</v>
      </c>
      <c r="S4" s="67"/>
      <c r="T4" s="67"/>
      <c r="U4" s="67"/>
      <c r="V4" s="2"/>
      <c r="W4" s="2"/>
    </row>
    <row r="5" spans="1:33" x14ac:dyDescent="0.2">
      <c r="A5" s="2"/>
      <c r="B5" s="65">
        <v>0.01</v>
      </c>
      <c r="C5" s="65">
        <v>0.02</v>
      </c>
      <c r="D5" s="65">
        <v>0.03</v>
      </c>
      <c r="E5" s="65">
        <v>0.04</v>
      </c>
      <c r="F5" s="65">
        <v>0.05</v>
      </c>
      <c r="G5" s="65">
        <v>0.06</v>
      </c>
      <c r="H5" s="65">
        <v>7.0000000000000007E-2</v>
      </c>
      <c r="I5" s="65">
        <v>0.08</v>
      </c>
      <c r="J5" s="65">
        <v>0.09</v>
      </c>
      <c r="K5" s="65">
        <v>0.1</v>
      </c>
      <c r="L5" s="65">
        <v>0.11</v>
      </c>
      <c r="M5" s="65">
        <v>0.12</v>
      </c>
      <c r="N5" s="65">
        <v>0.13</v>
      </c>
      <c r="O5" s="65">
        <v>0.14000000000000001</v>
      </c>
      <c r="P5" s="65">
        <v>0.15</v>
      </c>
      <c r="Q5" s="2"/>
      <c r="R5" s="2"/>
      <c r="S5" s="65">
        <v>0.01</v>
      </c>
      <c r="T5" s="65">
        <v>0.02</v>
      </c>
      <c r="U5" s="65">
        <v>0.03</v>
      </c>
      <c r="V5" s="65">
        <v>0.04</v>
      </c>
      <c r="W5" s="65">
        <v>0.05</v>
      </c>
      <c r="X5" s="65">
        <v>0.06</v>
      </c>
      <c r="Y5" s="65">
        <v>7.0000000000000007E-2</v>
      </c>
      <c r="Z5" s="65">
        <v>0.08</v>
      </c>
      <c r="AA5" s="65">
        <v>0.09</v>
      </c>
      <c r="AB5" s="65">
        <v>0.1</v>
      </c>
      <c r="AC5" s="65">
        <v>0.11</v>
      </c>
      <c r="AD5" s="65">
        <v>0.12</v>
      </c>
      <c r="AE5" s="65">
        <v>0.13</v>
      </c>
      <c r="AF5" s="65">
        <v>0.14000000000000001</v>
      </c>
      <c r="AG5" s="65">
        <v>0.15</v>
      </c>
    </row>
    <row r="6" spans="1:33" x14ac:dyDescent="0.2">
      <c r="A6" s="2">
        <v>100</v>
      </c>
      <c r="B6" s="2">
        <v>5961.55</v>
      </c>
      <c r="C6" s="2">
        <v>4108.08</v>
      </c>
      <c r="D6" s="2">
        <v>2883.26</v>
      </c>
      <c r="E6" s="2">
        <v>2062.7600000000002</v>
      </c>
      <c r="F6" s="2">
        <v>1505.22</v>
      </c>
      <c r="G6" s="2">
        <v>1120.68</v>
      </c>
      <c r="H6" s="2">
        <v>851.31</v>
      </c>
      <c r="I6" s="2">
        <v>659.6</v>
      </c>
      <c r="J6" s="2">
        <v>520.91999999999996</v>
      </c>
      <c r="K6" s="2">
        <v>418.93</v>
      </c>
      <c r="L6" s="2">
        <v>342.7</v>
      </c>
      <c r="M6" s="2">
        <v>284.79000000000002</v>
      </c>
      <c r="N6" s="2">
        <v>240.09</v>
      </c>
      <c r="O6" s="2">
        <v>205.07</v>
      </c>
      <c r="P6" s="2">
        <v>177.22</v>
      </c>
      <c r="Q6" s="2"/>
      <c r="R6" s="2">
        <v>100</v>
      </c>
      <c r="S6" s="2">
        <v>14059.26</v>
      </c>
      <c r="T6" s="2">
        <v>9848.1</v>
      </c>
      <c r="U6" s="2">
        <v>7032.34</v>
      </c>
      <c r="V6" s="2">
        <v>5122.67</v>
      </c>
      <c r="W6" s="2">
        <v>3808.12</v>
      </c>
      <c r="X6" s="2">
        <v>2889.12</v>
      </c>
      <c r="Y6" s="2">
        <v>2236.33</v>
      </c>
      <c r="Z6" s="2">
        <v>1764.99</v>
      </c>
      <c r="AA6" s="2">
        <v>1419</v>
      </c>
      <c r="AB6" s="2">
        <v>1160.78</v>
      </c>
      <c r="AC6" s="2">
        <v>964.89</v>
      </c>
      <c r="AD6" s="2">
        <v>813.9</v>
      </c>
      <c r="AE6" s="2">
        <v>695.71</v>
      </c>
      <c r="AF6" s="2">
        <v>601.82000000000005</v>
      </c>
      <c r="AG6" s="2">
        <v>526.19000000000005</v>
      </c>
    </row>
    <row r="7" spans="1:33" x14ac:dyDescent="0.2">
      <c r="A7" s="2">
        <v>200</v>
      </c>
      <c r="B7" s="2">
        <v>5988.74</v>
      </c>
      <c r="C7" s="2">
        <v>4128.42</v>
      </c>
      <c r="D7" s="2">
        <v>2898.75</v>
      </c>
      <c r="E7" s="2">
        <v>2074.7800000000002</v>
      </c>
      <c r="F7" s="2">
        <v>1514.71</v>
      </c>
      <c r="G7" s="2">
        <v>1128.29</v>
      </c>
      <c r="H7" s="2">
        <v>857.52</v>
      </c>
      <c r="I7" s="2">
        <v>664.73</v>
      </c>
      <c r="J7" s="2">
        <v>525.22</v>
      </c>
      <c r="K7" s="2">
        <v>422.59</v>
      </c>
      <c r="L7" s="2">
        <v>345.84</v>
      </c>
      <c r="M7" s="2">
        <v>287.51</v>
      </c>
      <c r="N7" s="2">
        <v>242.48</v>
      </c>
      <c r="O7" s="2">
        <v>207.18</v>
      </c>
      <c r="P7" s="2">
        <v>179.11</v>
      </c>
      <c r="Q7" s="2"/>
      <c r="R7" s="2">
        <v>200</v>
      </c>
      <c r="S7" s="2">
        <v>14150.97</v>
      </c>
      <c r="T7" s="2">
        <v>9916.6299999999992</v>
      </c>
      <c r="U7" s="2">
        <v>7084.51</v>
      </c>
      <c r="V7" s="2">
        <v>5163.12</v>
      </c>
      <c r="W7" s="2">
        <v>3840.04</v>
      </c>
      <c r="X7" s="2">
        <v>2914.75</v>
      </c>
      <c r="Y7" s="2">
        <v>2257.23</v>
      </c>
      <c r="Z7" s="2">
        <v>1782.31</v>
      </c>
      <c r="AA7" s="2">
        <v>1433.54</v>
      </c>
      <c r="AB7" s="2">
        <v>1173.1600000000001</v>
      </c>
      <c r="AC7" s="2">
        <v>975.55</v>
      </c>
      <c r="AD7" s="2">
        <v>823.18</v>
      </c>
      <c r="AE7" s="2">
        <v>703.86</v>
      </c>
      <c r="AF7" s="2">
        <v>609.04</v>
      </c>
      <c r="AG7" s="2">
        <v>532.65</v>
      </c>
    </row>
    <row r="8" spans="1:33" x14ac:dyDescent="0.2">
      <c r="A8" s="2">
        <v>300</v>
      </c>
      <c r="B8" s="2">
        <v>6015.93</v>
      </c>
      <c r="C8" s="2">
        <v>4148.76</v>
      </c>
      <c r="D8" s="2">
        <v>2914.25</v>
      </c>
      <c r="E8" s="2">
        <v>2086.8000000000002</v>
      </c>
      <c r="F8" s="2">
        <v>1524.19</v>
      </c>
      <c r="G8" s="2">
        <v>1135.9000000000001</v>
      </c>
      <c r="H8" s="2">
        <v>863.72</v>
      </c>
      <c r="I8" s="2">
        <v>669.86</v>
      </c>
      <c r="J8" s="2">
        <v>529.52</v>
      </c>
      <c r="K8" s="2">
        <v>426.24</v>
      </c>
      <c r="L8" s="2">
        <v>348.98</v>
      </c>
      <c r="M8" s="2">
        <v>290.24</v>
      </c>
      <c r="N8" s="2">
        <v>244.87</v>
      </c>
      <c r="O8" s="2">
        <v>209.29</v>
      </c>
      <c r="P8" s="2">
        <v>180.99</v>
      </c>
      <c r="Q8" s="2"/>
      <c r="R8" s="2">
        <v>300</v>
      </c>
      <c r="S8" s="2">
        <v>14242.68</v>
      </c>
      <c r="T8" s="2">
        <v>9985.16</v>
      </c>
      <c r="U8" s="2">
        <v>7136.68</v>
      </c>
      <c r="V8" s="2">
        <v>5203.5600000000004</v>
      </c>
      <c r="W8" s="2">
        <v>3871.96</v>
      </c>
      <c r="X8" s="2">
        <v>2940.37</v>
      </c>
      <c r="Y8" s="2">
        <v>2278.14</v>
      </c>
      <c r="Z8" s="2">
        <v>1799.62</v>
      </c>
      <c r="AA8" s="2">
        <v>1448.09</v>
      </c>
      <c r="AB8" s="2">
        <v>1185.53</v>
      </c>
      <c r="AC8" s="2">
        <v>986.21</v>
      </c>
      <c r="AD8" s="2">
        <v>832.45</v>
      </c>
      <c r="AE8" s="2">
        <v>712.01</v>
      </c>
      <c r="AF8" s="2">
        <v>616.27</v>
      </c>
      <c r="AG8" s="2">
        <v>539.1</v>
      </c>
    </row>
    <row r="9" spans="1:33" x14ac:dyDescent="0.2">
      <c r="A9" s="2">
        <v>400</v>
      </c>
      <c r="B9" s="2">
        <v>6043.11</v>
      </c>
      <c r="C9" s="2">
        <v>4169.1000000000004</v>
      </c>
      <c r="D9" s="2">
        <v>2929.74</v>
      </c>
      <c r="E9" s="2">
        <v>2098.8200000000002</v>
      </c>
      <c r="F9" s="2">
        <v>1533.68</v>
      </c>
      <c r="G9" s="2">
        <v>1143.51</v>
      </c>
      <c r="H9" s="2">
        <v>869.92</v>
      </c>
      <c r="I9" s="2">
        <v>675</v>
      </c>
      <c r="J9" s="2">
        <v>533.83000000000004</v>
      </c>
      <c r="K9" s="2">
        <v>429.9</v>
      </c>
      <c r="L9" s="2">
        <v>352.12</v>
      </c>
      <c r="M9" s="2">
        <v>292.95999999999998</v>
      </c>
      <c r="N9" s="2">
        <v>247.26</v>
      </c>
      <c r="O9" s="2">
        <v>211.4</v>
      </c>
      <c r="P9" s="2">
        <v>182.87</v>
      </c>
      <c r="Q9" s="2"/>
      <c r="R9" s="2">
        <v>400</v>
      </c>
      <c r="S9" s="2">
        <v>14334.39</v>
      </c>
      <c r="T9" s="2">
        <v>10053.700000000001</v>
      </c>
      <c r="U9" s="2">
        <v>7188.85</v>
      </c>
      <c r="V9" s="2">
        <v>5244.01</v>
      </c>
      <c r="W9" s="2">
        <v>3903.88</v>
      </c>
      <c r="X9" s="2">
        <v>2966</v>
      </c>
      <c r="Y9" s="2">
        <v>2299.0500000000002</v>
      </c>
      <c r="Z9" s="2">
        <v>1816.94</v>
      </c>
      <c r="AA9" s="2">
        <v>1462.63</v>
      </c>
      <c r="AB9" s="2">
        <v>1197.9100000000001</v>
      </c>
      <c r="AC9" s="2">
        <v>996.87</v>
      </c>
      <c r="AD9" s="2">
        <v>841.73</v>
      </c>
      <c r="AE9" s="2">
        <v>720.16</v>
      </c>
      <c r="AF9" s="2">
        <v>623.49</v>
      </c>
      <c r="AG9" s="2">
        <v>545.55999999999995</v>
      </c>
    </row>
    <row r="10" spans="1:33" x14ac:dyDescent="0.2">
      <c r="A10" s="2">
        <v>500</v>
      </c>
      <c r="B10" s="2">
        <v>6070.3</v>
      </c>
      <c r="C10" s="2">
        <v>4189.43</v>
      </c>
      <c r="D10" s="2">
        <v>2945.24</v>
      </c>
      <c r="E10" s="2">
        <v>2110.84</v>
      </c>
      <c r="F10" s="2">
        <v>1543.16</v>
      </c>
      <c r="G10" s="2">
        <v>1151.1199999999999</v>
      </c>
      <c r="H10" s="2">
        <v>876.13</v>
      </c>
      <c r="I10" s="2">
        <v>680.13</v>
      </c>
      <c r="J10" s="2">
        <v>538.13</v>
      </c>
      <c r="K10" s="2">
        <v>433.55</v>
      </c>
      <c r="L10" s="2">
        <v>355.26</v>
      </c>
      <c r="M10" s="2">
        <v>295.69</v>
      </c>
      <c r="N10" s="2">
        <v>249.65</v>
      </c>
      <c r="O10" s="2">
        <v>213.52</v>
      </c>
      <c r="P10" s="2">
        <v>184.75</v>
      </c>
      <c r="Q10" s="2"/>
      <c r="R10" s="2">
        <v>500</v>
      </c>
      <c r="S10" s="2">
        <v>14426.1</v>
      </c>
      <c r="T10" s="2">
        <v>10122.23</v>
      </c>
      <c r="U10" s="2">
        <v>7241.02</v>
      </c>
      <c r="V10" s="2">
        <v>5284.45</v>
      </c>
      <c r="W10" s="2">
        <v>3935.79</v>
      </c>
      <c r="X10" s="2">
        <v>2991.62</v>
      </c>
      <c r="Y10" s="2">
        <v>2319.9499999999998</v>
      </c>
      <c r="Z10" s="2">
        <v>1834.25</v>
      </c>
      <c r="AA10" s="2">
        <v>1477.18</v>
      </c>
      <c r="AB10" s="2">
        <v>1210.29</v>
      </c>
      <c r="AC10" s="2">
        <v>1007.52</v>
      </c>
      <c r="AD10" s="2">
        <v>851</v>
      </c>
      <c r="AE10" s="2">
        <v>728.31</v>
      </c>
      <c r="AF10" s="2">
        <v>630.72</v>
      </c>
      <c r="AG10" s="2">
        <v>552.02</v>
      </c>
    </row>
    <row r="11" spans="1:33" x14ac:dyDescent="0.2">
      <c r="A11" s="2">
        <v>600</v>
      </c>
      <c r="B11" s="2">
        <v>6097.49</v>
      </c>
      <c r="C11" s="2">
        <v>4209.7700000000004</v>
      </c>
      <c r="D11" s="2">
        <v>2960.73</v>
      </c>
      <c r="E11" s="2">
        <v>2122.85</v>
      </c>
      <c r="F11" s="2">
        <v>1552.65</v>
      </c>
      <c r="G11" s="2">
        <v>1158.73</v>
      </c>
      <c r="H11" s="2">
        <v>882.33</v>
      </c>
      <c r="I11" s="2">
        <v>685.26</v>
      </c>
      <c r="J11" s="2">
        <v>542.44000000000005</v>
      </c>
      <c r="K11" s="2">
        <v>437.21</v>
      </c>
      <c r="L11" s="2">
        <v>358.4</v>
      </c>
      <c r="M11" s="2">
        <v>298.42</v>
      </c>
      <c r="N11" s="2">
        <v>252.04</v>
      </c>
      <c r="O11" s="2">
        <v>215.63</v>
      </c>
      <c r="P11" s="2">
        <v>186.63</v>
      </c>
      <c r="Q11" s="2"/>
      <c r="R11" s="2">
        <v>600</v>
      </c>
      <c r="S11" s="2">
        <v>14517.81</v>
      </c>
      <c r="T11" s="2">
        <v>10190.76</v>
      </c>
      <c r="U11" s="2">
        <v>7293.19</v>
      </c>
      <c r="V11" s="2">
        <v>5324.9</v>
      </c>
      <c r="W11" s="2">
        <v>3967.71</v>
      </c>
      <c r="X11" s="2">
        <v>3017.24</v>
      </c>
      <c r="Y11" s="2">
        <v>2340.86</v>
      </c>
      <c r="Z11" s="2">
        <v>1851.57</v>
      </c>
      <c r="AA11" s="2">
        <v>1491.73</v>
      </c>
      <c r="AB11" s="2">
        <v>1222.67</v>
      </c>
      <c r="AC11" s="2">
        <v>1018.18</v>
      </c>
      <c r="AD11" s="2">
        <v>860.28</v>
      </c>
      <c r="AE11" s="2">
        <v>736.46</v>
      </c>
      <c r="AF11" s="2">
        <v>637.95000000000005</v>
      </c>
      <c r="AG11" s="2">
        <v>558.47</v>
      </c>
    </row>
    <row r="12" spans="1:33" x14ac:dyDescent="0.2">
      <c r="A12" s="2">
        <v>700</v>
      </c>
      <c r="B12" s="2">
        <v>6124.67</v>
      </c>
      <c r="C12" s="2">
        <v>4230.1099999999997</v>
      </c>
      <c r="D12" s="2">
        <v>2976.22</v>
      </c>
      <c r="E12" s="2">
        <v>2134.87</v>
      </c>
      <c r="F12" s="2">
        <v>1562.13</v>
      </c>
      <c r="G12" s="2">
        <v>1166.3399999999999</v>
      </c>
      <c r="H12" s="2">
        <v>888.54</v>
      </c>
      <c r="I12" s="2">
        <v>690.39</v>
      </c>
      <c r="J12" s="2">
        <v>546.74</v>
      </c>
      <c r="K12" s="2">
        <v>440.86</v>
      </c>
      <c r="L12" s="2">
        <v>361.54</v>
      </c>
      <c r="M12" s="2">
        <v>301.14</v>
      </c>
      <c r="N12" s="2">
        <v>254.42</v>
      </c>
      <c r="O12" s="2">
        <v>217.74</v>
      </c>
      <c r="P12" s="2">
        <v>188.52</v>
      </c>
      <c r="Q12" s="2"/>
      <c r="R12" s="2">
        <v>700</v>
      </c>
      <c r="S12" s="2">
        <v>14609.52</v>
      </c>
      <c r="T12" s="2">
        <v>10259.290000000001</v>
      </c>
      <c r="U12" s="2">
        <v>7345.36</v>
      </c>
      <c r="V12" s="2">
        <v>5365.35</v>
      </c>
      <c r="W12" s="2">
        <v>3999.63</v>
      </c>
      <c r="X12" s="2">
        <v>3042.87</v>
      </c>
      <c r="Y12" s="2">
        <v>2361.7600000000002</v>
      </c>
      <c r="Z12" s="2">
        <v>1868.89</v>
      </c>
      <c r="AA12" s="2">
        <v>1506.27</v>
      </c>
      <c r="AB12" s="2">
        <v>1235.05</v>
      </c>
      <c r="AC12" s="2">
        <v>1028.8399999999999</v>
      </c>
      <c r="AD12" s="2">
        <v>869.55</v>
      </c>
      <c r="AE12" s="2">
        <v>744.61</v>
      </c>
      <c r="AF12" s="2">
        <v>645.16999999999996</v>
      </c>
      <c r="AG12" s="2">
        <v>564.92999999999995</v>
      </c>
    </row>
    <row r="13" spans="1:33" x14ac:dyDescent="0.2">
      <c r="A13" s="2">
        <v>800</v>
      </c>
      <c r="B13" s="2">
        <v>6151.86</v>
      </c>
      <c r="C13" s="2">
        <v>4250.45</v>
      </c>
      <c r="D13" s="2">
        <v>2991.72</v>
      </c>
      <c r="E13" s="2">
        <v>2146.89</v>
      </c>
      <c r="F13" s="2">
        <v>1571.62</v>
      </c>
      <c r="G13" s="2">
        <v>1173.95</v>
      </c>
      <c r="H13" s="2">
        <v>894.74</v>
      </c>
      <c r="I13" s="2">
        <v>695.52</v>
      </c>
      <c r="J13" s="2">
        <v>551.04</v>
      </c>
      <c r="K13" s="2">
        <v>444.52</v>
      </c>
      <c r="L13" s="2">
        <v>364.68</v>
      </c>
      <c r="M13" s="2">
        <v>303.87</v>
      </c>
      <c r="N13" s="2">
        <v>256.81</v>
      </c>
      <c r="O13" s="2">
        <v>219.85</v>
      </c>
      <c r="P13" s="2">
        <v>190.4</v>
      </c>
      <c r="Q13" s="2"/>
      <c r="R13" s="2">
        <v>800</v>
      </c>
      <c r="S13" s="2">
        <v>14701.23</v>
      </c>
      <c r="T13" s="2">
        <v>10327.82</v>
      </c>
      <c r="U13" s="2">
        <v>7397.53</v>
      </c>
      <c r="V13" s="2">
        <v>5405.79</v>
      </c>
      <c r="W13" s="2">
        <v>4031.55</v>
      </c>
      <c r="X13" s="2">
        <v>3068.49</v>
      </c>
      <c r="Y13" s="2">
        <v>2382.67</v>
      </c>
      <c r="Z13" s="2">
        <v>1886.2</v>
      </c>
      <c r="AA13" s="2">
        <v>1520.82</v>
      </c>
      <c r="AB13" s="2">
        <v>1247.42</v>
      </c>
      <c r="AC13" s="2">
        <v>1039.5</v>
      </c>
      <c r="AD13" s="2">
        <v>878.83</v>
      </c>
      <c r="AE13" s="2">
        <v>752.77</v>
      </c>
      <c r="AF13" s="2">
        <v>652.4</v>
      </c>
      <c r="AG13" s="2">
        <v>571.39</v>
      </c>
    </row>
    <row r="14" spans="1:33" x14ac:dyDescent="0.2">
      <c r="A14" s="2">
        <v>900</v>
      </c>
      <c r="B14" s="2">
        <v>6179.05</v>
      </c>
      <c r="C14" s="2">
        <v>4270.79</v>
      </c>
      <c r="D14" s="2">
        <v>3007.21</v>
      </c>
      <c r="E14" s="2">
        <v>2158.91</v>
      </c>
      <c r="F14" s="2">
        <v>1581.1</v>
      </c>
      <c r="G14" s="2">
        <v>1181.56</v>
      </c>
      <c r="H14" s="2">
        <v>900.94</v>
      </c>
      <c r="I14" s="2">
        <v>700.66</v>
      </c>
      <c r="J14" s="2">
        <v>555.35</v>
      </c>
      <c r="K14" s="2">
        <v>448.17</v>
      </c>
      <c r="L14" s="2">
        <v>367.82</v>
      </c>
      <c r="M14" s="2">
        <v>306.58999999999997</v>
      </c>
      <c r="N14" s="2">
        <v>259.2</v>
      </c>
      <c r="O14" s="2">
        <v>221.97</v>
      </c>
      <c r="P14" s="2">
        <v>192.28</v>
      </c>
      <c r="Q14" s="2"/>
      <c r="R14" s="2">
        <v>900</v>
      </c>
      <c r="S14" s="2">
        <v>14792.94</v>
      </c>
      <c r="T14" s="2">
        <v>10396.36</v>
      </c>
      <c r="U14" s="2">
        <v>7449.7</v>
      </c>
      <c r="V14" s="2">
        <v>5446.24</v>
      </c>
      <c r="W14" s="2">
        <v>4063.47</v>
      </c>
      <c r="X14" s="2">
        <v>3094.12</v>
      </c>
      <c r="Y14" s="2">
        <v>2403.5700000000002</v>
      </c>
      <c r="Z14" s="2">
        <v>1903.52</v>
      </c>
      <c r="AA14" s="2">
        <v>1535.36</v>
      </c>
      <c r="AB14" s="2">
        <v>1259.8</v>
      </c>
      <c r="AC14" s="2">
        <v>1050.1600000000001</v>
      </c>
      <c r="AD14" s="2">
        <v>888.11</v>
      </c>
      <c r="AE14" s="2">
        <v>760.92</v>
      </c>
      <c r="AF14" s="2">
        <v>659.63</v>
      </c>
      <c r="AG14" s="2">
        <v>577.84</v>
      </c>
    </row>
    <row r="15" spans="1:33" x14ac:dyDescent="0.2">
      <c r="A15" s="2">
        <v>1000</v>
      </c>
      <c r="B15" s="2">
        <v>6206.24</v>
      </c>
      <c r="C15" s="2">
        <v>4291.12</v>
      </c>
      <c r="D15" s="2">
        <v>3022.71</v>
      </c>
      <c r="E15" s="2">
        <v>2170.9299999999998</v>
      </c>
      <c r="F15" s="2">
        <v>1590.59</v>
      </c>
      <c r="G15" s="2">
        <v>1189.18</v>
      </c>
      <c r="H15" s="2">
        <v>907.15</v>
      </c>
      <c r="I15" s="2">
        <v>705.79</v>
      </c>
      <c r="J15" s="2">
        <v>559.65</v>
      </c>
      <c r="K15" s="2">
        <v>451.83</v>
      </c>
      <c r="L15" s="2">
        <v>370.96</v>
      </c>
      <c r="M15" s="2">
        <v>309.32</v>
      </c>
      <c r="N15" s="2">
        <v>261.58999999999997</v>
      </c>
      <c r="O15" s="2">
        <v>224.08</v>
      </c>
      <c r="P15" s="2">
        <v>194.16</v>
      </c>
      <c r="Q15" s="2"/>
      <c r="R15" s="2">
        <v>1000</v>
      </c>
      <c r="S15" s="2">
        <v>14884.64</v>
      </c>
      <c r="T15" s="2">
        <v>10464.89</v>
      </c>
      <c r="U15" s="2">
        <v>7501.87</v>
      </c>
      <c r="V15" s="2">
        <v>5486.69</v>
      </c>
      <c r="W15" s="2">
        <v>4095.39</v>
      </c>
      <c r="X15" s="2">
        <v>3119.74</v>
      </c>
      <c r="Y15" s="2">
        <v>2424.48</v>
      </c>
      <c r="Z15" s="2">
        <v>1920.83</v>
      </c>
      <c r="AA15" s="2">
        <v>1549.91</v>
      </c>
      <c r="AB15" s="2">
        <v>1272.18</v>
      </c>
      <c r="AC15" s="2">
        <v>1060.81</v>
      </c>
      <c r="AD15" s="2">
        <v>897.38</v>
      </c>
      <c r="AE15" s="2">
        <v>769.07</v>
      </c>
      <c r="AF15" s="2">
        <v>666.85</v>
      </c>
      <c r="AG15" s="2">
        <v>584.29999999999995</v>
      </c>
    </row>
    <row r="16" spans="1:33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</row>
    <row r="17" spans="1:33" ht="19" x14ac:dyDescent="0.25">
      <c r="A17" s="61" t="s">
        <v>151</v>
      </c>
      <c r="B17" s="61"/>
      <c r="C17" s="61"/>
      <c r="D17" s="61"/>
      <c r="E17" s="61"/>
      <c r="F17" s="2"/>
      <c r="G17" s="2"/>
      <c r="H17" s="2"/>
      <c r="I17" s="2"/>
      <c r="J17" s="2"/>
      <c r="K17" s="2"/>
      <c r="L17" s="2"/>
      <c r="M17" s="6"/>
      <c r="N17" s="2"/>
      <c r="O17" s="2"/>
      <c r="P17" s="2"/>
      <c r="Q17" s="2"/>
      <c r="R17" s="67" t="s">
        <v>152</v>
      </c>
      <c r="S17" s="67"/>
      <c r="T17" s="67"/>
      <c r="U17" s="67"/>
      <c r="V17" s="67"/>
      <c r="W17" s="2"/>
    </row>
    <row r="18" spans="1:33" x14ac:dyDescent="0.2">
      <c r="A18" s="2"/>
      <c r="B18" s="65">
        <v>0.05</v>
      </c>
      <c r="C18" s="65">
        <v>7.0000000000000007E-2</v>
      </c>
      <c r="D18" s="65">
        <v>0.09</v>
      </c>
      <c r="E18" s="65">
        <v>0.11</v>
      </c>
      <c r="F18" s="65">
        <v>0.13</v>
      </c>
      <c r="G18" s="65">
        <v>0.15</v>
      </c>
      <c r="H18" s="65">
        <v>0.17</v>
      </c>
      <c r="I18" s="65">
        <v>0.19</v>
      </c>
      <c r="J18" s="65">
        <v>0.21</v>
      </c>
      <c r="K18" s="65">
        <v>0.23</v>
      </c>
      <c r="L18" s="65">
        <v>0.25</v>
      </c>
      <c r="M18" s="65">
        <v>0.27</v>
      </c>
      <c r="N18" s="65">
        <v>0.28999999999999998</v>
      </c>
      <c r="O18" s="2"/>
      <c r="P18" s="2"/>
      <c r="Q18" s="2"/>
      <c r="R18" s="2"/>
      <c r="S18" s="65">
        <v>0.05</v>
      </c>
      <c r="T18" s="65">
        <v>7.0000000000000007E-2</v>
      </c>
      <c r="U18" s="65">
        <v>0.09</v>
      </c>
      <c r="V18" s="65">
        <v>0.11</v>
      </c>
      <c r="W18" s="65">
        <v>0.13</v>
      </c>
      <c r="X18" s="65">
        <v>0.15</v>
      </c>
      <c r="Y18" s="65">
        <v>0.17</v>
      </c>
      <c r="Z18" s="65">
        <v>0.19</v>
      </c>
      <c r="AA18" s="65">
        <v>0.21</v>
      </c>
      <c r="AB18" s="65">
        <v>0.23</v>
      </c>
      <c r="AC18" s="65">
        <v>0.25</v>
      </c>
      <c r="AD18" s="65">
        <v>0.27</v>
      </c>
      <c r="AE18" s="65">
        <v>0.28999999999999998</v>
      </c>
      <c r="AF18" s="2"/>
      <c r="AG18" s="2"/>
    </row>
    <row r="19" spans="1:33" x14ac:dyDescent="0.2">
      <c r="A19" s="65">
        <v>0.05</v>
      </c>
      <c r="B19" s="2">
        <v>1153.06</v>
      </c>
      <c r="C19" s="2">
        <v>1145.8599999999999</v>
      </c>
      <c r="D19" s="2">
        <v>1138.54</v>
      </c>
      <c r="E19" s="2">
        <v>1131.0899999999999</v>
      </c>
      <c r="F19" s="2">
        <v>1123.52</v>
      </c>
      <c r="G19" s="2">
        <v>1115.82</v>
      </c>
      <c r="H19" s="2">
        <v>1108</v>
      </c>
      <c r="I19" s="2">
        <v>1100.04</v>
      </c>
      <c r="J19" s="2">
        <v>1091.95</v>
      </c>
      <c r="K19" s="2">
        <v>1083.72</v>
      </c>
      <c r="L19" s="2">
        <v>1075.3599999999999</v>
      </c>
      <c r="M19" s="2">
        <v>1066.8499999999999</v>
      </c>
      <c r="N19" s="2">
        <v>1058.2</v>
      </c>
      <c r="O19" s="2"/>
      <c r="P19" s="2"/>
      <c r="Q19" s="2"/>
      <c r="R19" s="65">
        <v>0.05</v>
      </c>
      <c r="S19" s="2">
        <v>3025.55</v>
      </c>
      <c r="T19" s="2">
        <v>3007.94</v>
      </c>
      <c r="U19" s="2">
        <v>2990.17</v>
      </c>
      <c r="V19" s="2">
        <v>2972.23</v>
      </c>
      <c r="W19" s="2">
        <v>2954.11</v>
      </c>
      <c r="X19" s="2">
        <v>2935.83</v>
      </c>
      <c r="Y19" s="2">
        <v>2917.37</v>
      </c>
      <c r="Z19" s="2">
        <v>2898.74</v>
      </c>
      <c r="AA19" s="2">
        <v>2879.93</v>
      </c>
      <c r="AB19" s="2">
        <v>2860.95</v>
      </c>
      <c r="AC19" s="2">
        <v>2841.78</v>
      </c>
      <c r="AD19" s="2">
        <v>2822.44</v>
      </c>
      <c r="AE19" s="2">
        <v>2802.9</v>
      </c>
      <c r="AF19" s="2"/>
      <c r="AG19" s="2"/>
    </row>
    <row r="20" spans="1:33" x14ac:dyDescent="0.2">
      <c r="A20" s="65">
        <v>7.0000000000000007E-2</v>
      </c>
      <c r="B20" s="2">
        <v>1145.8599999999999</v>
      </c>
      <c r="C20" s="2">
        <v>1138.69</v>
      </c>
      <c r="D20" s="2">
        <v>1131.4100000000001</v>
      </c>
      <c r="E20" s="2">
        <v>1124</v>
      </c>
      <c r="F20" s="2">
        <v>1116.48</v>
      </c>
      <c r="G20" s="2">
        <v>1108.83</v>
      </c>
      <c r="H20" s="2">
        <v>1101.05</v>
      </c>
      <c r="I20" s="2">
        <v>1093.1500000000001</v>
      </c>
      <c r="J20" s="2">
        <v>1085.1199999999999</v>
      </c>
      <c r="K20" s="2">
        <v>1076.95</v>
      </c>
      <c r="L20" s="2">
        <v>1068.6500000000001</v>
      </c>
      <c r="M20" s="2">
        <v>1060.21</v>
      </c>
      <c r="N20" s="2">
        <v>1051.6400000000001</v>
      </c>
      <c r="O20" s="2"/>
      <c r="P20" s="2"/>
      <c r="Q20" s="2"/>
      <c r="R20" s="65">
        <v>7.0000000000000007E-2</v>
      </c>
      <c r="S20" s="2">
        <v>3007.94</v>
      </c>
      <c r="T20" s="2">
        <v>2990.55</v>
      </c>
      <c r="U20" s="2">
        <v>2972.99</v>
      </c>
      <c r="V20" s="2">
        <v>2955.26</v>
      </c>
      <c r="W20" s="2">
        <v>2937.38</v>
      </c>
      <c r="X20" s="2">
        <v>2919.32</v>
      </c>
      <c r="Y20" s="2">
        <v>2901.1</v>
      </c>
      <c r="Z20" s="2">
        <v>2882.72</v>
      </c>
      <c r="AA20" s="2">
        <v>2864.16</v>
      </c>
      <c r="AB20" s="2">
        <v>2845.43</v>
      </c>
      <c r="AC20" s="2">
        <v>2826.52</v>
      </c>
      <c r="AD20" s="2">
        <v>2807.44</v>
      </c>
      <c r="AE20" s="2">
        <v>2788.19</v>
      </c>
      <c r="AF20" s="2"/>
      <c r="AG20" s="2"/>
    </row>
    <row r="21" spans="1:33" x14ac:dyDescent="0.2">
      <c r="A21" s="65">
        <v>0.09</v>
      </c>
      <c r="B21" s="2">
        <v>1138.54</v>
      </c>
      <c r="C21" s="2">
        <v>1131.4100000000001</v>
      </c>
      <c r="D21" s="2">
        <v>1124.1600000000001</v>
      </c>
      <c r="E21" s="2">
        <v>1116.8</v>
      </c>
      <c r="F21" s="2">
        <v>1109.33</v>
      </c>
      <c r="G21" s="2">
        <v>1101.73</v>
      </c>
      <c r="H21" s="2">
        <v>1094.01</v>
      </c>
      <c r="I21" s="2">
        <v>1086.1600000000001</v>
      </c>
      <c r="J21" s="2">
        <v>1078.19</v>
      </c>
      <c r="K21" s="2">
        <v>1070.0899999999999</v>
      </c>
      <c r="L21" s="2">
        <v>1061.8599999999999</v>
      </c>
      <c r="M21" s="2">
        <v>1053.49</v>
      </c>
      <c r="N21" s="2">
        <v>1044.99</v>
      </c>
      <c r="O21" s="2"/>
      <c r="P21" s="2"/>
      <c r="Q21" s="2"/>
      <c r="R21" s="65">
        <v>0.09</v>
      </c>
      <c r="S21" s="2">
        <v>2990.17</v>
      </c>
      <c r="T21" s="2">
        <v>2972.99</v>
      </c>
      <c r="U21" s="2">
        <v>2955.65</v>
      </c>
      <c r="V21" s="2">
        <v>2938.15</v>
      </c>
      <c r="W21" s="2">
        <v>2920.49</v>
      </c>
      <c r="X21" s="2">
        <v>2902.68</v>
      </c>
      <c r="Y21" s="2">
        <v>2884.7</v>
      </c>
      <c r="Z21" s="2">
        <v>2866.56</v>
      </c>
      <c r="AA21" s="2">
        <v>2848.26</v>
      </c>
      <c r="AB21" s="2">
        <v>2829.79</v>
      </c>
      <c r="AC21" s="2">
        <v>2811.15</v>
      </c>
      <c r="AD21" s="2">
        <v>2792.34</v>
      </c>
      <c r="AE21" s="2">
        <v>2773.37</v>
      </c>
      <c r="AF21" s="2"/>
      <c r="AG21" s="2"/>
    </row>
    <row r="22" spans="1:33" x14ac:dyDescent="0.2">
      <c r="A22" s="65">
        <v>0.11</v>
      </c>
      <c r="B22" s="2">
        <v>1131.0899999999999</v>
      </c>
      <c r="C22" s="2">
        <v>1124</v>
      </c>
      <c r="D22" s="2">
        <v>1116.8</v>
      </c>
      <c r="E22" s="2">
        <v>1109.49</v>
      </c>
      <c r="F22" s="2">
        <v>1102.06</v>
      </c>
      <c r="G22" s="2">
        <v>1094.52</v>
      </c>
      <c r="H22" s="2">
        <v>1086.8599999999999</v>
      </c>
      <c r="I22" s="2">
        <v>1079.07</v>
      </c>
      <c r="J22" s="2">
        <v>1071.1600000000001</v>
      </c>
      <c r="K22" s="2">
        <v>1063.1300000000001</v>
      </c>
      <c r="L22" s="2">
        <v>1054.97</v>
      </c>
      <c r="M22" s="2">
        <v>1046.68</v>
      </c>
      <c r="N22" s="2">
        <v>1038.26</v>
      </c>
      <c r="O22" s="2"/>
      <c r="P22" s="2"/>
      <c r="Q22" s="2"/>
      <c r="R22" s="65">
        <v>0.11</v>
      </c>
      <c r="S22" s="2">
        <v>2972.23</v>
      </c>
      <c r="T22" s="2">
        <v>2955.26</v>
      </c>
      <c r="U22" s="2">
        <v>2938.15</v>
      </c>
      <c r="V22" s="2">
        <v>2920.88</v>
      </c>
      <c r="W22" s="2">
        <v>2903.47</v>
      </c>
      <c r="X22" s="2">
        <v>2885.89</v>
      </c>
      <c r="Y22" s="2">
        <v>2868.16</v>
      </c>
      <c r="Z22" s="2">
        <v>2850.28</v>
      </c>
      <c r="AA22" s="2">
        <v>2832.23</v>
      </c>
      <c r="AB22" s="2">
        <v>2814.03</v>
      </c>
      <c r="AC22" s="2">
        <v>2795.66</v>
      </c>
      <c r="AD22" s="2">
        <v>2777.13</v>
      </c>
      <c r="AE22" s="2">
        <v>2758.44</v>
      </c>
      <c r="AF22" s="2"/>
      <c r="AG22" s="2"/>
    </row>
    <row r="23" spans="1:33" x14ac:dyDescent="0.2">
      <c r="A23" s="65">
        <v>0.13</v>
      </c>
      <c r="B23" s="2">
        <v>1123.52</v>
      </c>
      <c r="C23" s="2">
        <v>1116.48</v>
      </c>
      <c r="D23" s="2">
        <v>1109.33</v>
      </c>
      <c r="E23" s="2">
        <v>1102.06</v>
      </c>
      <c r="F23" s="2">
        <v>1094.69</v>
      </c>
      <c r="G23" s="2">
        <v>1087.2</v>
      </c>
      <c r="H23" s="2">
        <v>1079.5999999999999</v>
      </c>
      <c r="I23" s="2">
        <v>1071.8800000000001</v>
      </c>
      <c r="J23" s="2">
        <v>1064.04</v>
      </c>
      <c r="K23" s="2">
        <v>1056.08</v>
      </c>
      <c r="L23" s="2">
        <v>1048</v>
      </c>
      <c r="M23" s="2">
        <v>1039.79</v>
      </c>
      <c r="N23" s="2">
        <v>1031.45</v>
      </c>
      <c r="O23" s="2"/>
      <c r="P23" s="2"/>
      <c r="Q23" s="2"/>
      <c r="R23" s="65">
        <v>0.13</v>
      </c>
      <c r="S23" s="2">
        <v>2954.11</v>
      </c>
      <c r="T23" s="2">
        <v>2937.38</v>
      </c>
      <c r="U23" s="2">
        <v>2920.49</v>
      </c>
      <c r="V23" s="2">
        <v>2903.47</v>
      </c>
      <c r="W23" s="2">
        <v>2886.29</v>
      </c>
      <c r="X23" s="2">
        <v>2868.96</v>
      </c>
      <c r="Y23" s="2">
        <v>2851.49</v>
      </c>
      <c r="Z23" s="2">
        <v>2833.86</v>
      </c>
      <c r="AA23" s="2">
        <v>2816.08</v>
      </c>
      <c r="AB23" s="2">
        <v>2798.15</v>
      </c>
      <c r="AC23" s="2">
        <v>2780.06</v>
      </c>
      <c r="AD23" s="2">
        <v>2761.81</v>
      </c>
      <c r="AE23" s="2">
        <v>2743.41</v>
      </c>
      <c r="AF23" s="2"/>
      <c r="AG23" s="2"/>
    </row>
    <row r="24" spans="1:33" x14ac:dyDescent="0.2">
      <c r="A24" s="65">
        <v>0.15</v>
      </c>
      <c r="B24" s="2">
        <v>1115.82</v>
      </c>
      <c r="C24" s="2">
        <v>1108.83</v>
      </c>
      <c r="D24" s="2">
        <v>1101.73</v>
      </c>
      <c r="E24" s="2">
        <v>1094.52</v>
      </c>
      <c r="F24" s="2">
        <v>1087.2</v>
      </c>
      <c r="G24" s="2">
        <v>1079.78</v>
      </c>
      <c r="H24" s="2">
        <v>1072.24</v>
      </c>
      <c r="I24" s="2">
        <v>1064.5899999999999</v>
      </c>
      <c r="J24" s="2">
        <v>1056.82</v>
      </c>
      <c r="K24" s="2">
        <v>1048.93</v>
      </c>
      <c r="L24" s="2">
        <v>1040.93</v>
      </c>
      <c r="M24" s="2">
        <v>1032.8</v>
      </c>
      <c r="N24" s="2">
        <v>1024.55</v>
      </c>
      <c r="O24" s="2"/>
      <c r="P24" s="2"/>
      <c r="Q24" s="2"/>
      <c r="R24" s="65">
        <v>0.15</v>
      </c>
      <c r="S24" s="2">
        <v>2935.83</v>
      </c>
      <c r="T24" s="2">
        <v>2919.32</v>
      </c>
      <c r="U24" s="2">
        <v>2902.68</v>
      </c>
      <c r="V24" s="2">
        <v>2885.89</v>
      </c>
      <c r="W24" s="2">
        <v>2868.96</v>
      </c>
      <c r="X24" s="2">
        <v>2851.89</v>
      </c>
      <c r="Y24" s="2">
        <v>2834.68</v>
      </c>
      <c r="Z24" s="2">
        <v>2817.31</v>
      </c>
      <c r="AA24" s="2">
        <v>2799.8</v>
      </c>
      <c r="AB24" s="2">
        <v>2782.15</v>
      </c>
      <c r="AC24" s="2">
        <v>2764.34</v>
      </c>
      <c r="AD24" s="2">
        <v>2746.38</v>
      </c>
      <c r="AE24" s="2">
        <v>2728.27</v>
      </c>
      <c r="AF24" s="2"/>
      <c r="AG24" s="2"/>
    </row>
    <row r="25" spans="1:33" x14ac:dyDescent="0.2">
      <c r="A25" s="65">
        <v>0.17</v>
      </c>
      <c r="B25" s="2">
        <v>1108</v>
      </c>
      <c r="C25" s="2">
        <v>1101.05</v>
      </c>
      <c r="D25" s="2">
        <v>1094.01</v>
      </c>
      <c r="E25" s="2">
        <v>1086.8599999999999</v>
      </c>
      <c r="F25" s="2">
        <v>1079.5999999999999</v>
      </c>
      <c r="G25" s="2">
        <v>1072.24</v>
      </c>
      <c r="H25" s="2">
        <v>1064.77</v>
      </c>
      <c r="I25" s="2">
        <v>1057.19</v>
      </c>
      <c r="J25" s="2">
        <v>1049.49</v>
      </c>
      <c r="K25" s="2">
        <v>1041.69</v>
      </c>
      <c r="L25" s="2">
        <v>1033.76</v>
      </c>
      <c r="M25" s="2">
        <v>1025.72</v>
      </c>
      <c r="N25" s="2">
        <v>1017.57</v>
      </c>
      <c r="O25" s="2"/>
      <c r="P25" s="2"/>
      <c r="Q25" s="2"/>
      <c r="R25" s="65">
        <v>0.17</v>
      </c>
      <c r="S25" s="2">
        <v>2917.37</v>
      </c>
      <c r="T25" s="2">
        <v>2901.1</v>
      </c>
      <c r="U25" s="2">
        <v>2884.7</v>
      </c>
      <c r="V25" s="2">
        <v>2868.16</v>
      </c>
      <c r="W25" s="2">
        <v>2851.49</v>
      </c>
      <c r="X25" s="2">
        <v>2834.68</v>
      </c>
      <c r="Y25" s="2">
        <v>2817.72</v>
      </c>
      <c r="Z25" s="2">
        <v>2800.63</v>
      </c>
      <c r="AA25" s="2">
        <v>2783.4</v>
      </c>
      <c r="AB25" s="2">
        <v>2766.02</v>
      </c>
      <c r="AC25" s="2">
        <v>2748.5</v>
      </c>
      <c r="AD25" s="2">
        <v>2730.83</v>
      </c>
      <c r="AE25" s="2">
        <v>2713.02</v>
      </c>
      <c r="AF25" s="2"/>
      <c r="AG25" s="2"/>
    </row>
    <row r="26" spans="1:33" x14ac:dyDescent="0.2">
      <c r="A26" s="65">
        <v>0.19</v>
      </c>
      <c r="B26" s="2">
        <v>1100.04</v>
      </c>
      <c r="C26" s="2">
        <v>1093.1500000000001</v>
      </c>
      <c r="D26" s="2">
        <v>1086.1600000000001</v>
      </c>
      <c r="E26" s="2">
        <v>1079.07</v>
      </c>
      <c r="F26" s="2">
        <v>1071.8800000000001</v>
      </c>
      <c r="G26" s="2">
        <v>1064.5899999999999</v>
      </c>
      <c r="H26" s="2">
        <v>1057.19</v>
      </c>
      <c r="I26" s="2">
        <v>1049.68</v>
      </c>
      <c r="J26" s="2">
        <v>1042.06</v>
      </c>
      <c r="K26" s="2">
        <v>1034.3399999999999</v>
      </c>
      <c r="L26" s="2">
        <v>1026.5</v>
      </c>
      <c r="M26" s="2">
        <v>1018.56</v>
      </c>
      <c r="N26" s="2">
        <v>1010.49</v>
      </c>
      <c r="O26" s="2"/>
      <c r="P26" s="2"/>
      <c r="Q26" s="2"/>
      <c r="R26" s="65">
        <v>0.19</v>
      </c>
      <c r="S26" s="2">
        <v>2898.74</v>
      </c>
      <c r="T26" s="2">
        <v>2882.72</v>
      </c>
      <c r="U26" s="2">
        <v>2866.56</v>
      </c>
      <c r="V26" s="2">
        <v>2850.28</v>
      </c>
      <c r="W26" s="2">
        <v>2833.86</v>
      </c>
      <c r="X26" s="2">
        <v>2817.31</v>
      </c>
      <c r="Y26" s="2">
        <v>2800.63</v>
      </c>
      <c r="Z26" s="2">
        <v>2783.81</v>
      </c>
      <c r="AA26" s="2">
        <v>2766.86</v>
      </c>
      <c r="AB26" s="2">
        <v>2749.77</v>
      </c>
      <c r="AC26" s="2">
        <v>2732.54</v>
      </c>
      <c r="AD26" s="2">
        <v>2715.18</v>
      </c>
      <c r="AE26" s="2">
        <v>2697.67</v>
      </c>
      <c r="AF26" s="2"/>
      <c r="AG26" s="2"/>
    </row>
    <row r="27" spans="1:33" x14ac:dyDescent="0.2">
      <c r="A27" s="65">
        <v>0.21</v>
      </c>
      <c r="B27" s="2">
        <v>1091.95</v>
      </c>
      <c r="C27" s="2">
        <v>1085.1199999999999</v>
      </c>
      <c r="D27" s="2">
        <v>1078.19</v>
      </c>
      <c r="E27" s="2">
        <v>1071.1600000000001</v>
      </c>
      <c r="F27" s="2">
        <v>1064.04</v>
      </c>
      <c r="G27" s="2">
        <v>1056.82</v>
      </c>
      <c r="H27" s="2">
        <v>1049.49</v>
      </c>
      <c r="I27" s="2">
        <v>1042.06</v>
      </c>
      <c r="J27" s="2">
        <v>1034.53</v>
      </c>
      <c r="K27" s="2">
        <v>1026.8900000000001</v>
      </c>
      <c r="L27" s="2">
        <v>1019.15</v>
      </c>
      <c r="M27" s="2">
        <v>1011.29</v>
      </c>
      <c r="N27" s="2">
        <v>1003.33</v>
      </c>
      <c r="O27" s="2"/>
      <c r="P27" s="2"/>
      <c r="Q27" s="2"/>
      <c r="R27" s="65">
        <v>0.21</v>
      </c>
      <c r="S27" s="2">
        <v>2879.93</v>
      </c>
      <c r="T27" s="2">
        <v>2864.16</v>
      </c>
      <c r="U27" s="2">
        <v>2848.26</v>
      </c>
      <c r="V27" s="2">
        <v>2832.23</v>
      </c>
      <c r="W27" s="2">
        <v>2816.08</v>
      </c>
      <c r="X27" s="2">
        <v>2799.8</v>
      </c>
      <c r="Y27" s="2">
        <v>2783.4</v>
      </c>
      <c r="Z27" s="2">
        <v>2766.86</v>
      </c>
      <c r="AA27" s="2">
        <v>2750.19</v>
      </c>
      <c r="AB27" s="2">
        <v>2733.4</v>
      </c>
      <c r="AC27" s="2">
        <v>2716.47</v>
      </c>
      <c r="AD27" s="2">
        <v>2699.4</v>
      </c>
      <c r="AE27" s="2">
        <v>2682.2</v>
      </c>
      <c r="AF27" s="2"/>
      <c r="AG27" s="2"/>
    </row>
    <row r="28" spans="1:33" x14ac:dyDescent="0.2">
      <c r="A28" s="65">
        <v>0.23</v>
      </c>
      <c r="B28" s="2">
        <v>1083.72</v>
      </c>
      <c r="C28" s="2">
        <v>1076.95</v>
      </c>
      <c r="D28" s="2">
        <v>1070.0899999999999</v>
      </c>
      <c r="E28" s="2">
        <v>1063.1300000000001</v>
      </c>
      <c r="F28" s="2">
        <v>1056.08</v>
      </c>
      <c r="G28" s="2">
        <v>1048.93</v>
      </c>
      <c r="H28" s="2">
        <v>1041.69</v>
      </c>
      <c r="I28" s="2">
        <v>1034.3399999999999</v>
      </c>
      <c r="J28" s="2">
        <v>1026.8900000000001</v>
      </c>
      <c r="K28" s="2">
        <v>1019.35</v>
      </c>
      <c r="L28" s="2">
        <v>1011.69</v>
      </c>
      <c r="M28" s="2">
        <v>1003.94</v>
      </c>
      <c r="N28" s="2">
        <v>996.07</v>
      </c>
      <c r="O28" s="2"/>
      <c r="P28" s="2"/>
      <c r="Q28" s="2"/>
      <c r="R28" s="65">
        <v>0.23</v>
      </c>
      <c r="S28" s="2">
        <v>2860.95</v>
      </c>
      <c r="T28" s="2">
        <v>2845.43</v>
      </c>
      <c r="U28" s="2">
        <v>2829.79</v>
      </c>
      <c r="V28" s="2">
        <v>2814.03</v>
      </c>
      <c r="W28" s="2">
        <v>2798.15</v>
      </c>
      <c r="X28" s="2">
        <v>2782.15</v>
      </c>
      <c r="Y28" s="2">
        <v>2766.02</v>
      </c>
      <c r="Z28" s="2">
        <v>2749.77</v>
      </c>
      <c r="AA28" s="2">
        <v>2733.4</v>
      </c>
      <c r="AB28" s="2">
        <v>2716.9</v>
      </c>
      <c r="AC28" s="2">
        <v>2700.27</v>
      </c>
      <c r="AD28" s="2">
        <v>2683.52</v>
      </c>
      <c r="AE28" s="2">
        <v>2666.63</v>
      </c>
      <c r="AF28" s="2"/>
      <c r="AG28" s="2"/>
    </row>
    <row r="29" spans="1:33" x14ac:dyDescent="0.2">
      <c r="A29" s="65">
        <v>0.25</v>
      </c>
      <c r="B29" s="2">
        <v>1075.3599999999999</v>
      </c>
      <c r="C29" s="2">
        <v>1068.6500000000001</v>
      </c>
      <c r="D29" s="2">
        <v>1061.8599999999999</v>
      </c>
      <c r="E29" s="2">
        <v>1054.97</v>
      </c>
      <c r="F29" s="2">
        <v>1048</v>
      </c>
      <c r="G29" s="2">
        <v>1040.93</v>
      </c>
      <c r="H29" s="2">
        <v>1033.76</v>
      </c>
      <c r="I29" s="2">
        <v>1026.5</v>
      </c>
      <c r="J29" s="2">
        <v>1019.15</v>
      </c>
      <c r="K29" s="2">
        <v>1011.69</v>
      </c>
      <c r="L29" s="2">
        <v>1004.14</v>
      </c>
      <c r="M29" s="2">
        <v>996.49</v>
      </c>
      <c r="N29" s="2">
        <v>988.73</v>
      </c>
      <c r="O29" s="2"/>
      <c r="P29" s="2"/>
      <c r="Q29" s="2"/>
      <c r="R29" s="65">
        <v>0.25</v>
      </c>
      <c r="S29" s="2">
        <v>2841.78</v>
      </c>
      <c r="T29" s="2">
        <v>2826.52</v>
      </c>
      <c r="U29" s="2">
        <v>2811.15</v>
      </c>
      <c r="V29" s="2">
        <v>2795.66</v>
      </c>
      <c r="W29" s="2">
        <v>2780.06</v>
      </c>
      <c r="X29" s="2">
        <v>2764.34</v>
      </c>
      <c r="Y29" s="2">
        <v>2748.5</v>
      </c>
      <c r="Z29" s="2">
        <v>2732.54</v>
      </c>
      <c r="AA29" s="2">
        <v>2716.47</v>
      </c>
      <c r="AB29" s="2">
        <v>2700.27</v>
      </c>
      <c r="AC29" s="2">
        <v>2683.95</v>
      </c>
      <c r="AD29" s="2">
        <v>2667.51</v>
      </c>
      <c r="AE29" s="2">
        <v>2650.95</v>
      </c>
      <c r="AF29" s="2"/>
      <c r="AG29" s="2"/>
    </row>
    <row r="30" spans="1:33" x14ac:dyDescent="0.2">
      <c r="A30" s="65">
        <v>0.27</v>
      </c>
      <c r="B30" s="2">
        <v>1066.8499999999999</v>
      </c>
      <c r="C30" s="2">
        <v>1060.21</v>
      </c>
      <c r="D30" s="2">
        <v>1053.49</v>
      </c>
      <c r="E30" s="2">
        <v>1046.68</v>
      </c>
      <c r="F30" s="2">
        <v>1039.79</v>
      </c>
      <c r="G30" s="2">
        <v>1032.8</v>
      </c>
      <c r="H30" s="2">
        <v>1025.72</v>
      </c>
      <c r="I30" s="2">
        <v>1018.56</v>
      </c>
      <c r="J30" s="2">
        <v>1011.29</v>
      </c>
      <c r="K30" s="2">
        <v>1003.94</v>
      </c>
      <c r="L30" s="2">
        <v>996.49</v>
      </c>
      <c r="M30" s="2">
        <v>988.94</v>
      </c>
      <c r="N30" s="2">
        <v>981.29</v>
      </c>
      <c r="O30" s="2"/>
      <c r="P30" s="2"/>
      <c r="Q30" s="2"/>
      <c r="R30" s="65">
        <v>0.27</v>
      </c>
      <c r="S30" s="2">
        <v>2822.44</v>
      </c>
      <c r="T30" s="2">
        <v>2807.44</v>
      </c>
      <c r="U30" s="2">
        <v>2792.34</v>
      </c>
      <c r="V30" s="2">
        <v>2777.13</v>
      </c>
      <c r="W30" s="2">
        <v>2761.81</v>
      </c>
      <c r="X30" s="2">
        <v>2746.38</v>
      </c>
      <c r="Y30" s="2">
        <v>2730.83</v>
      </c>
      <c r="Z30" s="2">
        <v>2715.18</v>
      </c>
      <c r="AA30" s="2">
        <v>2699.4</v>
      </c>
      <c r="AB30" s="2">
        <v>2683.52</v>
      </c>
      <c r="AC30" s="2">
        <v>2667.51</v>
      </c>
      <c r="AD30" s="2">
        <v>2651.39</v>
      </c>
      <c r="AE30" s="2">
        <v>2635.15</v>
      </c>
      <c r="AF30" s="2"/>
      <c r="AG30" s="2"/>
    </row>
    <row r="31" spans="1:33" x14ac:dyDescent="0.2">
      <c r="A31" s="65">
        <v>0.28999999999999998</v>
      </c>
      <c r="B31" s="2">
        <v>1058.2</v>
      </c>
      <c r="C31" s="2">
        <v>1051.6400000000001</v>
      </c>
      <c r="D31" s="2">
        <v>1044.99</v>
      </c>
      <c r="E31" s="2">
        <v>1038.26</v>
      </c>
      <c r="F31" s="2">
        <v>1031.45</v>
      </c>
      <c r="G31" s="2">
        <v>1024.55</v>
      </c>
      <c r="H31" s="2">
        <v>1017.57</v>
      </c>
      <c r="I31" s="2">
        <v>1010.49</v>
      </c>
      <c r="J31" s="2">
        <v>1003.33</v>
      </c>
      <c r="K31" s="2">
        <v>996.07</v>
      </c>
      <c r="L31" s="2">
        <v>988.73</v>
      </c>
      <c r="M31" s="2">
        <v>981.29</v>
      </c>
      <c r="N31" s="2">
        <v>973.76</v>
      </c>
      <c r="O31" s="2"/>
      <c r="P31" s="2"/>
      <c r="Q31" s="2"/>
      <c r="R31" s="65">
        <v>0.28999999999999998</v>
      </c>
      <c r="S31" s="2">
        <v>2802.9</v>
      </c>
      <c r="T31" s="2">
        <v>2788.19</v>
      </c>
      <c r="U31" s="2">
        <v>2773.37</v>
      </c>
      <c r="V31" s="2">
        <v>2758.44</v>
      </c>
      <c r="W31" s="2">
        <v>2743.41</v>
      </c>
      <c r="X31" s="2">
        <v>2728.27</v>
      </c>
      <c r="Y31" s="2">
        <v>2713.02</v>
      </c>
      <c r="Z31" s="2">
        <v>2697.67</v>
      </c>
      <c r="AA31" s="2">
        <v>2682.2</v>
      </c>
      <c r="AB31" s="2">
        <v>2666.63</v>
      </c>
      <c r="AC31" s="2">
        <v>2650.95</v>
      </c>
      <c r="AD31" s="2">
        <v>2635.15</v>
      </c>
      <c r="AE31" s="2">
        <v>2619.25</v>
      </c>
      <c r="AF31" s="2"/>
      <c r="AG31" s="2"/>
    </row>
    <row r="32" spans="1:33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</row>
    <row r="33" spans="1:33" x14ac:dyDescent="0.2">
      <c r="A33" s="1" t="s">
        <v>25</v>
      </c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1" t="s">
        <v>25</v>
      </c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</row>
    <row r="34" spans="1:33" ht="19" x14ac:dyDescent="0.25">
      <c r="A34" s="61" t="s">
        <v>153</v>
      </c>
      <c r="B34" s="61"/>
      <c r="C34" s="61"/>
      <c r="D34" s="61"/>
      <c r="E34" s="2"/>
      <c r="F34" s="2"/>
      <c r="G34" s="2"/>
      <c r="H34" s="2"/>
      <c r="I34" s="2"/>
      <c r="J34" s="2"/>
      <c r="K34" s="2"/>
      <c r="L34" s="2"/>
      <c r="M34" s="6"/>
      <c r="N34" s="2"/>
      <c r="O34" s="2"/>
      <c r="P34" s="2"/>
      <c r="Q34" s="2"/>
      <c r="R34" s="67" t="s">
        <v>154</v>
      </c>
      <c r="S34" s="67"/>
      <c r="T34" s="67"/>
      <c r="U34" s="67"/>
      <c r="V34" s="2"/>
      <c r="W34" s="2"/>
    </row>
    <row r="35" spans="1:33" x14ac:dyDescent="0.2">
      <c r="A35" s="2"/>
      <c r="B35" s="65">
        <v>0.01</v>
      </c>
      <c r="C35" s="65">
        <v>0.02</v>
      </c>
      <c r="D35" s="65">
        <v>0.03</v>
      </c>
      <c r="E35" s="65">
        <v>0.04</v>
      </c>
      <c r="F35" s="65">
        <v>0.05</v>
      </c>
      <c r="G35" s="65">
        <v>0.06</v>
      </c>
      <c r="H35" s="65">
        <v>7.0000000000000007E-2</v>
      </c>
      <c r="I35" s="65">
        <v>0.08</v>
      </c>
      <c r="J35" s="65">
        <v>0.09</v>
      </c>
      <c r="K35" s="65">
        <v>0.1</v>
      </c>
      <c r="L35" s="65">
        <v>0.11</v>
      </c>
      <c r="M35" s="65">
        <v>0.12</v>
      </c>
      <c r="N35" s="65">
        <v>0.13</v>
      </c>
      <c r="O35" s="65">
        <v>0.14000000000000001</v>
      </c>
      <c r="P35" s="65">
        <v>0.15</v>
      </c>
      <c r="Q35" s="2"/>
      <c r="R35" s="2"/>
      <c r="S35" s="65">
        <v>0.01</v>
      </c>
      <c r="T35" s="65">
        <v>0.02</v>
      </c>
      <c r="U35" s="65">
        <v>0.03</v>
      </c>
      <c r="V35" s="65">
        <v>0.04</v>
      </c>
      <c r="W35" s="65">
        <v>0.05</v>
      </c>
      <c r="X35" s="65">
        <v>0.06</v>
      </c>
      <c r="Y35" s="65">
        <v>7.0000000000000007E-2</v>
      </c>
      <c r="Z35" s="65">
        <v>0.08</v>
      </c>
      <c r="AA35" s="65">
        <v>0.09</v>
      </c>
      <c r="AB35" s="65">
        <v>0.1</v>
      </c>
      <c r="AC35" s="65">
        <v>0.11</v>
      </c>
      <c r="AD35" s="65">
        <v>0.12</v>
      </c>
      <c r="AE35" s="65">
        <v>0.13</v>
      </c>
      <c r="AF35" s="65">
        <v>0.14000000000000001</v>
      </c>
      <c r="AG35" s="65">
        <v>0.15</v>
      </c>
    </row>
    <row r="36" spans="1:33" x14ac:dyDescent="0.2">
      <c r="A36" s="2">
        <v>100</v>
      </c>
      <c r="B36" s="66">
        <v>-9.0899999999999995E-2</v>
      </c>
      <c r="C36" s="66">
        <v>-0.1701</v>
      </c>
      <c r="D36" s="66">
        <v>-0.23930000000000001</v>
      </c>
      <c r="E36" s="66">
        <v>-0.2999</v>
      </c>
      <c r="F36" s="66">
        <v>-0.35320000000000001</v>
      </c>
      <c r="G36" s="66">
        <v>-0.4002</v>
      </c>
      <c r="H36" s="66">
        <v>-0.44180000000000003</v>
      </c>
      <c r="I36" s="66">
        <v>-0.4788</v>
      </c>
      <c r="J36" s="66">
        <v>-0.51170000000000004</v>
      </c>
      <c r="K36" s="66">
        <v>-0.54120000000000001</v>
      </c>
      <c r="L36" s="66">
        <v>-0.56769999999999998</v>
      </c>
      <c r="M36" s="66">
        <v>-0.59150000000000003</v>
      </c>
      <c r="N36" s="66">
        <v>-0.61309999999999998</v>
      </c>
      <c r="O36" s="66">
        <v>-0.63260000000000005</v>
      </c>
      <c r="P36" s="66">
        <v>-0.65029999999999999</v>
      </c>
      <c r="Q36" s="2"/>
      <c r="R36" s="2">
        <v>100</v>
      </c>
      <c r="S36" s="66">
        <v>-0.40760000000000002</v>
      </c>
      <c r="T36" s="66">
        <v>-0.46129999999999999</v>
      </c>
      <c r="U36" s="66">
        <v>-0.50819999999999999</v>
      </c>
      <c r="V36" s="66">
        <v>-0.54910000000000003</v>
      </c>
      <c r="W36" s="66">
        <v>-0.58489999999999998</v>
      </c>
      <c r="X36" s="66">
        <v>-0.61650000000000005</v>
      </c>
      <c r="Y36" s="66">
        <v>-0.64439999999999997</v>
      </c>
      <c r="Z36" s="66">
        <v>-0.66910000000000003</v>
      </c>
      <c r="AA36" s="66">
        <v>-0.69099999999999995</v>
      </c>
      <c r="AB36" s="66">
        <v>-0.71060000000000001</v>
      </c>
      <c r="AC36" s="66">
        <v>-0.72819999999999996</v>
      </c>
      <c r="AD36" s="66">
        <v>-0.74390000000000001</v>
      </c>
      <c r="AE36" s="66">
        <v>-0.7581</v>
      </c>
      <c r="AF36" s="66">
        <v>-0.77090000000000003</v>
      </c>
      <c r="AG36" s="66">
        <v>-0.78259999999999996</v>
      </c>
    </row>
    <row r="37" spans="1:33" x14ac:dyDescent="0.2">
      <c r="A37" s="2">
        <v>200</v>
      </c>
      <c r="B37" s="66">
        <v>-0.1036</v>
      </c>
      <c r="C37" s="66">
        <v>-0.18160000000000001</v>
      </c>
      <c r="D37" s="66">
        <v>-0.24979999999999999</v>
      </c>
      <c r="E37" s="66">
        <v>-0.3095</v>
      </c>
      <c r="F37" s="66">
        <v>-0.3619</v>
      </c>
      <c r="G37" s="66">
        <v>-0.40820000000000001</v>
      </c>
      <c r="H37" s="66">
        <v>-0.44919999999999999</v>
      </c>
      <c r="I37" s="66">
        <v>-0.48570000000000002</v>
      </c>
      <c r="J37" s="66">
        <v>-0.51819999999999999</v>
      </c>
      <c r="K37" s="66">
        <v>-0.54720000000000002</v>
      </c>
      <c r="L37" s="66">
        <v>-0.57330000000000003</v>
      </c>
      <c r="M37" s="66">
        <v>-0.5968</v>
      </c>
      <c r="N37" s="66">
        <v>-0.61799999999999999</v>
      </c>
      <c r="O37" s="66">
        <v>-0.63719999999999999</v>
      </c>
      <c r="P37" s="66">
        <v>-0.65469999999999995</v>
      </c>
      <c r="Q37" s="2"/>
      <c r="R37" s="2">
        <v>200</v>
      </c>
      <c r="S37" s="66">
        <v>-0.41610000000000003</v>
      </c>
      <c r="T37" s="66">
        <v>-0.46910000000000002</v>
      </c>
      <c r="U37" s="66">
        <v>-0.51519999999999999</v>
      </c>
      <c r="V37" s="66">
        <v>-0.55549999999999999</v>
      </c>
      <c r="W37" s="66">
        <v>-0.59079999999999999</v>
      </c>
      <c r="X37" s="66">
        <v>-0.62190000000000001</v>
      </c>
      <c r="Y37" s="66">
        <v>-0.64939999999999998</v>
      </c>
      <c r="Z37" s="66">
        <v>-0.67369999999999997</v>
      </c>
      <c r="AA37" s="66">
        <v>-0.69540000000000002</v>
      </c>
      <c r="AB37" s="66">
        <v>-0.7147</v>
      </c>
      <c r="AC37" s="66">
        <v>-0.73199999999999998</v>
      </c>
      <c r="AD37" s="66">
        <v>-0.74750000000000005</v>
      </c>
      <c r="AE37" s="66">
        <v>-0.76149999999999995</v>
      </c>
      <c r="AF37" s="66">
        <v>-0.77410000000000001</v>
      </c>
      <c r="AG37" s="66">
        <v>-0.78549999999999998</v>
      </c>
    </row>
    <row r="38" spans="1:33" x14ac:dyDescent="0.2">
      <c r="A38" s="2">
        <v>300</v>
      </c>
      <c r="B38" s="66">
        <v>-0.1162</v>
      </c>
      <c r="C38" s="66">
        <v>-0.19309999999999999</v>
      </c>
      <c r="D38" s="66">
        <v>-0.26019999999999999</v>
      </c>
      <c r="E38" s="66">
        <v>-0.31900000000000001</v>
      </c>
      <c r="F38" s="66">
        <v>-0.37069999999999997</v>
      </c>
      <c r="G38" s="66">
        <v>-0.4163</v>
      </c>
      <c r="H38" s="66">
        <v>-0.45669999999999999</v>
      </c>
      <c r="I38" s="66">
        <v>-0.49259999999999998</v>
      </c>
      <c r="J38" s="66">
        <v>-0.52459999999999996</v>
      </c>
      <c r="K38" s="66">
        <v>-0.55320000000000003</v>
      </c>
      <c r="L38" s="66">
        <v>-0.57889999999999997</v>
      </c>
      <c r="M38" s="66">
        <v>-0.60199999999999998</v>
      </c>
      <c r="N38" s="66">
        <v>-0.62290000000000001</v>
      </c>
      <c r="O38" s="66">
        <v>-0.64190000000000003</v>
      </c>
      <c r="P38" s="66">
        <v>-0.65910000000000002</v>
      </c>
      <c r="Q38" s="2"/>
      <c r="R38" s="2">
        <v>300</v>
      </c>
      <c r="S38" s="66">
        <v>-0.42470000000000002</v>
      </c>
      <c r="T38" s="66">
        <v>-0.47689999999999999</v>
      </c>
      <c r="U38" s="66">
        <v>-0.52229999999999999</v>
      </c>
      <c r="V38" s="66">
        <v>-0.56200000000000006</v>
      </c>
      <c r="W38" s="66">
        <v>-0.5968</v>
      </c>
      <c r="X38" s="66">
        <v>-0.62739999999999996</v>
      </c>
      <c r="Y38" s="66">
        <v>-0.65439999999999998</v>
      </c>
      <c r="Z38" s="66">
        <v>-0.6784</v>
      </c>
      <c r="AA38" s="66">
        <v>-0.69969999999999999</v>
      </c>
      <c r="AB38" s="66">
        <v>-0.71870000000000001</v>
      </c>
      <c r="AC38" s="66">
        <v>-0.73570000000000002</v>
      </c>
      <c r="AD38" s="66">
        <v>-0.751</v>
      </c>
      <c r="AE38" s="66">
        <v>-0.76480000000000004</v>
      </c>
      <c r="AF38" s="66">
        <v>-0.7772</v>
      </c>
      <c r="AG38" s="66">
        <v>-0.78849999999999998</v>
      </c>
    </row>
    <row r="39" spans="1:33" x14ac:dyDescent="0.2">
      <c r="A39" s="2">
        <v>400</v>
      </c>
      <c r="B39" s="66">
        <v>-0.12889999999999999</v>
      </c>
      <c r="C39" s="66">
        <v>-0.2046</v>
      </c>
      <c r="D39" s="66">
        <v>-0.2707</v>
      </c>
      <c r="E39" s="66">
        <v>-0.3286</v>
      </c>
      <c r="F39" s="66">
        <v>-0.37940000000000002</v>
      </c>
      <c r="G39" s="66">
        <v>-0.4244</v>
      </c>
      <c r="H39" s="66">
        <v>-0.46410000000000001</v>
      </c>
      <c r="I39" s="66">
        <v>-0.4995</v>
      </c>
      <c r="J39" s="66">
        <v>-0.53100000000000003</v>
      </c>
      <c r="K39" s="66">
        <v>-0.55920000000000003</v>
      </c>
      <c r="L39" s="66">
        <v>-0.58450000000000002</v>
      </c>
      <c r="M39" s="66">
        <v>-0.60729999999999995</v>
      </c>
      <c r="N39" s="66">
        <v>-0.62790000000000001</v>
      </c>
      <c r="O39" s="66">
        <v>-0.64649999999999996</v>
      </c>
      <c r="P39" s="66">
        <v>-0.66349999999999998</v>
      </c>
      <c r="Q39" s="2"/>
      <c r="R39" s="2">
        <v>400</v>
      </c>
      <c r="S39" s="66">
        <v>-0.43330000000000002</v>
      </c>
      <c r="T39" s="66">
        <v>-0.48470000000000002</v>
      </c>
      <c r="U39" s="66">
        <v>-0.52939999999999998</v>
      </c>
      <c r="V39" s="66">
        <v>-0.56840000000000002</v>
      </c>
      <c r="W39" s="66">
        <v>-0.60270000000000001</v>
      </c>
      <c r="X39" s="66">
        <v>-0.63280000000000003</v>
      </c>
      <c r="Y39" s="66">
        <v>-0.65949999999999998</v>
      </c>
      <c r="Z39" s="66">
        <v>-0.68310000000000004</v>
      </c>
      <c r="AA39" s="66">
        <v>-0.70409999999999995</v>
      </c>
      <c r="AB39" s="66">
        <v>-0.7228</v>
      </c>
      <c r="AC39" s="66">
        <v>-0.73950000000000005</v>
      </c>
      <c r="AD39" s="66">
        <v>-0.75460000000000005</v>
      </c>
      <c r="AE39" s="66">
        <v>-0.7681</v>
      </c>
      <c r="AF39" s="66">
        <v>-0.78039999999999998</v>
      </c>
      <c r="AG39" s="66">
        <v>-0.79149999999999998</v>
      </c>
    </row>
    <row r="40" spans="1:33" x14ac:dyDescent="0.2">
      <c r="A40" s="2">
        <v>500</v>
      </c>
      <c r="B40" s="66">
        <v>-0.1416</v>
      </c>
      <c r="C40" s="66">
        <v>-0.21609999999999999</v>
      </c>
      <c r="D40" s="66">
        <v>-0.28110000000000002</v>
      </c>
      <c r="E40" s="66">
        <v>-0.33810000000000001</v>
      </c>
      <c r="F40" s="66">
        <v>-0.38819999999999999</v>
      </c>
      <c r="G40" s="66">
        <v>-0.43240000000000001</v>
      </c>
      <c r="H40" s="66">
        <v>-0.47160000000000002</v>
      </c>
      <c r="I40" s="66">
        <v>-0.50639999999999996</v>
      </c>
      <c r="J40" s="66">
        <v>-0.53739999999999999</v>
      </c>
      <c r="K40" s="66">
        <v>-0.56520000000000004</v>
      </c>
      <c r="L40" s="66">
        <v>-0.59009999999999996</v>
      </c>
      <c r="M40" s="66">
        <v>-0.61250000000000004</v>
      </c>
      <c r="N40" s="66">
        <v>-0.63280000000000003</v>
      </c>
      <c r="O40" s="66">
        <v>-0.6512</v>
      </c>
      <c r="P40" s="66">
        <v>-0.66790000000000005</v>
      </c>
      <c r="Q40" s="2"/>
      <c r="R40" s="2">
        <v>500</v>
      </c>
      <c r="S40" s="66">
        <v>-0.44190000000000002</v>
      </c>
      <c r="T40" s="66">
        <v>-0.4924</v>
      </c>
      <c r="U40" s="66">
        <v>-0.53649999999999998</v>
      </c>
      <c r="V40" s="66">
        <v>-0.57489999999999997</v>
      </c>
      <c r="W40" s="66">
        <v>-0.60860000000000003</v>
      </c>
      <c r="X40" s="66">
        <v>-0.63829999999999998</v>
      </c>
      <c r="Y40" s="66">
        <v>-0.66449999999999998</v>
      </c>
      <c r="Z40" s="66">
        <v>-0.68769999999999998</v>
      </c>
      <c r="AA40" s="66">
        <v>-0.70840000000000003</v>
      </c>
      <c r="AB40" s="66">
        <v>-0.7268</v>
      </c>
      <c r="AC40" s="66">
        <v>-0.74329999999999996</v>
      </c>
      <c r="AD40" s="66">
        <v>-0.7581</v>
      </c>
      <c r="AE40" s="66">
        <v>-0.77149999999999996</v>
      </c>
      <c r="AF40" s="66">
        <v>-0.78349999999999997</v>
      </c>
      <c r="AG40" s="66">
        <v>-0.79449999999999998</v>
      </c>
    </row>
    <row r="41" spans="1:33" x14ac:dyDescent="0.2">
      <c r="A41" s="2">
        <v>600</v>
      </c>
      <c r="B41" s="66">
        <v>-0.15429999999999999</v>
      </c>
      <c r="C41" s="66">
        <v>-0.2276</v>
      </c>
      <c r="D41" s="66">
        <v>-0.29160000000000003</v>
      </c>
      <c r="E41" s="66">
        <v>-0.34770000000000001</v>
      </c>
      <c r="F41" s="66">
        <v>-0.39700000000000002</v>
      </c>
      <c r="G41" s="66">
        <v>-0.4405</v>
      </c>
      <c r="H41" s="66">
        <v>-0.47899999999999998</v>
      </c>
      <c r="I41" s="66">
        <v>-0.51329999999999998</v>
      </c>
      <c r="J41" s="66">
        <v>-0.54379999999999995</v>
      </c>
      <c r="K41" s="66">
        <v>-0.57120000000000004</v>
      </c>
      <c r="L41" s="66">
        <v>-0.59570000000000001</v>
      </c>
      <c r="M41" s="66">
        <v>-0.61780000000000002</v>
      </c>
      <c r="N41" s="66">
        <v>-0.63770000000000004</v>
      </c>
      <c r="O41" s="66">
        <v>-0.65580000000000005</v>
      </c>
      <c r="P41" s="66">
        <v>-0.67230000000000001</v>
      </c>
      <c r="Q41" s="2"/>
      <c r="R41" s="2">
        <v>600</v>
      </c>
      <c r="S41" s="66">
        <v>-0.45050000000000001</v>
      </c>
      <c r="T41" s="66">
        <v>-0.50019999999999998</v>
      </c>
      <c r="U41" s="66">
        <v>-0.54349999999999998</v>
      </c>
      <c r="V41" s="66">
        <v>-0.58140000000000003</v>
      </c>
      <c r="W41" s="66">
        <v>-0.61460000000000004</v>
      </c>
      <c r="X41" s="66">
        <v>-0.64380000000000004</v>
      </c>
      <c r="Y41" s="66">
        <v>-0.66949999999999998</v>
      </c>
      <c r="Z41" s="66">
        <v>-0.69240000000000002</v>
      </c>
      <c r="AA41" s="66">
        <v>-0.7127</v>
      </c>
      <c r="AB41" s="66">
        <v>-0.73089999999999999</v>
      </c>
      <c r="AC41" s="66">
        <v>-0.74709999999999999</v>
      </c>
      <c r="AD41" s="66">
        <v>-0.76170000000000004</v>
      </c>
      <c r="AE41" s="66">
        <v>-0.77480000000000004</v>
      </c>
      <c r="AF41" s="66">
        <v>-0.78669999999999995</v>
      </c>
      <c r="AG41" s="66">
        <v>-0.7974</v>
      </c>
    </row>
    <row r="42" spans="1:33" x14ac:dyDescent="0.2">
      <c r="A42" s="2">
        <v>700</v>
      </c>
      <c r="B42" s="66">
        <v>-0.16700000000000001</v>
      </c>
      <c r="C42" s="66">
        <v>-0.23910000000000001</v>
      </c>
      <c r="D42" s="66">
        <v>-0.30209999999999998</v>
      </c>
      <c r="E42" s="66">
        <v>-0.35720000000000002</v>
      </c>
      <c r="F42" s="66">
        <v>-0.40570000000000001</v>
      </c>
      <c r="G42" s="66">
        <v>-0.44850000000000001</v>
      </c>
      <c r="H42" s="66">
        <v>-0.48649999999999999</v>
      </c>
      <c r="I42" s="66">
        <v>-0.5202</v>
      </c>
      <c r="J42" s="66">
        <v>-0.55020000000000002</v>
      </c>
      <c r="K42" s="66">
        <v>-0.57709999999999995</v>
      </c>
      <c r="L42" s="66">
        <v>-0.60129999999999995</v>
      </c>
      <c r="M42" s="66">
        <v>-0.623</v>
      </c>
      <c r="N42" s="66">
        <v>-0.64270000000000005</v>
      </c>
      <c r="O42" s="66">
        <v>-0.66049999999999998</v>
      </c>
      <c r="P42" s="66">
        <v>-0.67669999999999997</v>
      </c>
      <c r="Q42" s="2"/>
      <c r="R42" s="2">
        <v>700</v>
      </c>
      <c r="S42" s="66">
        <v>-0.45900000000000002</v>
      </c>
      <c r="T42" s="66">
        <v>-0.50800000000000001</v>
      </c>
      <c r="U42" s="66">
        <v>-0.55059999999999998</v>
      </c>
      <c r="V42" s="66">
        <v>-0.58779999999999999</v>
      </c>
      <c r="W42" s="66">
        <v>-0.62050000000000005</v>
      </c>
      <c r="X42" s="66">
        <v>-0.6492</v>
      </c>
      <c r="Y42" s="66">
        <v>-0.67459999999999998</v>
      </c>
      <c r="Z42" s="66">
        <v>-0.69710000000000005</v>
      </c>
      <c r="AA42" s="66">
        <v>-0.71709999999999996</v>
      </c>
      <c r="AB42" s="66">
        <v>-0.7349</v>
      </c>
      <c r="AC42" s="66">
        <v>-0.75090000000000001</v>
      </c>
      <c r="AD42" s="66">
        <v>-0.76519999999999999</v>
      </c>
      <c r="AE42" s="66">
        <v>-0.7782</v>
      </c>
      <c r="AF42" s="66">
        <v>-0.78979999999999995</v>
      </c>
      <c r="AG42" s="66">
        <v>-0.8004</v>
      </c>
    </row>
    <row r="43" spans="1:33" x14ac:dyDescent="0.2">
      <c r="A43" s="2">
        <v>800</v>
      </c>
      <c r="B43" s="66">
        <v>-0.1797</v>
      </c>
      <c r="C43" s="66">
        <v>-0.25059999999999999</v>
      </c>
      <c r="D43" s="66">
        <v>-0.3125</v>
      </c>
      <c r="E43" s="66">
        <v>-0.36680000000000001</v>
      </c>
      <c r="F43" s="66">
        <v>-0.41449999999999998</v>
      </c>
      <c r="G43" s="66">
        <v>-0.45660000000000001</v>
      </c>
      <c r="H43" s="66">
        <v>-0.49390000000000001</v>
      </c>
      <c r="I43" s="66">
        <v>-0.52710000000000001</v>
      </c>
      <c r="J43" s="66">
        <v>-0.55669999999999997</v>
      </c>
      <c r="K43" s="66">
        <v>-0.58309999999999995</v>
      </c>
      <c r="L43" s="66">
        <v>-0.6069</v>
      </c>
      <c r="M43" s="66">
        <v>-0.62829999999999997</v>
      </c>
      <c r="N43" s="66">
        <v>-0.64759999999999995</v>
      </c>
      <c r="O43" s="66">
        <v>-0.66510000000000002</v>
      </c>
      <c r="P43" s="66">
        <v>-0.68110000000000004</v>
      </c>
      <c r="Q43" s="2"/>
      <c r="R43" s="2">
        <v>800</v>
      </c>
      <c r="S43" s="66">
        <v>-0.46760000000000002</v>
      </c>
      <c r="T43" s="66">
        <v>-0.51580000000000004</v>
      </c>
      <c r="U43" s="66">
        <v>-0.55769999999999997</v>
      </c>
      <c r="V43" s="66">
        <v>-0.59430000000000005</v>
      </c>
      <c r="W43" s="66">
        <v>-0.62639999999999996</v>
      </c>
      <c r="X43" s="66">
        <v>-0.65469999999999995</v>
      </c>
      <c r="Y43" s="66">
        <v>-0.67959999999999998</v>
      </c>
      <c r="Z43" s="66">
        <v>-0.70169999999999999</v>
      </c>
      <c r="AA43" s="66">
        <v>-0.72140000000000004</v>
      </c>
      <c r="AB43" s="66">
        <v>-0.73899999999999999</v>
      </c>
      <c r="AC43" s="66">
        <v>-0.75470000000000004</v>
      </c>
      <c r="AD43" s="66">
        <v>-0.76880000000000004</v>
      </c>
      <c r="AE43" s="66">
        <v>-0.78149999999999997</v>
      </c>
      <c r="AF43" s="66">
        <v>-0.79300000000000004</v>
      </c>
      <c r="AG43" s="66">
        <v>-0.8034</v>
      </c>
    </row>
    <row r="44" spans="1:33" x14ac:dyDescent="0.2">
      <c r="A44" s="2">
        <v>900</v>
      </c>
      <c r="B44" s="66">
        <v>-0.1923</v>
      </c>
      <c r="C44" s="66">
        <v>-0.2621</v>
      </c>
      <c r="D44" s="66">
        <v>-0.32300000000000001</v>
      </c>
      <c r="E44" s="66">
        <v>-0.37630000000000002</v>
      </c>
      <c r="F44" s="66">
        <v>-0.42330000000000001</v>
      </c>
      <c r="G44" s="66">
        <v>-0.4647</v>
      </c>
      <c r="H44" s="66">
        <v>-0.50139999999999996</v>
      </c>
      <c r="I44" s="66">
        <v>-0.53400000000000003</v>
      </c>
      <c r="J44" s="66">
        <v>-0.56310000000000004</v>
      </c>
      <c r="K44" s="66">
        <v>-0.58909999999999996</v>
      </c>
      <c r="L44" s="66">
        <v>-0.61250000000000004</v>
      </c>
      <c r="M44" s="66">
        <v>-0.63349999999999995</v>
      </c>
      <c r="N44" s="66">
        <v>-0.65259999999999996</v>
      </c>
      <c r="O44" s="66">
        <v>-0.66979999999999995</v>
      </c>
      <c r="P44" s="66">
        <v>-0.6855</v>
      </c>
      <c r="Q44" s="2"/>
      <c r="R44" s="2">
        <v>900</v>
      </c>
      <c r="S44" s="66">
        <v>-0.47620000000000001</v>
      </c>
      <c r="T44" s="66">
        <v>-0.52349999999999997</v>
      </c>
      <c r="U44" s="66">
        <v>-0.56469999999999998</v>
      </c>
      <c r="V44" s="66">
        <v>-0.6008</v>
      </c>
      <c r="W44" s="66">
        <v>-0.63229999999999997</v>
      </c>
      <c r="X44" s="66">
        <v>-0.66010000000000002</v>
      </c>
      <c r="Y44" s="66">
        <v>-0.68469999999999998</v>
      </c>
      <c r="Z44" s="66">
        <v>-0.70640000000000003</v>
      </c>
      <c r="AA44" s="66">
        <v>-0.7258</v>
      </c>
      <c r="AB44" s="66">
        <v>-0.74299999999999999</v>
      </c>
      <c r="AC44" s="66">
        <v>-0.75849999999999995</v>
      </c>
      <c r="AD44" s="66">
        <v>-0.77229999999999999</v>
      </c>
      <c r="AE44" s="66">
        <v>-0.78480000000000005</v>
      </c>
      <c r="AF44" s="66">
        <v>-0.79610000000000003</v>
      </c>
      <c r="AG44" s="66">
        <v>-0.80640000000000001</v>
      </c>
    </row>
    <row r="45" spans="1:33" x14ac:dyDescent="0.2">
      <c r="A45" s="2">
        <v>1000</v>
      </c>
      <c r="B45" s="66">
        <v>-0.20499999999999999</v>
      </c>
      <c r="C45" s="66">
        <v>-0.27360000000000001</v>
      </c>
      <c r="D45" s="66">
        <v>-0.33339999999999997</v>
      </c>
      <c r="E45" s="66">
        <v>-0.38590000000000002</v>
      </c>
      <c r="F45" s="66">
        <v>-0.432</v>
      </c>
      <c r="G45" s="66">
        <v>-0.47270000000000001</v>
      </c>
      <c r="H45" s="66">
        <v>-0.50880000000000003</v>
      </c>
      <c r="I45" s="66">
        <v>-0.54090000000000005</v>
      </c>
      <c r="J45" s="66">
        <v>-0.56950000000000001</v>
      </c>
      <c r="K45" s="66">
        <v>-0.59509999999999996</v>
      </c>
      <c r="L45" s="66">
        <v>-0.61809999999999998</v>
      </c>
      <c r="M45" s="66">
        <v>-0.63880000000000003</v>
      </c>
      <c r="N45" s="66">
        <v>-0.65749999999999997</v>
      </c>
      <c r="O45" s="66">
        <v>-0.67449999999999999</v>
      </c>
      <c r="P45" s="66">
        <v>-0.68989999999999996</v>
      </c>
      <c r="Q45" s="2"/>
      <c r="R45" s="2">
        <v>1000</v>
      </c>
      <c r="S45" s="66">
        <v>-0.48480000000000001</v>
      </c>
      <c r="T45" s="66">
        <v>-0.53129999999999999</v>
      </c>
      <c r="U45" s="66">
        <v>-0.57179999999999997</v>
      </c>
      <c r="V45" s="66">
        <v>-0.60719999999999996</v>
      </c>
      <c r="W45" s="66">
        <v>-0.63829999999999998</v>
      </c>
      <c r="X45" s="66">
        <v>-0.66559999999999997</v>
      </c>
      <c r="Y45" s="66">
        <v>-0.68969999999999998</v>
      </c>
      <c r="Z45" s="66">
        <v>-0.71109999999999995</v>
      </c>
      <c r="AA45" s="66">
        <v>-0.73009999999999997</v>
      </c>
      <c r="AB45" s="66">
        <v>-0.74709999999999999</v>
      </c>
      <c r="AC45" s="66">
        <v>-0.76229999999999998</v>
      </c>
      <c r="AD45" s="66">
        <v>-0.77590000000000003</v>
      </c>
      <c r="AE45" s="66">
        <v>-0.78820000000000001</v>
      </c>
      <c r="AF45" s="66">
        <v>-0.79930000000000001</v>
      </c>
      <c r="AG45" s="66">
        <v>-0.80930000000000002</v>
      </c>
    </row>
    <row r="46" spans="1:33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</row>
    <row r="47" spans="1:33" ht="19" x14ac:dyDescent="0.25">
      <c r="A47" s="61" t="s">
        <v>155</v>
      </c>
      <c r="B47" s="61"/>
      <c r="C47" s="61"/>
      <c r="D47" s="61"/>
      <c r="E47" s="2"/>
      <c r="F47" s="2"/>
      <c r="G47" s="2"/>
      <c r="H47" s="2"/>
      <c r="I47" s="2"/>
      <c r="J47" s="2"/>
      <c r="K47" s="2"/>
      <c r="L47" s="2"/>
      <c r="M47" s="6"/>
      <c r="N47" s="2"/>
      <c r="O47" s="2"/>
      <c r="P47" s="2"/>
      <c r="Q47" s="2"/>
      <c r="R47" s="67" t="s">
        <v>156</v>
      </c>
      <c r="S47" s="67"/>
      <c r="T47" s="67"/>
      <c r="U47" s="67"/>
      <c r="V47" s="67"/>
      <c r="W47" s="2"/>
    </row>
    <row r="48" spans="1:33" x14ac:dyDescent="0.2">
      <c r="A48" s="2"/>
      <c r="B48" s="65">
        <v>0.05</v>
      </c>
      <c r="C48" s="65">
        <v>7.0000000000000007E-2</v>
      </c>
      <c r="D48" s="65">
        <v>0.09</v>
      </c>
      <c r="E48" s="65">
        <v>0.11</v>
      </c>
      <c r="F48" s="65">
        <v>0.13</v>
      </c>
      <c r="G48" s="65">
        <v>0.15</v>
      </c>
      <c r="H48" s="65">
        <v>0.17</v>
      </c>
      <c r="I48" s="65">
        <v>0.19</v>
      </c>
      <c r="J48" s="65">
        <v>0.21</v>
      </c>
      <c r="K48" s="65">
        <v>0.23</v>
      </c>
      <c r="L48" s="65">
        <v>0.25</v>
      </c>
      <c r="M48" s="65">
        <v>0.27</v>
      </c>
      <c r="N48" s="65">
        <v>0.28999999999999998</v>
      </c>
      <c r="O48" s="2"/>
      <c r="P48" s="2"/>
      <c r="Q48" s="2"/>
      <c r="R48" s="2"/>
      <c r="S48" s="65">
        <v>0.05</v>
      </c>
      <c r="T48" s="65">
        <v>7.0000000000000007E-2</v>
      </c>
      <c r="U48" s="65">
        <v>0.09</v>
      </c>
      <c r="V48" s="65">
        <v>0.11</v>
      </c>
      <c r="W48" s="65">
        <v>0.13</v>
      </c>
      <c r="X48" s="65">
        <v>0.15</v>
      </c>
      <c r="Y48" s="65">
        <v>0.17</v>
      </c>
      <c r="Z48" s="65">
        <v>0.19</v>
      </c>
      <c r="AA48" s="65">
        <v>0.21</v>
      </c>
      <c r="AB48" s="65">
        <v>0.23</v>
      </c>
      <c r="AC48" s="65">
        <v>0.25</v>
      </c>
      <c r="AD48" s="65">
        <v>0.27</v>
      </c>
      <c r="AE48" s="65">
        <v>0.28999999999999998</v>
      </c>
      <c r="AF48" s="2"/>
      <c r="AG48" s="2"/>
    </row>
    <row r="49" spans="1:33" x14ac:dyDescent="0.2">
      <c r="A49" s="2">
        <v>0.05</v>
      </c>
      <c r="B49" s="66">
        <v>5.0599999999999999E-2</v>
      </c>
      <c r="C49" s="66">
        <v>6.1800000000000001E-2</v>
      </c>
      <c r="D49" s="66">
        <v>7.1999999999999995E-2</v>
      </c>
      <c r="E49" s="66">
        <v>8.1699999999999995E-2</v>
      </c>
      <c r="F49" s="66">
        <v>9.1399999999999995E-2</v>
      </c>
      <c r="G49" s="66">
        <v>0.1009</v>
      </c>
      <c r="H49" s="66">
        <v>0.1091</v>
      </c>
      <c r="I49" s="66">
        <v>0.11650000000000001</v>
      </c>
      <c r="J49" s="66">
        <v>0.1235</v>
      </c>
      <c r="K49" s="66">
        <v>0.12939999999999999</v>
      </c>
      <c r="L49" s="66">
        <v>0.13469999999999999</v>
      </c>
      <c r="M49" s="66">
        <v>0.13969999999999999</v>
      </c>
      <c r="N49" s="66">
        <v>0.14430000000000001</v>
      </c>
      <c r="O49" s="2"/>
      <c r="P49" s="2"/>
      <c r="Q49" s="2"/>
      <c r="R49" s="65">
        <v>0.05</v>
      </c>
      <c r="S49" s="66">
        <v>7.8700000000000006E-2</v>
      </c>
      <c r="T49" s="66">
        <v>8.2000000000000003E-2</v>
      </c>
      <c r="U49" s="66">
        <v>8.5000000000000006E-2</v>
      </c>
      <c r="V49" s="66">
        <v>8.7999999999999995E-2</v>
      </c>
      <c r="W49" s="66">
        <v>9.0800000000000006E-2</v>
      </c>
      <c r="X49" s="66">
        <v>9.3600000000000003E-2</v>
      </c>
      <c r="Y49" s="66">
        <v>9.6299999999999997E-2</v>
      </c>
      <c r="Z49" s="66">
        <v>9.9099999999999994E-2</v>
      </c>
      <c r="AA49" s="66">
        <v>0.1018</v>
      </c>
      <c r="AB49" s="66">
        <v>0.1046</v>
      </c>
      <c r="AC49" s="66">
        <v>0.10730000000000001</v>
      </c>
      <c r="AD49" s="66">
        <v>0.1101</v>
      </c>
      <c r="AE49" s="66">
        <v>0.1128</v>
      </c>
      <c r="AF49" s="2"/>
      <c r="AG49" s="2"/>
    </row>
    <row r="50" spans="1:33" x14ac:dyDescent="0.2">
      <c r="A50" s="2">
        <v>7.0000000000000007E-2</v>
      </c>
      <c r="B50" s="66">
        <v>6.1800000000000001E-2</v>
      </c>
      <c r="C50" s="66">
        <v>7.1800000000000003E-2</v>
      </c>
      <c r="D50" s="66">
        <v>8.1299999999999997E-2</v>
      </c>
      <c r="E50" s="66">
        <v>9.0800000000000006E-2</v>
      </c>
      <c r="F50" s="66">
        <v>0.1002</v>
      </c>
      <c r="G50" s="66">
        <v>0.10829999999999999</v>
      </c>
      <c r="H50" s="66">
        <v>0.11559999999999999</v>
      </c>
      <c r="I50" s="66">
        <v>0.12239999999999999</v>
      </c>
      <c r="J50" s="66">
        <v>0.12839999999999999</v>
      </c>
      <c r="K50" s="66">
        <v>0.1338</v>
      </c>
      <c r="L50" s="66">
        <v>0.13869999999999999</v>
      </c>
      <c r="M50" s="66">
        <v>0.1434</v>
      </c>
      <c r="N50" s="66">
        <v>0.14699999999999999</v>
      </c>
      <c r="O50" s="2"/>
      <c r="P50" s="2"/>
      <c r="Q50" s="2"/>
      <c r="R50" s="65">
        <v>7.0000000000000007E-2</v>
      </c>
      <c r="S50" s="66">
        <v>8.2000000000000003E-2</v>
      </c>
      <c r="T50" s="66">
        <v>8.5000000000000006E-2</v>
      </c>
      <c r="U50" s="66">
        <v>8.7900000000000006E-2</v>
      </c>
      <c r="V50" s="66">
        <v>9.0700000000000003E-2</v>
      </c>
      <c r="W50" s="66">
        <v>9.3399999999999997E-2</v>
      </c>
      <c r="X50" s="66">
        <v>9.6000000000000002E-2</v>
      </c>
      <c r="Y50" s="66">
        <v>9.8699999999999996E-2</v>
      </c>
      <c r="Z50" s="66">
        <v>0.1014</v>
      </c>
      <c r="AA50" s="66">
        <v>0.1041</v>
      </c>
      <c r="AB50" s="66">
        <v>0.10680000000000001</v>
      </c>
      <c r="AC50" s="66">
        <v>0.1095</v>
      </c>
      <c r="AD50" s="66">
        <v>0.11219999999999999</v>
      </c>
      <c r="AE50" s="66">
        <v>0.1149</v>
      </c>
      <c r="AF50" s="2"/>
      <c r="AG50" s="2"/>
    </row>
    <row r="51" spans="1:33" x14ac:dyDescent="0.2">
      <c r="A51" s="2">
        <v>0.09</v>
      </c>
      <c r="B51" s="66">
        <v>7.1999999999999995E-2</v>
      </c>
      <c r="C51" s="66">
        <v>8.1299999999999997E-2</v>
      </c>
      <c r="D51" s="66">
        <v>9.06E-2</v>
      </c>
      <c r="E51" s="66">
        <v>9.98E-2</v>
      </c>
      <c r="F51" s="66">
        <v>0.1077</v>
      </c>
      <c r="G51" s="66">
        <v>0.115</v>
      </c>
      <c r="H51" s="66">
        <v>0.1217</v>
      </c>
      <c r="I51" s="66">
        <v>0.12770000000000001</v>
      </c>
      <c r="J51" s="66">
        <v>0.1331</v>
      </c>
      <c r="K51" s="66">
        <v>0.13780000000000001</v>
      </c>
      <c r="L51" s="66">
        <v>0.1426</v>
      </c>
      <c r="M51" s="66">
        <v>0.1462</v>
      </c>
      <c r="N51" s="66">
        <v>0.14979999999999999</v>
      </c>
      <c r="O51" s="2"/>
      <c r="P51" s="2"/>
      <c r="Q51" s="2"/>
      <c r="R51" s="65">
        <v>0.09</v>
      </c>
      <c r="S51" s="66">
        <v>8.5000000000000006E-2</v>
      </c>
      <c r="T51" s="66">
        <v>8.7900000000000006E-2</v>
      </c>
      <c r="U51" s="66">
        <v>9.06E-2</v>
      </c>
      <c r="V51" s="66">
        <v>9.3200000000000005E-2</v>
      </c>
      <c r="W51" s="66">
        <v>9.5899999999999999E-2</v>
      </c>
      <c r="X51" s="66">
        <v>9.8500000000000004E-2</v>
      </c>
      <c r="Y51" s="66">
        <v>0.1011</v>
      </c>
      <c r="Z51" s="66">
        <v>0.1038</v>
      </c>
      <c r="AA51" s="66">
        <v>0.10639999999999999</v>
      </c>
      <c r="AB51" s="66">
        <v>0.1091</v>
      </c>
      <c r="AC51" s="66">
        <v>0.11169999999999999</v>
      </c>
      <c r="AD51" s="66">
        <v>0.1143</v>
      </c>
      <c r="AE51" s="66">
        <v>0.11700000000000001</v>
      </c>
      <c r="AF51" s="2"/>
      <c r="AG51" s="2"/>
    </row>
    <row r="52" spans="1:33" x14ac:dyDescent="0.2">
      <c r="A52" s="2">
        <v>0.11</v>
      </c>
      <c r="B52" s="66">
        <v>8.1699999999999995E-2</v>
      </c>
      <c r="C52" s="66">
        <v>9.0800000000000006E-2</v>
      </c>
      <c r="D52" s="66">
        <v>9.98E-2</v>
      </c>
      <c r="E52" s="66">
        <v>0.1076</v>
      </c>
      <c r="F52" s="66">
        <v>0.1147</v>
      </c>
      <c r="G52" s="66">
        <v>0.12130000000000001</v>
      </c>
      <c r="H52" s="66">
        <v>0.12720000000000001</v>
      </c>
      <c r="I52" s="66">
        <v>0.13250000000000001</v>
      </c>
      <c r="J52" s="66">
        <v>0.13719999999999999</v>
      </c>
      <c r="K52" s="66">
        <v>0.14180000000000001</v>
      </c>
      <c r="L52" s="66">
        <v>0.14560000000000001</v>
      </c>
      <c r="M52" s="66">
        <v>0.14910000000000001</v>
      </c>
      <c r="N52" s="66">
        <v>0.1525</v>
      </c>
      <c r="O52" s="2"/>
      <c r="P52" s="2"/>
      <c r="Q52" s="2"/>
      <c r="R52" s="65">
        <v>0.11</v>
      </c>
      <c r="S52" s="66">
        <v>8.7999999999999995E-2</v>
      </c>
      <c r="T52" s="66">
        <v>9.0700000000000003E-2</v>
      </c>
      <c r="U52" s="66">
        <v>9.3200000000000005E-2</v>
      </c>
      <c r="V52" s="66">
        <v>9.5799999999999996E-2</v>
      </c>
      <c r="W52" s="66">
        <v>9.8400000000000001E-2</v>
      </c>
      <c r="X52" s="66">
        <v>0.10100000000000001</v>
      </c>
      <c r="Y52" s="66">
        <v>0.10349999999999999</v>
      </c>
      <c r="Z52" s="66">
        <v>0.1061</v>
      </c>
      <c r="AA52" s="66">
        <v>0.1087</v>
      </c>
      <c r="AB52" s="66">
        <v>0.1113</v>
      </c>
      <c r="AC52" s="66">
        <v>0.1139</v>
      </c>
      <c r="AD52" s="66">
        <v>0.1164</v>
      </c>
      <c r="AE52" s="66">
        <v>0.11899999999999999</v>
      </c>
      <c r="AF52" s="2"/>
      <c r="AG52" s="2"/>
    </row>
    <row r="53" spans="1:33" x14ac:dyDescent="0.2">
      <c r="A53" s="2">
        <v>0.13</v>
      </c>
      <c r="B53" s="66">
        <v>9.1399999999999995E-2</v>
      </c>
      <c r="C53" s="66">
        <v>0.1002</v>
      </c>
      <c r="D53" s="66">
        <v>0.1077</v>
      </c>
      <c r="E53" s="66">
        <v>0.1147</v>
      </c>
      <c r="F53" s="66">
        <v>0.1211</v>
      </c>
      <c r="G53" s="66">
        <v>0.127</v>
      </c>
      <c r="H53" s="66">
        <v>0.13220000000000001</v>
      </c>
      <c r="I53" s="66">
        <v>0.1368</v>
      </c>
      <c r="J53" s="66">
        <v>0.14130000000000001</v>
      </c>
      <c r="K53" s="66">
        <v>0.1452</v>
      </c>
      <c r="L53" s="66">
        <v>0.14849999999999999</v>
      </c>
      <c r="M53" s="66">
        <v>0.15190000000000001</v>
      </c>
      <c r="N53" s="66">
        <v>0.15529999999999999</v>
      </c>
      <c r="O53" s="2"/>
      <c r="P53" s="2"/>
      <c r="Q53" s="2"/>
      <c r="R53" s="65">
        <v>0.13</v>
      </c>
      <c r="S53" s="66">
        <v>9.0800000000000006E-2</v>
      </c>
      <c r="T53" s="66">
        <v>9.3399999999999997E-2</v>
      </c>
      <c r="U53" s="66">
        <v>9.5899999999999999E-2</v>
      </c>
      <c r="V53" s="66">
        <v>9.8400000000000001E-2</v>
      </c>
      <c r="W53" s="66">
        <v>0.1009</v>
      </c>
      <c r="X53" s="66">
        <v>0.10340000000000001</v>
      </c>
      <c r="Y53" s="66">
        <v>0.106</v>
      </c>
      <c r="Z53" s="66">
        <v>0.1085</v>
      </c>
      <c r="AA53" s="66">
        <v>0.111</v>
      </c>
      <c r="AB53" s="66">
        <v>0.1135</v>
      </c>
      <c r="AC53" s="66">
        <v>0.11600000000000001</v>
      </c>
      <c r="AD53" s="66">
        <v>0.1186</v>
      </c>
      <c r="AE53" s="66">
        <v>0.1211</v>
      </c>
      <c r="AF53" s="2"/>
      <c r="AG53" s="2"/>
    </row>
    <row r="54" spans="1:33" x14ac:dyDescent="0.2">
      <c r="A54" s="2">
        <v>0.15</v>
      </c>
      <c r="B54" s="66">
        <v>0.1009</v>
      </c>
      <c r="C54" s="66">
        <v>0.10829999999999999</v>
      </c>
      <c r="D54" s="66">
        <v>0.115</v>
      </c>
      <c r="E54" s="66">
        <v>0.12130000000000001</v>
      </c>
      <c r="F54" s="66">
        <v>0.127</v>
      </c>
      <c r="G54" s="66">
        <v>0.1321</v>
      </c>
      <c r="H54" s="66">
        <v>0.1366</v>
      </c>
      <c r="I54" s="66">
        <v>0.14099999999999999</v>
      </c>
      <c r="J54" s="66">
        <v>0.1449</v>
      </c>
      <c r="K54" s="66">
        <v>0.14810000000000001</v>
      </c>
      <c r="L54" s="66">
        <v>0.15140000000000001</v>
      </c>
      <c r="M54" s="66">
        <v>0.1547</v>
      </c>
      <c r="N54" s="66">
        <v>0.158</v>
      </c>
      <c r="O54" s="2"/>
      <c r="P54" s="2"/>
      <c r="Q54" s="2"/>
      <c r="R54" s="65">
        <v>0.15</v>
      </c>
      <c r="S54" s="66">
        <v>9.3600000000000003E-2</v>
      </c>
      <c r="T54" s="66">
        <v>9.6000000000000002E-2</v>
      </c>
      <c r="U54" s="66">
        <v>9.8500000000000004E-2</v>
      </c>
      <c r="V54" s="66">
        <v>0.10100000000000001</v>
      </c>
      <c r="W54" s="66">
        <v>0.10340000000000001</v>
      </c>
      <c r="X54" s="66">
        <v>0.10589999999999999</v>
      </c>
      <c r="Y54" s="66">
        <v>0.1084</v>
      </c>
      <c r="Z54" s="66">
        <v>0.1108</v>
      </c>
      <c r="AA54" s="66">
        <v>0.1133</v>
      </c>
      <c r="AB54" s="66">
        <v>0.1157</v>
      </c>
      <c r="AC54" s="66">
        <v>0.1182</v>
      </c>
      <c r="AD54" s="66">
        <v>0.1207</v>
      </c>
      <c r="AE54" s="66">
        <v>0.1231</v>
      </c>
      <c r="AF54" s="2"/>
      <c r="AG54" s="2"/>
    </row>
    <row r="55" spans="1:33" x14ac:dyDescent="0.2">
      <c r="A55" s="2">
        <v>0.17</v>
      </c>
      <c r="B55" s="66">
        <v>0.1091</v>
      </c>
      <c r="C55" s="66">
        <v>0.11559999999999999</v>
      </c>
      <c r="D55" s="66">
        <v>0.1217</v>
      </c>
      <c r="E55" s="66">
        <v>0.12720000000000001</v>
      </c>
      <c r="F55" s="66">
        <v>0.13220000000000001</v>
      </c>
      <c r="G55" s="66">
        <v>0.1366</v>
      </c>
      <c r="H55" s="66">
        <v>0.1409</v>
      </c>
      <c r="I55" s="66">
        <v>0.1447</v>
      </c>
      <c r="J55" s="66">
        <v>0.1479</v>
      </c>
      <c r="K55" s="66">
        <v>0.15110000000000001</v>
      </c>
      <c r="L55" s="66">
        <v>0.15429999999999999</v>
      </c>
      <c r="M55" s="66">
        <v>0.1575</v>
      </c>
      <c r="N55" s="66">
        <v>0.16070000000000001</v>
      </c>
      <c r="O55" s="2"/>
      <c r="P55" s="2"/>
      <c r="Q55" s="2"/>
      <c r="R55" s="65">
        <v>0.17</v>
      </c>
      <c r="S55" s="66">
        <v>9.6299999999999997E-2</v>
      </c>
      <c r="T55" s="66">
        <v>9.8699999999999996E-2</v>
      </c>
      <c r="U55" s="66">
        <v>0.1011</v>
      </c>
      <c r="V55" s="66">
        <v>0.10349999999999999</v>
      </c>
      <c r="W55" s="66">
        <v>0.106</v>
      </c>
      <c r="X55" s="66">
        <v>0.1084</v>
      </c>
      <c r="Y55" s="66">
        <v>0.1108</v>
      </c>
      <c r="Z55" s="66">
        <v>0.1132</v>
      </c>
      <c r="AA55" s="66">
        <v>0.11559999999999999</v>
      </c>
      <c r="AB55" s="66">
        <v>0.11799999999999999</v>
      </c>
      <c r="AC55" s="66">
        <v>0.12039999999999999</v>
      </c>
      <c r="AD55" s="66">
        <v>0.12280000000000001</v>
      </c>
      <c r="AE55" s="66">
        <v>0.12520000000000001</v>
      </c>
      <c r="AF55" s="2"/>
      <c r="AG55" s="2"/>
    </row>
    <row r="56" spans="1:33" x14ac:dyDescent="0.2">
      <c r="A56" s="2">
        <v>0.19</v>
      </c>
      <c r="B56" s="66">
        <v>0.11650000000000001</v>
      </c>
      <c r="C56" s="66">
        <v>0.12239999999999999</v>
      </c>
      <c r="D56" s="66">
        <v>0.12770000000000001</v>
      </c>
      <c r="E56" s="66">
        <v>0.13250000000000001</v>
      </c>
      <c r="F56" s="66">
        <v>0.1368</v>
      </c>
      <c r="G56" s="66">
        <v>0.14099999999999999</v>
      </c>
      <c r="H56" s="66">
        <v>0.1447</v>
      </c>
      <c r="I56" s="66">
        <v>0.14779999999999999</v>
      </c>
      <c r="J56" s="66">
        <v>0.151</v>
      </c>
      <c r="K56" s="66">
        <v>0.15409999999999999</v>
      </c>
      <c r="L56" s="66">
        <v>0.15720000000000001</v>
      </c>
      <c r="M56" s="66">
        <v>0.16039999999999999</v>
      </c>
      <c r="N56" s="66">
        <v>0.16350000000000001</v>
      </c>
      <c r="O56" s="2"/>
      <c r="P56" s="2"/>
      <c r="Q56" s="2"/>
      <c r="R56" s="65">
        <v>0.19</v>
      </c>
      <c r="S56" s="66">
        <v>9.9099999999999994E-2</v>
      </c>
      <c r="T56" s="66">
        <v>0.1014</v>
      </c>
      <c r="U56" s="66">
        <v>0.1038</v>
      </c>
      <c r="V56" s="66">
        <v>0.1061</v>
      </c>
      <c r="W56" s="66">
        <v>0.1085</v>
      </c>
      <c r="X56" s="66">
        <v>0.1108</v>
      </c>
      <c r="Y56" s="66">
        <v>0.1132</v>
      </c>
      <c r="Z56" s="66">
        <v>0.11550000000000001</v>
      </c>
      <c r="AA56" s="66">
        <v>0.1179</v>
      </c>
      <c r="AB56" s="66">
        <v>0.1202</v>
      </c>
      <c r="AC56" s="66">
        <v>0.1226</v>
      </c>
      <c r="AD56" s="66">
        <v>0.1249</v>
      </c>
      <c r="AE56" s="66">
        <v>0.1273</v>
      </c>
      <c r="AF56" s="2"/>
      <c r="AG56" s="2"/>
    </row>
    <row r="57" spans="1:33" x14ac:dyDescent="0.2">
      <c r="A57" s="2">
        <v>0.21</v>
      </c>
      <c r="B57" s="66">
        <v>0.1235</v>
      </c>
      <c r="C57" s="66">
        <v>0.12839999999999999</v>
      </c>
      <c r="D57" s="66">
        <v>0.1331</v>
      </c>
      <c r="E57" s="66">
        <v>0.13719999999999999</v>
      </c>
      <c r="F57" s="66">
        <v>0.14130000000000001</v>
      </c>
      <c r="G57" s="66">
        <v>0.1449</v>
      </c>
      <c r="H57" s="66">
        <v>0.1479</v>
      </c>
      <c r="I57" s="66">
        <v>0.151</v>
      </c>
      <c r="J57" s="66">
        <v>0.154</v>
      </c>
      <c r="K57" s="66">
        <v>0.15709999999999999</v>
      </c>
      <c r="L57" s="66">
        <v>0.16009999999999999</v>
      </c>
      <c r="M57" s="66">
        <v>0.16320000000000001</v>
      </c>
      <c r="N57" s="66">
        <v>0.16619999999999999</v>
      </c>
      <c r="O57" s="2"/>
      <c r="P57" s="2"/>
      <c r="Q57" s="2"/>
      <c r="R57" s="65">
        <v>0.21</v>
      </c>
      <c r="S57" s="66">
        <v>0.1018</v>
      </c>
      <c r="T57" s="66">
        <v>0.1041</v>
      </c>
      <c r="U57" s="66">
        <v>0.10639999999999999</v>
      </c>
      <c r="V57" s="66">
        <v>0.1087</v>
      </c>
      <c r="W57" s="66">
        <v>0.111</v>
      </c>
      <c r="X57" s="66">
        <v>0.1133</v>
      </c>
      <c r="Y57" s="66">
        <v>0.11559999999999999</v>
      </c>
      <c r="Z57" s="66">
        <v>0.1179</v>
      </c>
      <c r="AA57" s="66">
        <v>0.1202</v>
      </c>
      <c r="AB57" s="66">
        <v>0.12239999999999999</v>
      </c>
      <c r="AC57" s="66">
        <v>0.12470000000000001</v>
      </c>
      <c r="AD57" s="66">
        <v>0.127</v>
      </c>
      <c r="AE57" s="66">
        <v>0.1293</v>
      </c>
      <c r="AF57" s="2"/>
      <c r="AG57" s="2"/>
    </row>
    <row r="58" spans="1:33" x14ac:dyDescent="0.2">
      <c r="A58" s="2">
        <v>0.23</v>
      </c>
      <c r="B58" s="66">
        <v>0.12939999999999999</v>
      </c>
      <c r="C58" s="66">
        <v>0.1338</v>
      </c>
      <c r="D58" s="66">
        <v>0.13780000000000001</v>
      </c>
      <c r="E58" s="66">
        <v>0.14180000000000001</v>
      </c>
      <c r="F58" s="66">
        <v>0.1452</v>
      </c>
      <c r="G58" s="66">
        <v>0.14810000000000001</v>
      </c>
      <c r="H58" s="66">
        <v>0.15110000000000001</v>
      </c>
      <c r="I58" s="66">
        <v>0.15409999999999999</v>
      </c>
      <c r="J58" s="66">
        <v>0.15709999999999999</v>
      </c>
      <c r="K58" s="66">
        <v>0.16</v>
      </c>
      <c r="L58" s="66">
        <v>0.16300000000000001</v>
      </c>
      <c r="M58" s="66">
        <v>0.16600000000000001</v>
      </c>
      <c r="N58" s="66">
        <v>0.16900000000000001</v>
      </c>
      <c r="O58" s="2"/>
      <c r="P58" s="2"/>
      <c r="Q58" s="2"/>
      <c r="R58" s="65">
        <v>0.23</v>
      </c>
      <c r="S58" s="66">
        <v>0.1046</v>
      </c>
      <c r="T58" s="66">
        <v>0.10680000000000001</v>
      </c>
      <c r="U58" s="66">
        <v>0.1091</v>
      </c>
      <c r="V58" s="66">
        <v>0.1113</v>
      </c>
      <c r="W58" s="66">
        <v>0.1135</v>
      </c>
      <c r="X58" s="66">
        <v>0.1157</v>
      </c>
      <c r="Y58" s="66">
        <v>0.11799999999999999</v>
      </c>
      <c r="Z58" s="66">
        <v>0.1202</v>
      </c>
      <c r="AA58" s="66">
        <v>0.12239999999999999</v>
      </c>
      <c r="AB58" s="66">
        <v>0.12470000000000001</v>
      </c>
      <c r="AC58" s="66">
        <v>0.12690000000000001</v>
      </c>
      <c r="AD58" s="66">
        <v>0.12920000000000001</v>
      </c>
      <c r="AE58" s="66">
        <v>0.13139999999999999</v>
      </c>
      <c r="AF58" s="2"/>
      <c r="AG58" s="2"/>
    </row>
    <row r="59" spans="1:33" x14ac:dyDescent="0.2">
      <c r="A59" s="2">
        <v>0.25</v>
      </c>
      <c r="B59" s="66">
        <v>0.13469999999999999</v>
      </c>
      <c r="C59" s="66">
        <v>0.13869999999999999</v>
      </c>
      <c r="D59" s="66">
        <v>0.1426</v>
      </c>
      <c r="E59" s="66">
        <v>0.14560000000000001</v>
      </c>
      <c r="F59" s="66">
        <v>0.14849999999999999</v>
      </c>
      <c r="G59" s="66">
        <v>0.15140000000000001</v>
      </c>
      <c r="H59" s="66">
        <v>0.15429999999999999</v>
      </c>
      <c r="I59" s="66">
        <v>0.15720000000000001</v>
      </c>
      <c r="J59" s="66">
        <v>0.16009999999999999</v>
      </c>
      <c r="K59" s="66">
        <v>0.16300000000000001</v>
      </c>
      <c r="L59" s="66">
        <v>0.16589999999999999</v>
      </c>
      <c r="M59" s="66">
        <v>0.16880000000000001</v>
      </c>
      <c r="N59" s="66">
        <v>0.17150000000000001</v>
      </c>
      <c r="O59" s="2"/>
      <c r="P59" s="2"/>
      <c r="Q59" s="2"/>
      <c r="R59" s="65">
        <v>0.25</v>
      </c>
      <c r="S59" s="66">
        <v>0.10730000000000001</v>
      </c>
      <c r="T59" s="66">
        <v>0.1095</v>
      </c>
      <c r="U59" s="66">
        <v>0.11169999999999999</v>
      </c>
      <c r="V59" s="66">
        <v>0.1139</v>
      </c>
      <c r="W59" s="66">
        <v>0.11600000000000001</v>
      </c>
      <c r="X59" s="66">
        <v>0.1182</v>
      </c>
      <c r="Y59" s="66">
        <v>0.12039999999999999</v>
      </c>
      <c r="Z59" s="66">
        <v>0.1226</v>
      </c>
      <c r="AA59" s="66">
        <v>0.12470000000000001</v>
      </c>
      <c r="AB59" s="66">
        <v>0.12690000000000001</v>
      </c>
      <c r="AC59" s="66">
        <v>0.12909999999999999</v>
      </c>
      <c r="AD59" s="66">
        <v>0.1313</v>
      </c>
      <c r="AE59" s="66">
        <v>0.13339999999999999</v>
      </c>
      <c r="AF59" s="2"/>
      <c r="AG59" s="2"/>
    </row>
    <row r="60" spans="1:33" x14ac:dyDescent="0.2">
      <c r="A60" s="2">
        <v>0.27</v>
      </c>
      <c r="B60" s="66">
        <v>0.13969999999999999</v>
      </c>
      <c r="C60" s="66">
        <v>0.1434</v>
      </c>
      <c r="D60" s="66">
        <v>0.1462</v>
      </c>
      <c r="E60" s="66">
        <v>0.14910000000000001</v>
      </c>
      <c r="F60" s="66">
        <v>0.15190000000000001</v>
      </c>
      <c r="G60" s="66">
        <v>0.1547</v>
      </c>
      <c r="H60" s="66">
        <v>0.1575</v>
      </c>
      <c r="I60" s="66">
        <v>0.16039999999999999</v>
      </c>
      <c r="J60" s="66">
        <v>0.16320000000000001</v>
      </c>
      <c r="K60" s="66">
        <v>0.16600000000000001</v>
      </c>
      <c r="L60" s="66">
        <v>0.16880000000000001</v>
      </c>
      <c r="M60" s="66">
        <v>0.17150000000000001</v>
      </c>
      <c r="N60" s="66">
        <v>0.17399999999999999</v>
      </c>
      <c r="O60" s="2"/>
      <c r="P60" s="2"/>
      <c r="Q60" s="2"/>
      <c r="R60" s="65">
        <v>0.27</v>
      </c>
      <c r="S60" s="66">
        <v>0.1101</v>
      </c>
      <c r="T60" s="66">
        <v>0.11219999999999999</v>
      </c>
      <c r="U60" s="66">
        <v>0.1143</v>
      </c>
      <c r="V60" s="66">
        <v>0.1164</v>
      </c>
      <c r="W60" s="66">
        <v>0.1186</v>
      </c>
      <c r="X60" s="66">
        <v>0.1207</v>
      </c>
      <c r="Y60" s="66">
        <v>0.12280000000000001</v>
      </c>
      <c r="Z60" s="66">
        <v>0.1249</v>
      </c>
      <c r="AA60" s="66">
        <v>0.127</v>
      </c>
      <c r="AB60" s="66">
        <v>0.12920000000000001</v>
      </c>
      <c r="AC60" s="66">
        <v>0.1313</v>
      </c>
      <c r="AD60" s="66">
        <v>0.13339999999999999</v>
      </c>
      <c r="AE60" s="66">
        <v>0.13550000000000001</v>
      </c>
      <c r="AF60" s="2"/>
      <c r="AG60" s="2"/>
    </row>
    <row r="61" spans="1:33" x14ac:dyDescent="0.2">
      <c r="A61" s="2">
        <v>0.28999999999999998</v>
      </c>
      <c r="B61" s="66">
        <v>0.14430000000000001</v>
      </c>
      <c r="C61" s="66">
        <v>0.14699999999999999</v>
      </c>
      <c r="D61" s="66">
        <v>0.14979999999999999</v>
      </c>
      <c r="E61" s="66">
        <v>0.1525</v>
      </c>
      <c r="F61" s="66">
        <v>0.15529999999999999</v>
      </c>
      <c r="G61" s="66">
        <v>0.158</v>
      </c>
      <c r="H61" s="66">
        <v>0.16070000000000001</v>
      </c>
      <c r="I61" s="66">
        <v>0.16350000000000001</v>
      </c>
      <c r="J61" s="66">
        <v>0.16619999999999999</v>
      </c>
      <c r="K61" s="66">
        <v>0.16900000000000001</v>
      </c>
      <c r="L61" s="66">
        <v>0.17150000000000001</v>
      </c>
      <c r="M61" s="66">
        <v>0.17399999999999999</v>
      </c>
      <c r="N61" s="66">
        <v>0.1764</v>
      </c>
      <c r="O61" s="2"/>
      <c r="P61" s="2"/>
      <c r="Q61" s="2"/>
      <c r="R61" s="65">
        <v>0.28999999999999998</v>
      </c>
      <c r="S61" s="66">
        <v>0.1128</v>
      </c>
      <c r="T61" s="66">
        <v>0.1149</v>
      </c>
      <c r="U61" s="66">
        <v>0.11700000000000001</v>
      </c>
      <c r="V61" s="66">
        <v>0.11899999999999999</v>
      </c>
      <c r="W61" s="66">
        <v>0.1211</v>
      </c>
      <c r="X61" s="66">
        <v>0.1231</v>
      </c>
      <c r="Y61" s="66">
        <v>0.12520000000000001</v>
      </c>
      <c r="Z61" s="66">
        <v>0.1273</v>
      </c>
      <c r="AA61" s="66">
        <v>0.1293</v>
      </c>
      <c r="AB61" s="66">
        <v>0.13139999999999999</v>
      </c>
      <c r="AC61" s="66">
        <v>0.13339999999999999</v>
      </c>
      <c r="AD61" s="66">
        <v>0.13550000000000001</v>
      </c>
      <c r="AE61" s="66">
        <v>0.1376</v>
      </c>
      <c r="AF61" s="2"/>
      <c r="AG61" s="2"/>
    </row>
    <row r="62" spans="1:33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</row>
  </sheetData>
  <mergeCells count="8">
    <mergeCell ref="A4:D4"/>
    <mergeCell ref="A17:E17"/>
    <mergeCell ref="A34:D34"/>
    <mergeCell ref="A47:D47"/>
    <mergeCell ref="R4:U4"/>
    <mergeCell ref="R17:V17"/>
    <mergeCell ref="R34:U34"/>
    <mergeCell ref="R47:V47"/>
  </mergeCells>
  <conditionalFormatting sqref="B6:P1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9:N3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36:P4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49:N6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6:AG1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9:AE3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6:AG4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49:AE6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Cardio App</vt:lpstr>
      <vt:lpstr>Cancer prevention</vt:lpstr>
      <vt:lpstr>Total Costs_Both Incentives</vt:lpstr>
      <vt:lpstr>Smoker Count</vt:lpstr>
      <vt:lpstr>Death Benefits</vt:lpstr>
      <vt:lpstr>Policies in force</vt:lpstr>
      <vt:lpstr>Lapses</vt:lpstr>
      <vt:lpstr>male lifetable</vt:lpstr>
      <vt:lpstr>Male SPWL (before)</vt:lpstr>
      <vt:lpstr>Male SPWL(after)</vt:lpstr>
      <vt:lpstr>Sensitivity Analysis 1</vt:lpstr>
      <vt:lpstr>Male T20 (before)</vt:lpstr>
      <vt:lpstr>Male T20 (after)</vt:lpstr>
      <vt:lpstr>Sensitivity Analysis 2</vt:lpstr>
      <vt:lpstr>Female Lifetable</vt:lpstr>
      <vt:lpstr>Female SPWL (before)</vt:lpstr>
      <vt:lpstr>Female SPWL (after)</vt:lpstr>
      <vt:lpstr>Sensitivity Analysis 3</vt:lpstr>
      <vt:lpstr>Female T20 (before)</vt:lpstr>
      <vt:lpstr>Female T20 (after)</vt:lpstr>
      <vt:lpstr>Sensitivity Analysis 4</vt:lpstr>
      <vt:lpstr>Senstivity Analysis for 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Helen Wang</dc:creator>
  <cp:lastModifiedBy>Helen Wang</cp:lastModifiedBy>
  <dcterms:created xsi:type="dcterms:W3CDTF">2024-03-09T09:40:18Z</dcterms:created>
  <dcterms:modified xsi:type="dcterms:W3CDTF">2024-03-22T14:31:15Z</dcterms:modified>
</cp:coreProperties>
</file>